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ae2877bc5644ef48/Documents/1BP-VPT-Analysis/Comparison table/"/>
    </mc:Choice>
  </mc:AlternateContent>
  <xr:revisionPtr revIDLastSave="2108" documentId="11_7CC951B6D320D113B7393211595ED87656C90E82" xr6:coauthVersionLast="47" xr6:coauthVersionMax="47" xr10:uidLastSave="{F7D02231-9145-4FCA-A327-E16C426F1D08}"/>
  <bookViews>
    <workbookView xWindow="-120" yWindow="-120" windowWidth="29040" windowHeight="15720" activeTab="7" xr2:uid="{00000000-000D-0000-FFFF-FFFF00000000}"/>
  </bookViews>
  <sheets>
    <sheet name="HEU" sheetId="4" r:id="rId1"/>
    <sheet name="LNS" sheetId="1" r:id="rId2"/>
    <sheet name="SVC" sheetId="2" r:id="rId3"/>
    <sheet name="SVC VND" sheetId="3" r:id="rId4"/>
    <sheet name="S&amp;F" sheetId="6" r:id="rId5"/>
    <sheet name="B&amp;P" sheetId="5" r:id="rId6"/>
    <sheet name="RESULTS - SMALL" sheetId="7" r:id="rId7"/>
    <sheet name="RESULTS - LARGE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7" i="8" l="1"/>
  <c r="L57" i="8"/>
  <c r="K57" i="8"/>
  <c r="M56" i="8"/>
  <c r="L56" i="8"/>
  <c r="K56" i="8"/>
  <c r="M55" i="8"/>
  <c r="L55" i="8"/>
  <c r="K55" i="8"/>
  <c r="M50" i="8"/>
  <c r="L50" i="8"/>
  <c r="K50" i="8"/>
  <c r="M49" i="8"/>
  <c r="L49" i="8"/>
  <c r="K49" i="8"/>
  <c r="M48" i="8"/>
  <c r="L48" i="8"/>
  <c r="K48" i="8"/>
  <c r="M47" i="8"/>
  <c r="L47" i="8"/>
  <c r="K47" i="8"/>
  <c r="M46" i="8"/>
  <c r="L46" i="8"/>
  <c r="K46" i="8"/>
  <c r="M45" i="8"/>
  <c r="L45" i="8"/>
  <c r="K45" i="8"/>
  <c r="M44" i="8"/>
  <c r="L44" i="8"/>
  <c r="K44" i="8"/>
  <c r="M43" i="8"/>
  <c r="L43" i="8"/>
  <c r="K43" i="8"/>
  <c r="M42" i="8"/>
  <c r="L42" i="8"/>
  <c r="K42" i="8"/>
  <c r="M41" i="8"/>
  <c r="L41" i="8"/>
  <c r="K41" i="8"/>
  <c r="S37" i="8"/>
  <c r="R37" i="8"/>
  <c r="Q37" i="8"/>
  <c r="S36" i="8"/>
  <c r="R36" i="8"/>
  <c r="Q36" i="8"/>
  <c r="S35" i="8"/>
  <c r="R35" i="8"/>
  <c r="Q35" i="8"/>
  <c r="P37" i="8"/>
  <c r="O37" i="8"/>
  <c r="N37" i="8"/>
  <c r="P36" i="8"/>
  <c r="O36" i="8"/>
  <c r="N36" i="8"/>
  <c r="P35" i="8"/>
  <c r="O35" i="8"/>
  <c r="N35" i="8"/>
  <c r="M37" i="8"/>
  <c r="L37" i="8"/>
  <c r="K37" i="8"/>
  <c r="M36" i="8"/>
  <c r="L36" i="8"/>
  <c r="K36" i="8"/>
  <c r="M35" i="8"/>
  <c r="L35" i="8"/>
  <c r="K35" i="8"/>
  <c r="K22" i="8"/>
  <c r="S30" i="8"/>
  <c r="R30" i="8"/>
  <c r="Q30" i="8"/>
  <c r="S29" i="8"/>
  <c r="R29" i="8"/>
  <c r="Q29" i="8"/>
  <c r="S28" i="8"/>
  <c r="R28" i="8"/>
  <c r="Q28" i="8"/>
  <c r="S27" i="8"/>
  <c r="R27" i="8"/>
  <c r="Q27" i="8"/>
  <c r="S26" i="8"/>
  <c r="R26" i="8"/>
  <c r="Q26" i="8"/>
  <c r="S25" i="8"/>
  <c r="R25" i="8"/>
  <c r="Q25" i="8"/>
  <c r="S24" i="8"/>
  <c r="R24" i="8"/>
  <c r="Q24" i="8"/>
  <c r="S23" i="8"/>
  <c r="R23" i="8"/>
  <c r="Q23" i="8"/>
  <c r="S22" i="8"/>
  <c r="R22" i="8"/>
  <c r="Q22" i="8"/>
  <c r="P30" i="8"/>
  <c r="O30" i="8"/>
  <c r="N30" i="8"/>
  <c r="P29" i="8"/>
  <c r="O29" i="8"/>
  <c r="N29" i="8"/>
  <c r="P28" i="8"/>
  <c r="O28" i="8"/>
  <c r="N28" i="8"/>
  <c r="P27" i="8"/>
  <c r="O27" i="8"/>
  <c r="N27" i="8"/>
  <c r="P26" i="8"/>
  <c r="O26" i="8"/>
  <c r="N26" i="8"/>
  <c r="P25" i="8"/>
  <c r="O25" i="8"/>
  <c r="N25" i="8"/>
  <c r="P24" i="8"/>
  <c r="O24" i="8"/>
  <c r="N24" i="8"/>
  <c r="P23" i="8"/>
  <c r="O23" i="8"/>
  <c r="N23" i="8"/>
  <c r="P22" i="8"/>
  <c r="O22" i="8"/>
  <c r="N22" i="8"/>
  <c r="M30" i="8"/>
  <c r="L30" i="8"/>
  <c r="K30" i="8"/>
  <c r="M29" i="8"/>
  <c r="L29" i="8"/>
  <c r="K29" i="8"/>
  <c r="M28" i="8"/>
  <c r="L28" i="8"/>
  <c r="K28" i="8"/>
  <c r="M27" i="8"/>
  <c r="L27" i="8"/>
  <c r="K27" i="8"/>
  <c r="M26" i="8"/>
  <c r="L26" i="8"/>
  <c r="K26" i="8"/>
  <c r="M25" i="8"/>
  <c r="L25" i="8"/>
  <c r="K25" i="8"/>
  <c r="M24" i="8"/>
  <c r="L24" i="8"/>
  <c r="K24" i="8"/>
  <c r="M23" i="8"/>
  <c r="L23" i="8"/>
  <c r="K23" i="8"/>
  <c r="M22" i="8"/>
  <c r="L22" i="8"/>
  <c r="K21" i="8"/>
  <c r="S21" i="8"/>
  <c r="R21" i="8"/>
  <c r="Q21" i="8"/>
  <c r="P21" i="8"/>
  <c r="O21" i="8"/>
  <c r="N21" i="8"/>
  <c r="M21" i="8"/>
  <c r="L21" i="8"/>
  <c r="V7" i="7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G205" i="8"/>
  <c r="G206" i="8"/>
  <c r="G207" i="8"/>
  <c r="G208" i="8"/>
  <c r="G209" i="8"/>
  <c r="G210" i="8"/>
  <c r="G211" i="8"/>
  <c r="G212" i="8"/>
  <c r="G213" i="8"/>
  <c r="G214" i="8"/>
  <c r="G215" i="8"/>
  <c r="G216" i="8"/>
  <c r="G217" i="8"/>
  <c r="G218" i="8"/>
  <c r="G219" i="8"/>
  <c r="G220" i="8"/>
  <c r="G221" i="8"/>
  <c r="G222" i="8"/>
  <c r="G223" i="8"/>
  <c r="G224" i="8"/>
  <c r="G225" i="8"/>
  <c r="G226" i="8"/>
  <c r="G227" i="8"/>
  <c r="G228" i="8"/>
  <c r="G229" i="8"/>
  <c r="G230" i="8"/>
  <c r="G231" i="8"/>
  <c r="G232" i="8"/>
  <c r="G233" i="8"/>
  <c r="G234" i="8"/>
  <c r="G235" i="8"/>
  <c r="G236" i="8"/>
  <c r="G237" i="8"/>
  <c r="G238" i="8"/>
  <c r="G239" i="8"/>
  <c r="G240" i="8"/>
  <c r="G241" i="8"/>
  <c r="G242" i="8"/>
  <c r="G243" i="8"/>
  <c r="G244" i="8"/>
  <c r="G245" i="8"/>
  <c r="G246" i="8"/>
  <c r="G247" i="8"/>
  <c r="G248" i="8"/>
  <c r="G249" i="8"/>
  <c r="G250" i="8"/>
  <c r="G251" i="8"/>
  <c r="G252" i="8"/>
  <c r="G253" i="8"/>
  <c r="G254" i="8"/>
  <c r="G255" i="8"/>
  <c r="G256" i="8"/>
  <c r="G257" i="8"/>
  <c r="G258" i="8"/>
  <c r="G259" i="8"/>
  <c r="G260" i="8"/>
  <c r="G261" i="8"/>
  <c r="G262" i="8"/>
  <c r="G263" i="8"/>
  <c r="G264" i="8"/>
  <c r="G265" i="8"/>
  <c r="G266" i="8"/>
  <c r="G267" i="8"/>
  <c r="G268" i="8"/>
  <c r="G269" i="8"/>
  <c r="G270" i="8"/>
  <c r="G271" i="8"/>
  <c r="G272" i="8"/>
  <c r="G273" i="8"/>
  <c r="G274" i="8"/>
  <c r="G275" i="8"/>
  <c r="G276" i="8"/>
  <c r="G277" i="8"/>
  <c r="G278" i="8"/>
  <c r="G279" i="8"/>
  <c r="G280" i="8"/>
  <c r="G281" i="8"/>
  <c r="G282" i="8"/>
  <c r="G283" i="8"/>
  <c r="G284" i="8"/>
  <c r="G285" i="8"/>
  <c r="G286" i="8"/>
  <c r="G287" i="8"/>
  <c r="G288" i="8"/>
  <c r="G289" i="8"/>
  <c r="G290" i="8"/>
  <c r="G291" i="8"/>
  <c r="G292" i="8"/>
  <c r="G293" i="8"/>
  <c r="G294" i="8"/>
  <c r="G295" i="8"/>
  <c r="G296" i="8"/>
  <c r="G297" i="8"/>
  <c r="G298" i="8"/>
  <c r="G299" i="8"/>
  <c r="G300" i="8"/>
  <c r="G301" i="8"/>
  <c r="G302" i="8"/>
  <c r="G303" i="8"/>
  <c r="G304" i="8"/>
  <c r="G305" i="8"/>
  <c r="G306" i="8"/>
  <c r="G307" i="8"/>
  <c r="G308" i="8"/>
  <c r="G309" i="8"/>
  <c r="G310" i="8"/>
  <c r="G311" i="8"/>
  <c r="G312" i="8"/>
  <c r="G313" i="8"/>
  <c r="G314" i="8"/>
  <c r="G315" i="8"/>
  <c r="G316" i="8"/>
  <c r="G317" i="8"/>
  <c r="G318" i="8"/>
  <c r="G319" i="8"/>
  <c r="G320" i="8"/>
  <c r="G321" i="8"/>
  <c r="G322" i="8"/>
  <c r="G323" i="8"/>
  <c r="G324" i="8"/>
  <c r="G325" i="8"/>
  <c r="G326" i="8"/>
  <c r="G327" i="8"/>
  <c r="G328" i="8"/>
  <c r="G329" i="8"/>
  <c r="G330" i="8"/>
  <c r="G331" i="8"/>
  <c r="G332" i="8"/>
  <c r="G333" i="8"/>
  <c r="G334" i="8"/>
  <c r="G335" i="8"/>
  <c r="G336" i="8"/>
  <c r="G337" i="8"/>
  <c r="G338" i="8"/>
  <c r="G339" i="8"/>
  <c r="G340" i="8"/>
  <c r="G341" i="8"/>
  <c r="G342" i="8"/>
  <c r="G343" i="8"/>
  <c r="G344" i="8"/>
  <c r="G345" i="8"/>
  <c r="G346" i="8"/>
  <c r="G347" i="8"/>
  <c r="G348" i="8"/>
  <c r="G349" i="8"/>
  <c r="G350" i="8"/>
  <c r="G351" i="8"/>
  <c r="G352" i="8"/>
  <c r="G353" i="8"/>
  <c r="G354" i="8"/>
  <c r="G355" i="8"/>
  <c r="G356" i="8"/>
  <c r="G357" i="8"/>
  <c r="G358" i="8"/>
  <c r="G359" i="8"/>
  <c r="G360" i="8"/>
  <c r="G361" i="8"/>
  <c r="G362" i="8"/>
  <c r="G363" i="8"/>
  <c r="G364" i="8"/>
  <c r="G365" i="8"/>
  <c r="G366" i="8"/>
  <c r="G367" i="8"/>
  <c r="G368" i="8"/>
  <c r="G369" i="8"/>
  <c r="G370" i="8"/>
  <c r="G371" i="8"/>
  <c r="G372" i="8"/>
  <c r="G373" i="8"/>
  <c r="G374" i="8"/>
  <c r="G375" i="8"/>
  <c r="G376" i="8"/>
  <c r="G377" i="8"/>
  <c r="G378" i="8"/>
  <c r="G379" i="8"/>
  <c r="G380" i="8"/>
  <c r="G381" i="8"/>
  <c r="G382" i="8"/>
  <c r="G383" i="8"/>
  <c r="G384" i="8"/>
  <c r="G385" i="8"/>
  <c r="G386" i="8"/>
  <c r="G387" i="8"/>
  <c r="G388" i="8"/>
  <c r="G389" i="8"/>
  <c r="G390" i="8"/>
  <c r="G391" i="8"/>
  <c r="G392" i="8"/>
  <c r="G393" i="8"/>
  <c r="G394" i="8"/>
  <c r="G395" i="8"/>
  <c r="G396" i="8"/>
  <c r="G397" i="8"/>
  <c r="G398" i="8"/>
  <c r="G399" i="8"/>
  <c r="G400" i="8"/>
  <c r="G401" i="8"/>
  <c r="G402" i="8"/>
  <c r="G403" i="8"/>
  <c r="G404" i="8"/>
  <c r="G405" i="8"/>
  <c r="G406" i="8"/>
  <c r="G407" i="8"/>
  <c r="G408" i="8"/>
  <c r="G409" i="8"/>
  <c r="G410" i="8"/>
  <c r="G411" i="8"/>
  <c r="G412" i="8"/>
  <c r="G413" i="8"/>
  <c r="G414" i="8"/>
  <c r="G415" i="8"/>
  <c r="G416" i="8"/>
  <c r="G417" i="8"/>
  <c r="G418" i="8"/>
  <c r="G419" i="8"/>
  <c r="G60" i="8"/>
  <c r="G59" i="8"/>
  <c r="G8" i="8"/>
  <c r="M8" i="8" s="1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M10" i="8" s="1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7" i="8"/>
  <c r="M7" i="8" s="1"/>
  <c r="H392" i="8"/>
  <c r="H40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4" i="8"/>
  <c r="H265" i="8"/>
  <c r="H266" i="8"/>
  <c r="H267" i="8"/>
  <c r="H268" i="8"/>
  <c r="H269" i="8"/>
  <c r="H270" i="8"/>
  <c r="H271" i="8"/>
  <c r="H272" i="8"/>
  <c r="H273" i="8"/>
  <c r="H274" i="8"/>
  <c r="H275" i="8"/>
  <c r="H276" i="8"/>
  <c r="H277" i="8"/>
  <c r="H278" i="8"/>
  <c r="H279" i="8"/>
  <c r="H280" i="8"/>
  <c r="H281" i="8"/>
  <c r="H282" i="8"/>
  <c r="H283" i="8"/>
  <c r="H284" i="8"/>
  <c r="H285" i="8"/>
  <c r="H286" i="8"/>
  <c r="H287" i="8"/>
  <c r="H288" i="8"/>
  <c r="H289" i="8"/>
  <c r="H290" i="8"/>
  <c r="H291" i="8"/>
  <c r="H292" i="8"/>
  <c r="H293" i="8"/>
  <c r="H294" i="8"/>
  <c r="H295" i="8"/>
  <c r="H296" i="8"/>
  <c r="H297" i="8"/>
  <c r="H298" i="8"/>
  <c r="H299" i="8"/>
  <c r="H300" i="8"/>
  <c r="H301" i="8"/>
  <c r="H302" i="8"/>
  <c r="H303" i="8"/>
  <c r="H304" i="8"/>
  <c r="H305" i="8"/>
  <c r="H306" i="8"/>
  <c r="H307" i="8"/>
  <c r="H308" i="8"/>
  <c r="H309" i="8"/>
  <c r="H310" i="8"/>
  <c r="H311" i="8"/>
  <c r="H312" i="8"/>
  <c r="H313" i="8"/>
  <c r="H314" i="8"/>
  <c r="H315" i="8"/>
  <c r="H316" i="8"/>
  <c r="H317" i="8"/>
  <c r="H318" i="8"/>
  <c r="H319" i="8"/>
  <c r="H320" i="8"/>
  <c r="H321" i="8"/>
  <c r="H322" i="8"/>
  <c r="H323" i="8"/>
  <c r="H324" i="8"/>
  <c r="H325" i="8"/>
  <c r="H326" i="8"/>
  <c r="H327" i="8"/>
  <c r="H328" i="8"/>
  <c r="H329" i="8"/>
  <c r="H330" i="8"/>
  <c r="H331" i="8"/>
  <c r="H332" i="8"/>
  <c r="H333" i="8"/>
  <c r="H334" i="8"/>
  <c r="H335" i="8"/>
  <c r="H336" i="8"/>
  <c r="H337" i="8"/>
  <c r="H338" i="8"/>
  <c r="H339" i="8"/>
  <c r="H340" i="8"/>
  <c r="H341" i="8"/>
  <c r="H342" i="8"/>
  <c r="H343" i="8"/>
  <c r="H344" i="8"/>
  <c r="H345" i="8"/>
  <c r="H346" i="8"/>
  <c r="H347" i="8"/>
  <c r="H348" i="8"/>
  <c r="H349" i="8"/>
  <c r="H350" i="8"/>
  <c r="H351" i="8"/>
  <c r="H352" i="8"/>
  <c r="H353" i="8"/>
  <c r="H354" i="8"/>
  <c r="H355" i="8"/>
  <c r="H356" i="8"/>
  <c r="H357" i="8"/>
  <c r="H358" i="8"/>
  <c r="H359" i="8"/>
  <c r="H360" i="8"/>
  <c r="H361" i="8"/>
  <c r="H362" i="8"/>
  <c r="H363" i="8"/>
  <c r="H364" i="8"/>
  <c r="H365" i="8"/>
  <c r="H366" i="8"/>
  <c r="H367" i="8"/>
  <c r="H368" i="8"/>
  <c r="H369" i="8"/>
  <c r="H370" i="8"/>
  <c r="H371" i="8"/>
  <c r="H372" i="8"/>
  <c r="H373" i="8"/>
  <c r="H374" i="8"/>
  <c r="H375" i="8"/>
  <c r="H376" i="8"/>
  <c r="H377" i="8"/>
  <c r="H378" i="8"/>
  <c r="H379" i="8"/>
  <c r="H380" i="8"/>
  <c r="H381" i="8"/>
  <c r="H382" i="8"/>
  <c r="H383" i="8"/>
  <c r="H384" i="8"/>
  <c r="H385" i="8"/>
  <c r="H386" i="8"/>
  <c r="H387" i="8"/>
  <c r="H388" i="8"/>
  <c r="H389" i="8"/>
  <c r="H390" i="8"/>
  <c r="H391" i="8"/>
  <c r="H393" i="8"/>
  <c r="H394" i="8"/>
  <c r="H395" i="8"/>
  <c r="H396" i="8"/>
  <c r="H397" i="8"/>
  <c r="H398" i="8"/>
  <c r="H399" i="8"/>
  <c r="H400" i="8"/>
  <c r="H401" i="8"/>
  <c r="H402" i="8"/>
  <c r="H403" i="8"/>
  <c r="H404" i="8"/>
  <c r="H405" i="8"/>
  <c r="H406" i="8"/>
  <c r="H408" i="8"/>
  <c r="H409" i="8"/>
  <c r="H410" i="8"/>
  <c r="H411" i="8"/>
  <c r="H412" i="8"/>
  <c r="H413" i="8"/>
  <c r="H414" i="8"/>
  <c r="H415" i="8"/>
  <c r="H416" i="8"/>
  <c r="H417" i="8"/>
  <c r="H418" i="8"/>
  <c r="H419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235" i="8"/>
  <c r="F236" i="8"/>
  <c r="F237" i="8"/>
  <c r="F238" i="8"/>
  <c r="F239" i="8"/>
  <c r="F240" i="8"/>
  <c r="F241" i="8"/>
  <c r="F242" i="8"/>
  <c r="F243" i="8"/>
  <c r="F244" i="8"/>
  <c r="F245" i="8"/>
  <c r="F246" i="8"/>
  <c r="F247" i="8"/>
  <c r="F248" i="8"/>
  <c r="F249" i="8"/>
  <c r="F250" i="8"/>
  <c r="F251" i="8"/>
  <c r="F252" i="8"/>
  <c r="F253" i="8"/>
  <c r="F254" i="8"/>
  <c r="F255" i="8"/>
  <c r="F256" i="8"/>
  <c r="F257" i="8"/>
  <c r="F258" i="8"/>
  <c r="F259" i="8"/>
  <c r="F260" i="8"/>
  <c r="F261" i="8"/>
  <c r="F262" i="8"/>
  <c r="F263" i="8"/>
  <c r="F264" i="8"/>
  <c r="F265" i="8"/>
  <c r="F266" i="8"/>
  <c r="F267" i="8"/>
  <c r="F268" i="8"/>
  <c r="F269" i="8"/>
  <c r="F270" i="8"/>
  <c r="F271" i="8"/>
  <c r="F272" i="8"/>
  <c r="F273" i="8"/>
  <c r="F274" i="8"/>
  <c r="F275" i="8"/>
  <c r="F276" i="8"/>
  <c r="F277" i="8"/>
  <c r="F278" i="8"/>
  <c r="F279" i="8"/>
  <c r="F280" i="8"/>
  <c r="F281" i="8"/>
  <c r="F282" i="8"/>
  <c r="F283" i="8"/>
  <c r="F284" i="8"/>
  <c r="F285" i="8"/>
  <c r="F286" i="8"/>
  <c r="F287" i="8"/>
  <c r="F288" i="8"/>
  <c r="F289" i="8"/>
  <c r="F290" i="8"/>
  <c r="F291" i="8"/>
  <c r="F292" i="8"/>
  <c r="F293" i="8"/>
  <c r="F294" i="8"/>
  <c r="F295" i="8"/>
  <c r="F296" i="8"/>
  <c r="F297" i="8"/>
  <c r="F298" i="8"/>
  <c r="F299" i="8"/>
  <c r="F300" i="8"/>
  <c r="F301" i="8"/>
  <c r="F302" i="8"/>
  <c r="F303" i="8"/>
  <c r="F304" i="8"/>
  <c r="F305" i="8"/>
  <c r="F306" i="8"/>
  <c r="F307" i="8"/>
  <c r="F308" i="8"/>
  <c r="F309" i="8"/>
  <c r="F310" i="8"/>
  <c r="F311" i="8"/>
  <c r="F312" i="8"/>
  <c r="F313" i="8"/>
  <c r="F314" i="8"/>
  <c r="F315" i="8"/>
  <c r="F316" i="8"/>
  <c r="F317" i="8"/>
  <c r="F318" i="8"/>
  <c r="F319" i="8"/>
  <c r="F320" i="8"/>
  <c r="F321" i="8"/>
  <c r="F322" i="8"/>
  <c r="F323" i="8"/>
  <c r="F324" i="8"/>
  <c r="F325" i="8"/>
  <c r="F326" i="8"/>
  <c r="F327" i="8"/>
  <c r="F328" i="8"/>
  <c r="F329" i="8"/>
  <c r="F330" i="8"/>
  <c r="F331" i="8"/>
  <c r="F332" i="8"/>
  <c r="F333" i="8"/>
  <c r="F334" i="8"/>
  <c r="F335" i="8"/>
  <c r="F336" i="8"/>
  <c r="F337" i="8"/>
  <c r="F338" i="8"/>
  <c r="F339" i="8"/>
  <c r="F340" i="8"/>
  <c r="F341" i="8"/>
  <c r="F342" i="8"/>
  <c r="F343" i="8"/>
  <c r="F344" i="8"/>
  <c r="F345" i="8"/>
  <c r="F346" i="8"/>
  <c r="F347" i="8"/>
  <c r="F348" i="8"/>
  <c r="F349" i="8"/>
  <c r="F350" i="8"/>
  <c r="F351" i="8"/>
  <c r="F352" i="8"/>
  <c r="F353" i="8"/>
  <c r="F354" i="8"/>
  <c r="F355" i="8"/>
  <c r="F356" i="8"/>
  <c r="F357" i="8"/>
  <c r="F358" i="8"/>
  <c r="F359" i="8"/>
  <c r="F360" i="8"/>
  <c r="F361" i="8"/>
  <c r="F362" i="8"/>
  <c r="F363" i="8"/>
  <c r="F364" i="8"/>
  <c r="F365" i="8"/>
  <c r="F366" i="8"/>
  <c r="F367" i="8"/>
  <c r="F368" i="8"/>
  <c r="F369" i="8"/>
  <c r="F370" i="8"/>
  <c r="F371" i="8"/>
  <c r="F372" i="8"/>
  <c r="F373" i="8"/>
  <c r="F374" i="8"/>
  <c r="F375" i="8"/>
  <c r="F376" i="8"/>
  <c r="F377" i="8"/>
  <c r="F378" i="8"/>
  <c r="F379" i="8"/>
  <c r="F380" i="8"/>
  <c r="F381" i="8"/>
  <c r="F382" i="8"/>
  <c r="F383" i="8"/>
  <c r="F384" i="8"/>
  <c r="F385" i="8"/>
  <c r="F386" i="8"/>
  <c r="F387" i="8"/>
  <c r="F388" i="8"/>
  <c r="F389" i="8"/>
  <c r="F390" i="8"/>
  <c r="F391" i="8"/>
  <c r="F392" i="8"/>
  <c r="F393" i="8"/>
  <c r="F394" i="8"/>
  <c r="F395" i="8"/>
  <c r="F396" i="8"/>
  <c r="F397" i="8"/>
  <c r="F398" i="8"/>
  <c r="F399" i="8"/>
  <c r="F400" i="8"/>
  <c r="F401" i="8"/>
  <c r="F402" i="8"/>
  <c r="F403" i="8"/>
  <c r="F404" i="8"/>
  <c r="F405" i="8"/>
  <c r="F406" i="8"/>
  <c r="F407" i="8"/>
  <c r="F408" i="8"/>
  <c r="F409" i="8"/>
  <c r="F410" i="8"/>
  <c r="F411" i="8"/>
  <c r="F412" i="8"/>
  <c r="F413" i="8"/>
  <c r="F414" i="8"/>
  <c r="F415" i="8"/>
  <c r="F416" i="8"/>
  <c r="F417" i="8"/>
  <c r="F418" i="8"/>
  <c r="F419" i="8"/>
  <c r="H7" i="8"/>
  <c r="N7" i="8" s="1"/>
  <c r="F7" i="8"/>
  <c r="L7" i="8" s="1"/>
  <c r="V18" i="7"/>
  <c r="O18" i="7"/>
  <c r="O7" i="7"/>
  <c r="Z15" i="7"/>
  <c r="AA15" i="7"/>
  <c r="AA14" i="7"/>
  <c r="Y14" i="7"/>
  <c r="AJ14" i="7"/>
  <c r="AJ15" i="7"/>
  <c r="AI15" i="7"/>
  <c r="AG18" i="7"/>
  <c r="AF18" i="7"/>
  <c r="AE18" i="7"/>
  <c r="AG17" i="7"/>
  <c r="AF17" i="7"/>
  <c r="AE17" i="7"/>
  <c r="AG16" i="7"/>
  <c r="AF16" i="7"/>
  <c r="AE16" i="7"/>
  <c r="AG15" i="7"/>
  <c r="AF15" i="7"/>
  <c r="AE15" i="7"/>
  <c r="AG14" i="7"/>
  <c r="AF14" i="7"/>
  <c r="AE14" i="7"/>
  <c r="AG13" i="7"/>
  <c r="AF13" i="7"/>
  <c r="AE13" i="7"/>
  <c r="AG12" i="7"/>
  <c r="AF12" i="7"/>
  <c r="AE12" i="7"/>
  <c r="AG11" i="7"/>
  <c r="AF11" i="7"/>
  <c r="AE11" i="7"/>
  <c r="AG10" i="7"/>
  <c r="AF10" i="7"/>
  <c r="AE10" i="7"/>
  <c r="AG9" i="7"/>
  <c r="AF9" i="7"/>
  <c r="AE9" i="7"/>
  <c r="AG8" i="7"/>
  <c r="AF8" i="7"/>
  <c r="AE8" i="7"/>
  <c r="AG7" i="7"/>
  <c r="AF7" i="7"/>
  <c r="AE7" i="7"/>
  <c r="AD18" i="7"/>
  <c r="AC18" i="7"/>
  <c r="AB18" i="7"/>
  <c r="AD17" i="7"/>
  <c r="AC17" i="7"/>
  <c r="AB17" i="7"/>
  <c r="AD16" i="7"/>
  <c r="AC16" i="7"/>
  <c r="AB16" i="7"/>
  <c r="AD15" i="7"/>
  <c r="AC15" i="7"/>
  <c r="AB15" i="7"/>
  <c r="AD14" i="7"/>
  <c r="AC14" i="7"/>
  <c r="AB14" i="7"/>
  <c r="AD13" i="7"/>
  <c r="AC13" i="7"/>
  <c r="AB13" i="7"/>
  <c r="AD12" i="7"/>
  <c r="AC12" i="7"/>
  <c r="AB12" i="7"/>
  <c r="AD11" i="7"/>
  <c r="AC11" i="7"/>
  <c r="AB11" i="7"/>
  <c r="AD10" i="7"/>
  <c r="AC10" i="7"/>
  <c r="AB10" i="7"/>
  <c r="AD9" i="7"/>
  <c r="AC9" i="7"/>
  <c r="AB9" i="7"/>
  <c r="AD8" i="7"/>
  <c r="AC8" i="7"/>
  <c r="AB8" i="7"/>
  <c r="AD7" i="7"/>
  <c r="AC7" i="7"/>
  <c r="AB7" i="7"/>
  <c r="AH18" i="7"/>
  <c r="AH7" i="7"/>
  <c r="AJ18" i="7"/>
  <c r="AI18" i="7"/>
  <c r="AJ17" i="7"/>
  <c r="AI17" i="7"/>
  <c r="AH17" i="7"/>
  <c r="AJ16" i="7"/>
  <c r="AI16" i="7"/>
  <c r="AH16" i="7"/>
  <c r="AH15" i="7"/>
  <c r="AI14" i="7"/>
  <c r="AH14" i="7"/>
  <c r="AJ13" i="7"/>
  <c r="AI13" i="7"/>
  <c r="AH13" i="7"/>
  <c r="AJ12" i="7"/>
  <c r="AI12" i="7"/>
  <c r="AH12" i="7"/>
  <c r="AJ11" i="7"/>
  <c r="AI11" i="7"/>
  <c r="AH11" i="7"/>
  <c r="AJ10" i="7"/>
  <c r="AI10" i="7"/>
  <c r="AH10" i="7"/>
  <c r="AJ9" i="7"/>
  <c r="AI9" i="7"/>
  <c r="AH9" i="7"/>
  <c r="AJ8" i="7"/>
  <c r="AI8" i="7"/>
  <c r="AH8" i="7"/>
  <c r="AJ7" i="7"/>
  <c r="AI7" i="7"/>
  <c r="AA18" i="7"/>
  <c r="Z18" i="7"/>
  <c r="Y18" i="7"/>
  <c r="AA17" i="7"/>
  <c r="Z17" i="7"/>
  <c r="Y17" i="7"/>
  <c r="AA16" i="7"/>
  <c r="Z16" i="7"/>
  <c r="Y16" i="7"/>
  <c r="Y15" i="7"/>
  <c r="Z14" i="7"/>
  <c r="AA13" i="7"/>
  <c r="Z13" i="7"/>
  <c r="Y13" i="7"/>
  <c r="AA12" i="7"/>
  <c r="Z12" i="7"/>
  <c r="Y12" i="7"/>
  <c r="AA11" i="7"/>
  <c r="Z11" i="7"/>
  <c r="Y11" i="7"/>
  <c r="AA10" i="7"/>
  <c r="Z10" i="7"/>
  <c r="Y10" i="7"/>
  <c r="AA9" i="7"/>
  <c r="Z9" i="7"/>
  <c r="Y9" i="7"/>
  <c r="AA8" i="7"/>
  <c r="Z8" i="7"/>
  <c r="Y8" i="7"/>
  <c r="AA7" i="7"/>
  <c r="Z7" i="7"/>
  <c r="Y7" i="7"/>
  <c r="X18" i="7"/>
  <c r="W18" i="7"/>
  <c r="X17" i="7"/>
  <c r="W17" i="7"/>
  <c r="V17" i="7"/>
  <c r="X16" i="7"/>
  <c r="W16" i="7"/>
  <c r="V16" i="7"/>
  <c r="X15" i="7"/>
  <c r="W15" i="7"/>
  <c r="V15" i="7"/>
  <c r="X14" i="7"/>
  <c r="W14" i="7"/>
  <c r="V14" i="7"/>
  <c r="X13" i="7"/>
  <c r="W13" i="7"/>
  <c r="V13" i="7"/>
  <c r="X12" i="7"/>
  <c r="W12" i="7"/>
  <c r="V12" i="7"/>
  <c r="X11" i="7"/>
  <c r="W11" i="7"/>
  <c r="V11" i="7"/>
  <c r="X10" i="7"/>
  <c r="W10" i="7"/>
  <c r="V10" i="7"/>
  <c r="X9" i="7"/>
  <c r="W9" i="7"/>
  <c r="V9" i="7"/>
  <c r="X8" i="7"/>
  <c r="W8" i="7"/>
  <c r="V8" i="7"/>
  <c r="O16" i="7"/>
  <c r="O13" i="7"/>
  <c r="O8" i="7"/>
  <c r="X7" i="7"/>
  <c r="W7" i="7"/>
  <c r="R17" i="7"/>
  <c r="R15" i="7"/>
  <c r="R14" i="7"/>
  <c r="R18" i="7"/>
  <c r="R16" i="7"/>
  <c r="Q15" i="7"/>
  <c r="R13" i="7"/>
  <c r="S7" i="7"/>
  <c r="R8" i="7"/>
  <c r="R12" i="7"/>
  <c r="Q12" i="7"/>
  <c r="R11" i="7"/>
  <c r="Q11" i="7"/>
  <c r="R10" i="7"/>
  <c r="R9" i="7"/>
  <c r="R7" i="7"/>
  <c r="K126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K50" i="7"/>
  <c r="K51" i="7"/>
  <c r="K52" i="7"/>
  <c r="K53" i="7"/>
  <c r="K54" i="7"/>
  <c r="K55" i="7"/>
  <c r="K56" i="7"/>
  <c r="K57" i="7"/>
  <c r="K58" i="7"/>
  <c r="K59" i="7"/>
  <c r="K60" i="7"/>
  <c r="K61" i="7"/>
  <c r="K62" i="7"/>
  <c r="K63" i="7"/>
  <c r="K64" i="7"/>
  <c r="K65" i="7"/>
  <c r="K66" i="7"/>
  <c r="K67" i="7"/>
  <c r="K68" i="7"/>
  <c r="K69" i="7"/>
  <c r="K70" i="7"/>
  <c r="K71" i="7"/>
  <c r="K72" i="7"/>
  <c r="K73" i="7"/>
  <c r="K74" i="7"/>
  <c r="K75" i="7"/>
  <c r="K76" i="7"/>
  <c r="K77" i="7"/>
  <c r="K78" i="7"/>
  <c r="K79" i="7"/>
  <c r="K80" i="7"/>
  <c r="K81" i="7"/>
  <c r="K82" i="7"/>
  <c r="K83" i="7"/>
  <c r="K84" i="7"/>
  <c r="K85" i="7"/>
  <c r="K86" i="7"/>
  <c r="K87" i="7"/>
  <c r="K88" i="7"/>
  <c r="K89" i="7"/>
  <c r="K90" i="7"/>
  <c r="K91" i="7"/>
  <c r="K92" i="7"/>
  <c r="K93" i="7"/>
  <c r="K94" i="7"/>
  <c r="K95" i="7"/>
  <c r="K96" i="7"/>
  <c r="K97" i="7"/>
  <c r="K98" i="7"/>
  <c r="K99" i="7"/>
  <c r="K100" i="7"/>
  <c r="K101" i="7"/>
  <c r="K102" i="7"/>
  <c r="K103" i="7"/>
  <c r="K104" i="7"/>
  <c r="K105" i="7"/>
  <c r="K106" i="7"/>
  <c r="K107" i="7"/>
  <c r="K108" i="7"/>
  <c r="K109" i="7"/>
  <c r="K110" i="7"/>
  <c r="K111" i="7"/>
  <c r="K112" i="7"/>
  <c r="K113" i="7"/>
  <c r="K114" i="7"/>
  <c r="K115" i="7"/>
  <c r="K116" i="7"/>
  <c r="K117" i="7"/>
  <c r="K118" i="7"/>
  <c r="K119" i="7"/>
  <c r="K120" i="7"/>
  <c r="K121" i="7"/>
  <c r="K122" i="7"/>
  <c r="K123" i="7"/>
  <c r="K124" i="7"/>
  <c r="K125" i="7"/>
  <c r="K7" i="7"/>
  <c r="J7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L35" i="7"/>
  <c r="L36" i="7"/>
  <c r="L37" i="7"/>
  <c r="L38" i="7"/>
  <c r="L39" i="7"/>
  <c r="L40" i="7"/>
  <c r="L41" i="7"/>
  <c r="L42" i="7"/>
  <c r="L43" i="7"/>
  <c r="L44" i="7"/>
  <c r="L45" i="7"/>
  <c r="L46" i="7"/>
  <c r="L47" i="7"/>
  <c r="L48" i="7"/>
  <c r="L49" i="7"/>
  <c r="L50" i="7"/>
  <c r="L51" i="7"/>
  <c r="L52" i="7"/>
  <c r="L53" i="7"/>
  <c r="L54" i="7"/>
  <c r="L55" i="7"/>
  <c r="L56" i="7"/>
  <c r="L57" i="7"/>
  <c r="L58" i="7"/>
  <c r="L59" i="7"/>
  <c r="L60" i="7"/>
  <c r="L61" i="7"/>
  <c r="L62" i="7"/>
  <c r="L63" i="7"/>
  <c r="L64" i="7"/>
  <c r="L65" i="7"/>
  <c r="L66" i="7"/>
  <c r="L67" i="7"/>
  <c r="L68" i="7"/>
  <c r="L69" i="7"/>
  <c r="L70" i="7"/>
  <c r="L71" i="7"/>
  <c r="L72" i="7"/>
  <c r="L73" i="7"/>
  <c r="L74" i="7"/>
  <c r="L75" i="7"/>
  <c r="L76" i="7"/>
  <c r="L77" i="7"/>
  <c r="L78" i="7"/>
  <c r="L79" i="7"/>
  <c r="L80" i="7"/>
  <c r="L81" i="7"/>
  <c r="L82" i="7"/>
  <c r="L83" i="7"/>
  <c r="L84" i="7"/>
  <c r="L85" i="7"/>
  <c r="L86" i="7"/>
  <c r="L87" i="7"/>
  <c r="L88" i="7"/>
  <c r="L89" i="7"/>
  <c r="L90" i="7"/>
  <c r="L91" i="7"/>
  <c r="L92" i="7"/>
  <c r="L93" i="7"/>
  <c r="L94" i="7"/>
  <c r="L95" i="7"/>
  <c r="L96" i="7"/>
  <c r="L97" i="7"/>
  <c r="L98" i="7"/>
  <c r="L99" i="7"/>
  <c r="L100" i="7"/>
  <c r="L101" i="7"/>
  <c r="L102" i="7"/>
  <c r="L103" i="7"/>
  <c r="L104" i="7"/>
  <c r="L105" i="7"/>
  <c r="L106" i="7"/>
  <c r="L107" i="7"/>
  <c r="L108" i="7"/>
  <c r="L109" i="7"/>
  <c r="L110" i="7"/>
  <c r="L111" i="7"/>
  <c r="L112" i="7"/>
  <c r="L113" i="7"/>
  <c r="L114" i="7"/>
  <c r="L115" i="7"/>
  <c r="L116" i="7"/>
  <c r="L117" i="7"/>
  <c r="L118" i="7"/>
  <c r="L119" i="7"/>
  <c r="L120" i="7"/>
  <c r="L121" i="7"/>
  <c r="L122" i="7"/>
  <c r="L123" i="7"/>
  <c r="L124" i="7"/>
  <c r="L125" i="7"/>
  <c r="L126" i="7"/>
  <c r="L8" i="7"/>
  <c r="L9" i="7"/>
  <c r="L10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66" i="7"/>
  <c r="J67" i="7"/>
  <c r="J68" i="7"/>
  <c r="J69" i="7"/>
  <c r="J70" i="7"/>
  <c r="J71" i="7"/>
  <c r="J72" i="7"/>
  <c r="J73" i="7"/>
  <c r="J74" i="7"/>
  <c r="J75" i="7"/>
  <c r="J76" i="7"/>
  <c r="J77" i="7"/>
  <c r="J78" i="7"/>
  <c r="J79" i="7"/>
  <c r="J80" i="7"/>
  <c r="J81" i="7"/>
  <c r="J82" i="7"/>
  <c r="J83" i="7"/>
  <c r="J84" i="7"/>
  <c r="J85" i="7"/>
  <c r="J86" i="7"/>
  <c r="J87" i="7"/>
  <c r="J88" i="7"/>
  <c r="J89" i="7"/>
  <c r="J90" i="7"/>
  <c r="J91" i="7"/>
  <c r="J92" i="7"/>
  <c r="J93" i="7"/>
  <c r="J94" i="7"/>
  <c r="J95" i="7"/>
  <c r="J96" i="7"/>
  <c r="J97" i="7"/>
  <c r="J98" i="7"/>
  <c r="J99" i="7"/>
  <c r="J100" i="7"/>
  <c r="J101" i="7"/>
  <c r="J102" i="7"/>
  <c r="J103" i="7"/>
  <c r="J104" i="7"/>
  <c r="J105" i="7"/>
  <c r="J106" i="7"/>
  <c r="J107" i="7"/>
  <c r="J108" i="7"/>
  <c r="J109" i="7"/>
  <c r="J110" i="7"/>
  <c r="J111" i="7"/>
  <c r="J112" i="7"/>
  <c r="J113" i="7"/>
  <c r="J114" i="7"/>
  <c r="J115" i="7"/>
  <c r="J116" i="7"/>
  <c r="J117" i="7"/>
  <c r="J118" i="7"/>
  <c r="J119" i="7"/>
  <c r="J120" i="7"/>
  <c r="J121" i="7"/>
  <c r="J122" i="7"/>
  <c r="J123" i="7"/>
  <c r="J124" i="7"/>
  <c r="J125" i="7"/>
  <c r="J126" i="7"/>
  <c r="J8" i="7"/>
  <c r="L7" i="7"/>
  <c r="M18" i="5"/>
  <c r="M7" i="5"/>
  <c r="F8" i="5"/>
  <c r="F9" i="5"/>
  <c r="F10" i="5"/>
  <c r="F11" i="5"/>
  <c r="F12" i="5"/>
  <c r="F13" i="5"/>
  <c r="M22" i="5" s="1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M10" i="5" s="1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M13" i="5" s="1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M16" i="5" s="1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7" i="5"/>
  <c r="H7" i="7"/>
  <c r="L22" i="5"/>
  <c r="L21" i="5"/>
  <c r="K22" i="5"/>
  <c r="K21" i="5"/>
  <c r="K20" i="5"/>
  <c r="L20" i="5"/>
  <c r="M20" i="5"/>
  <c r="M19" i="5"/>
  <c r="L19" i="5"/>
  <c r="K19" i="5"/>
  <c r="L18" i="5"/>
  <c r="L17" i="5"/>
  <c r="L16" i="5"/>
  <c r="L15" i="5"/>
  <c r="L14" i="5"/>
  <c r="L13" i="5"/>
  <c r="L12" i="5"/>
  <c r="L11" i="5"/>
  <c r="L10" i="5"/>
  <c r="L9" i="5"/>
  <c r="L8" i="5"/>
  <c r="L7" i="5"/>
  <c r="K18" i="5"/>
  <c r="K17" i="5"/>
  <c r="K16" i="5"/>
  <c r="K15" i="5"/>
  <c r="K14" i="5"/>
  <c r="K13" i="5"/>
  <c r="K12" i="5"/>
  <c r="K11" i="5"/>
  <c r="K10" i="5"/>
  <c r="K9" i="5"/>
  <c r="K8" i="5"/>
  <c r="K7" i="5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I73" i="7"/>
  <c r="I74" i="7"/>
  <c r="I75" i="7"/>
  <c r="I76" i="7"/>
  <c r="I77" i="7"/>
  <c r="I78" i="7"/>
  <c r="I79" i="7"/>
  <c r="I80" i="7"/>
  <c r="I81" i="7"/>
  <c r="I82" i="7"/>
  <c r="I83" i="7"/>
  <c r="I84" i="7"/>
  <c r="I85" i="7"/>
  <c r="I86" i="7"/>
  <c r="I87" i="7"/>
  <c r="I88" i="7"/>
  <c r="I89" i="7"/>
  <c r="I90" i="7"/>
  <c r="I91" i="7"/>
  <c r="I92" i="7"/>
  <c r="I93" i="7"/>
  <c r="I94" i="7"/>
  <c r="I95" i="7"/>
  <c r="I96" i="7"/>
  <c r="I97" i="7"/>
  <c r="I98" i="7"/>
  <c r="I99" i="7"/>
  <c r="I100" i="7"/>
  <c r="I101" i="7"/>
  <c r="I102" i="7"/>
  <c r="I103" i="7"/>
  <c r="I104" i="7"/>
  <c r="I105" i="7"/>
  <c r="I106" i="7"/>
  <c r="I107" i="7"/>
  <c r="I108" i="7"/>
  <c r="I109" i="7"/>
  <c r="I110" i="7"/>
  <c r="I111" i="7"/>
  <c r="I112" i="7"/>
  <c r="I113" i="7"/>
  <c r="I114" i="7"/>
  <c r="I115" i="7"/>
  <c r="I116" i="7"/>
  <c r="I117" i="7"/>
  <c r="I118" i="7"/>
  <c r="I119" i="7"/>
  <c r="I120" i="7"/>
  <c r="I121" i="7"/>
  <c r="I122" i="7"/>
  <c r="I123" i="7"/>
  <c r="I124" i="7"/>
  <c r="I125" i="7"/>
  <c r="I126" i="7"/>
  <c r="I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M9" i="5"/>
  <c r="M11" i="5"/>
  <c r="M12" i="5"/>
  <c r="M14" i="5"/>
  <c r="M15" i="5"/>
  <c r="M17" i="5"/>
  <c r="M8" i="5"/>
  <c r="L10" i="8" l="1"/>
  <c r="S7" i="8"/>
  <c r="L12" i="8"/>
  <c r="N13" i="8"/>
  <c r="M15" i="8"/>
  <c r="M11" i="8"/>
  <c r="T7" i="8"/>
  <c r="N16" i="8"/>
  <c r="N10" i="8"/>
  <c r="N12" i="8"/>
  <c r="M16" i="8"/>
  <c r="L14" i="8"/>
  <c r="L8" i="8"/>
  <c r="M14" i="8"/>
  <c r="M12" i="8"/>
  <c r="M9" i="8"/>
  <c r="S9" i="8"/>
  <c r="S8" i="8"/>
  <c r="R7" i="8"/>
  <c r="L15" i="8"/>
  <c r="L11" i="8"/>
  <c r="L9" i="8"/>
  <c r="T9" i="8"/>
  <c r="N15" i="8"/>
  <c r="N14" i="8"/>
  <c r="N9" i="8"/>
  <c r="N8" i="8"/>
  <c r="L16" i="8"/>
  <c r="L13" i="8"/>
  <c r="N11" i="8"/>
  <c r="R9" i="8"/>
  <c r="R8" i="8"/>
  <c r="M13" i="8"/>
  <c r="T8" i="8"/>
  <c r="Q16" i="7"/>
  <c r="Q18" i="7"/>
  <c r="Q7" i="7"/>
  <c r="S16" i="7"/>
  <c r="S13" i="7"/>
  <c r="Q8" i="7"/>
  <c r="S11" i="7"/>
  <c r="S8" i="7"/>
  <c r="S15" i="7"/>
  <c r="Q17" i="7"/>
  <c r="Q14" i="7"/>
  <c r="Q10" i="7"/>
  <c r="Q9" i="7"/>
  <c r="S12" i="7"/>
  <c r="O9" i="7"/>
  <c r="Q13" i="7"/>
  <c r="S17" i="7"/>
  <c r="S14" i="7"/>
  <c r="S10" i="7"/>
  <c r="S9" i="7"/>
  <c r="S18" i="7"/>
  <c r="P18" i="7"/>
  <c r="P15" i="7"/>
  <c r="P7" i="7"/>
  <c r="O17" i="7"/>
  <c r="P17" i="7"/>
  <c r="O10" i="7"/>
  <c r="P10" i="7"/>
  <c r="P13" i="7"/>
  <c r="O12" i="7"/>
  <c r="P16" i="7"/>
  <c r="P12" i="7"/>
  <c r="P11" i="7"/>
  <c r="O14" i="7"/>
  <c r="P14" i="7"/>
  <c r="P9" i="7"/>
  <c r="O15" i="7"/>
  <c r="O11" i="7"/>
  <c r="P8" i="7"/>
  <c r="M21" i="5"/>
</calcChain>
</file>

<file path=xl/sharedStrings.xml><?xml version="1.0" encoding="utf-8"?>
<sst xmlns="http://schemas.openxmlformats.org/spreadsheetml/2006/main" count="3119" uniqueCount="717">
  <si>
    <t>INSTANCE</t>
  </si>
  <si>
    <t>BPP_new_20_1000_1.C</t>
  </si>
  <si>
    <t>BPP_new_20_1000_10.C</t>
  </si>
  <si>
    <t>BPP_new_20_1000_2.C</t>
  </si>
  <si>
    <t>BPP_new_20_1000_3.C</t>
  </si>
  <si>
    <t>BPP_new_20_1000_4.C</t>
  </si>
  <si>
    <t>BPP_new_20_1000_5.C</t>
  </si>
  <si>
    <t>BPP_new_20_1000_6.C</t>
  </si>
  <si>
    <t>BPP_new_20_1000_7.C</t>
  </si>
  <si>
    <t>BPP_new_20_1000_8.C</t>
  </si>
  <si>
    <t>BPP_new_20_1000_9.C</t>
  </si>
  <si>
    <t>BPP_new_20_100_1.C</t>
  </si>
  <si>
    <t>BPP_new_20_100_10.C</t>
  </si>
  <si>
    <t>BPP_new_20_100_2.C</t>
  </si>
  <si>
    <t>BPP_new_20_100_3.C</t>
  </si>
  <si>
    <t>BPP_new_20_100_4.C</t>
  </si>
  <si>
    <t>BPP_new_20_100_5.C</t>
  </si>
  <si>
    <t>BPP_new_20_100_6.C</t>
  </si>
  <si>
    <t>BPP_new_20_100_7.C</t>
  </si>
  <si>
    <t>BPP_new_20_100_8.C</t>
  </si>
  <si>
    <t>BPP_new_20_100_9.C</t>
  </si>
  <si>
    <t>BPP_new_20_120_1.C</t>
  </si>
  <si>
    <t>BPP_new_20_120_10.C</t>
  </si>
  <si>
    <t>BPP_new_20_120_2.C</t>
  </si>
  <si>
    <t>BPP_new_20_120_3.C</t>
  </si>
  <si>
    <t>BPP_new_20_120_4.C</t>
  </si>
  <si>
    <t>BPP_new_20_120_5.C</t>
  </si>
  <si>
    <t>BPP_new_20_120_6.C</t>
  </si>
  <si>
    <t>BPP_new_20_120_7.C</t>
  </si>
  <si>
    <t>BPP_new_20_120_8.C</t>
  </si>
  <si>
    <t>BPP_new_20_120_9.C</t>
  </si>
  <si>
    <t>BPP_new_20_125_1.C</t>
  </si>
  <si>
    <t>BPP_new_20_125_10.C</t>
  </si>
  <si>
    <t>BPP_new_20_125_2.C</t>
  </si>
  <si>
    <t>BPP_new_20_125_3.C</t>
  </si>
  <si>
    <t>BPP_new_20_125_4.C</t>
  </si>
  <si>
    <t>BPP_new_20_125_5.C</t>
  </si>
  <si>
    <t>BPP_new_20_125_6.C</t>
  </si>
  <si>
    <t>BPP_new_20_125_7.C</t>
  </si>
  <si>
    <t>BPP_new_20_125_8.C</t>
  </si>
  <si>
    <t>BPP_new_20_125_9.C</t>
  </si>
  <si>
    <t>BPP_new_20_150_1.C</t>
  </si>
  <si>
    <t>BPP_new_20_150_10.C</t>
  </si>
  <si>
    <t>BPP_new_20_150_2.C</t>
  </si>
  <si>
    <t>BPP_new_20_150_3.C</t>
  </si>
  <si>
    <t>BPP_new_20_150_4.C</t>
  </si>
  <si>
    <t>BPP_new_20_150_5.C</t>
  </si>
  <si>
    <t>BPP_new_20_150_6.C</t>
  </si>
  <si>
    <t>BPP_new_20_150_7.C</t>
  </si>
  <si>
    <t>BPP_new_20_150_8.C</t>
  </si>
  <si>
    <t>BPP_new_20_150_9.C</t>
  </si>
  <si>
    <t>BPP_new_20_200_1.C</t>
  </si>
  <si>
    <t>BPP_new_20_200_10.C</t>
  </si>
  <si>
    <t>BPP_new_20_200_2.C</t>
  </si>
  <si>
    <t>BPP_new_20_200_3.C</t>
  </si>
  <si>
    <t>BPP_new_20_200_4.C</t>
  </si>
  <si>
    <t>BPP_new_20_200_5.C</t>
  </si>
  <si>
    <t>BPP_new_20_200_6.C</t>
  </si>
  <si>
    <t>BPP_new_20_200_7.C</t>
  </si>
  <si>
    <t>BPP_new_20_200_8.C</t>
  </si>
  <si>
    <t>BPP_new_20_200_9.C</t>
  </si>
  <si>
    <t>BPP_new_20_300_1.C</t>
  </si>
  <si>
    <t>BPP_new_20_300_10.C</t>
  </si>
  <si>
    <t>BPP_new_20_300_2.C</t>
  </si>
  <si>
    <t>BPP_new_20_300_3.C</t>
  </si>
  <si>
    <t>BPP_new_20_300_4.C</t>
  </si>
  <si>
    <t>BPP_new_20_300_5.C</t>
  </si>
  <si>
    <t>BPP_new_20_300_6.C</t>
  </si>
  <si>
    <t>BPP_new_20_300_7.C</t>
  </si>
  <si>
    <t>BPP_new_20_300_8.C</t>
  </si>
  <si>
    <t>BPP_new_20_300_9.C</t>
  </si>
  <si>
    <t>BPP_new_20_400_1.C</t>
  </si>
  <si>
    <t>BPP_new_20_400_10.C</t>
  </si>
  <si>
    <t>BPP_new_20_400_2.C</t>
  </si>
  <si>
    <t>BPP_new_20_400_3.C</t>
  </si>
  <si>
    <t>BPP_new_20_400_4.C</t>
  </si>
  <si>
    <t>BPP_new_20_400_5.C</t>
  </si>
  <si>
    <t>BPP_new_20_400_6.C</t>
  </si>
  <si>
    <t>BPP_new_20_400_7.C</t>
  </si>
  <si>
    <t>BPP_new_20_400_8.C</t>
  </si>
  <si>
    <t>BPP_new_20_400_9.C</t>
  </si>
  <si>
    <t>BPP_new_20_500_1.C</t>
  </si>
  <si>
    <t>BPP_new_20_500_10.C</t>
  </si>
  <si>
    <t>BPP_new_20_500_2.C</t>
  </si>
  <si>
    <t>BPP_new_20_500_3.C</t>
  </si>
  <si>
    <t>BPP_new_20_500_4.C</t>
  </si>
  <si>
    <t>BPP_new_20_500_5.C</t>
  </si>
  <si>
    <t>BPP_new_20_500_6.C</t>
  </si>
  <si>
    <t>BPP_new_20_500_7.C</t>
  </si>
  <si>
    <t>BPP_new_20_500_8.C</t>
  </si>
  <si>
    <t>BPP_new_20_500_9.C</t>
  </si>
  <si>
    <t>BPP_new_20_50_1.C</t>
  </si>
  <si>
    <t>BPP_new_20_50_10.C</t>
  </si>
  <si>
    <t>BPP_new_20_50_2.C</t>
  </si>
  <si>
    <t>BPP_new_20_50_3.C</t>
  </si>
  <si>
    <t>BPP_new_20_50_4.C</t>
  </si>
  <si>
    <t>BPP_new_20_50_5.C</t>
  </si>
  <si>
    <t>BPP_new_20_50_6.C</t>
  </si>
  <si>
    <t>BPP_new_20_50_7.C</t>
  </si>
  <si>
    <t>BPP_new_20_50_8.C</t>
  </si>
  <si>
    <t>BPP_new_20_50_9.C</t>
  </si>
  <si>
    <t>BPP_new_20_750_1.C</t>
  </si>
  <si>
    <t>BPP_new_20_750_10.C</t>
  </si>
  <si>
    <t>BPP_new_20_750_2.C</t>
  </si>
  <si>
    <t>BPP_new_20_750_3.C</t>
  </si>
  <si>
    <t>BPP_new_20_750_4.C</t>
  </si>
  <si>
    <t>BPP_new_20_750_5.C</t>
  </si>
  <si>
    <t>BPP_new_20_750_6.C</t>
  </si>
  <si>
    <t>BPP_new_20_750_7.C</t>
  </si>
  <si>
    <t>BPP_new_20_750_8.C</t>
  </si>
  <si>
    <t>BPP_new_20_750_9.C</t>
  </si>
  <si>
    <t>BPP_new_20_75_1.C</t>
  </si>
  <si>
    <t>BPP_new_20_75_10.C</t>
  </si>
  <si>
    <t>BPP_new_20_75_2.C</t>
  </si>
  <si>
    <t>BPP_new_20_75_3.C</t>
  </si>
  <si>
    <t>BPP_new_20_75_4.C</t>
  </si>
  <si>
    <t>BPP_new_20_75_5.C</t>
  </si>
  <si>
    <t>BPP_new_20_75_6.C</t>
  </si>
  <si>
    <t>BPP_new_20_75_7.C</t>
  </si>
  <si>
    <t>BPP_new_20_75_8.C</t>
  </si>
  <si>
    <t>BPP_new_20_75_9.C</t>
  </si>
  <si>
    <t>HBPP_02015007_09180.C</t>
  </si>
  <si>
    <t>HBPP_04000107_06970.C</t>
  </si>
  <si>
    <t>HBPP_04005007_06120.C</t>
  </si>
  <si>
    <t>HBPP_04005009_03610.C</t>
  </si>
  <si>
    <t>HBPP_06000106_07820.C</t>
  </si>
  <si>
    <t>HBPP_06000110_01950.C</t>
  </si>
  <si>
    <t>HBPP_06005007_00330.C</t>
  </si>
  <si>
    <t>HBPP_06005007_03820.C</t>
  </si>
  <si>
    <t>HBPP_06005008_07550.C</t>
  </si>
  <si>
    <t>HBPP_06015006_00670.C</t>
  </si>
  <si>
    <t>HBPP_06015009_04030.C</t>
  </si>
  <si>
    <t>HBPP_06015010_07710.C</t>
  </si>
  <si>
    <t>HBPP_06025005_06390.C</t>
  </si>
  <si>
    <t>HBPP_08000107_06240.C</t>
  </si>
  <si>
    <t>HBPP_08005006_08620.C</t>
  </si>
  <si>
    <t>HBPP_08005007_03940.C</t>
  </si>
  <si>
    <t>HBPP_10000107_05080.C</t>
  </si>
  <si>
    <t>HBPP_10000107_07330.C</t>
  </si>
  <si>
    <t>HBPP_10000108_02570.C</t>
  </si>
  <si>
    <t>HBPP_10015007_04640.C</t>
  </si>
  <si>
    <t>HBPP_12000107_08940.C</t>
  </si>
  <si>
    <t>HBPP_12000108_00350.C</t>
  </si>
  <si>
    <t>HBPP_12000109_09170.C</t>
  </si>
  <si>
    <t>HBPP_12000110_06550.C</t>
  </si>
  <si>
    <t>HBPP_12005007_01380.C</t>
  </si>
  <si>
    <t>HBPP_12005007_01800.C</t>
  </si>
  <si>
    <t>HBPP_12005007_03240.C</t>
  </si>
  <si>
    <t>HBPP_12005008_04500.C</t>
  </si>
  <si>
    <t>HBPP_12015007_01650.C</t>
  </si>
  <si>
    <t>HBPP_12015009_07400.C</t>
  </si>
  <si>
    <t>HBPP_14005010_04470.C</t>
  </si>
  <si>
    <t>HBPP_14015007_01210.C</t>
  </si>
  <si>
    <t>HBPP_14015008_03730.C</t>
  </si>
  <si>
    <t>HBPP_16000107_00140.C</t>
  </si>
  <si>
    <t>HBPP_16000108_01490.C</t>
  </si>
  <si>
    <t>HBPP_16000110_02790.C</t>
  </si>
  <si>
    <t>HBPP_16005009_00010.C</t>
  </si>
  <si>
    <t>HBPP_16005009_01610.C</t>
  </si>
  <si>
    <t>HBPP_16015007_02060.C</t>
  </si>
  <si>
    <t>HBPP_16015009_09810.C</t>
  </si>
  <si>
    <t>HBPP_18000108_03590.C</t>
  </si>
  <si>
    <t>HBPP_18000108_07160.C</t>
  </si>
  <si>
    <t>HBPP_18000110_04390.C</t>
  </si>
  <si>
    <t>HBPP_18015008_08210.C</t>
  </si>
  <si>
    <t>HBPP_18015010_06050.C</t>
  </si>
  <si>
    <t>HBPP_20000107_01190.C</t>
  </si>
  <si>
    <t>HBPP_20000108_00250.C</t>
  </si>
  <si>
    <t>HBPP_20000108_01750.C</t>
  </si>
  <si>
    <t>HBPP_20005008_01240.C</t>
  </si>
  <si>
    <t>HBPP_20005009_02000.C</t>
  </si>
  <si>
    <t>HBPP_20005010_09530.C</t>
  </si>
  <si>
    <t>HBPP_20015007_06370.C</t>
  </si>
  <si>
    <t>HBPP_20015009_02720.C</t>
  </si>
  <si>
    <t>BPP_100_1000_0.1_0.8_0.C</t>
  </si>
  <si>
    <t>BPP_100_1000_0.1_0.8_1.C</t>
  </si>
  <si>
    <t>BPP_100_1000_0.1_0.8_2.C</t>
  </si>
  <si>
    <t>BPP_100_1000_0.1_0.8_3.C</t>
  </si>
  <si>
    <t>BPP_100_1000_0.1_0.8_4.C</t>
  </si>
  <si>
    <t>BPP_100_1000_0.1_0.8_5.C</t>
  </si>
  <si>
    <t>BPP_100_1000_0.1_0.8_6.C</t>
  </si>
  <si>
    <t>BPP_100_1000_0.1_0.8_7.C</t>
  </si>
  <si>
    <t>BPP_100_1000_0.1_0.8_8.C</t>
  </si>
  <si>
    <t>BPP_100_1000_0.1_0.8_9.C</t>
  </si>
  <si>
    <t>BPP_100_100_0.1_0.8_0.C</t>
  </si>
  <si>
    <t>BPP_100_100_0.1_0.8_1.C</t>
  </si>
  <si>
    <t>BPP_100_100_0.1_0.8_2.C</t>
  </si>
  <si>
    <t>BPP_100_100_0.1_0.8_3.C</t>
  </si>
  <si>
    <t>BPP_100_100_0.1_0.8_4.C</t>
  </si>
  <si>
    <t>BPP_100_100_0.1_0.8_5.C</t>
  </si>
  <si>
    <t>BPP_100_100_0.1_0.8_6.C</t>
  </si>
  <si>
    <t>BPP_100_100_0.1_0.8_7.C</t>
  </si>
  <si>
    <t>BPP_100_100_0.1_0.8_8.C</t>
  </si>
  <si>
    <t>BPP_100_100_0.1_0.8_9.C</t>
  </si>
  <si>
    <t>BPP_100_120_0.1_0.8_0.C</t>
  </si>
  <si>
    <t>BPP_100_120_0.1_0.8_1.C</t>
  </si>
  <si>
    <t>BPP_100_120_0.1_0.8_2.C</t>
  </si>
  <si>
    <t>BPP_100_120_0.1_0.8_3.C</t>
  </si>
  <si>
    <t>BPP_100_120_0.1_0.8_4.C</t>
  </si>
  <si>
    <t>BPP_100_120_0.1_0.8_5.C</t>
  </si>
  <si>
    <t>BPP_100_120_0.1_0.8_6.C</t>
  </si>
  <si>
    <t>BPP_100_120_0.1_0.8_7.C</t>
  </si>
  <si>
    <t>BPP_100_120_0.1_0.8_8.C</t>
  </si>
  <si>
    <t>BPP_100_120_0.1_0.8_9.C</t>
  </si>
  <si>
    <t>BPP_100_125_0.1_0.8_0.C</t>
  </si>
  <si>
    <t>BPP_100_125_0.1_0.8_1.C</t>
  </si>
  <si>
    <t>BPP_100_125_0.1_0.8_2.C</t>
  </si>
  <si>
    <t>BPP_100_125_0.1_0.8_3.C</t>
  </si>
  <si>
    <t>BPP_100_125_0.1_0.8_4.C</t>
  </si>
  <si>
    <t>BPP_100_125_0.1_0.8_5.C</t>
  </si>
  <si>
    <t>BPP_100_125_0.1_0.8_6.C</t>
  </si>
  <si>
    <t>BPP_100_125_0.1_0.8_7.C</t>
  </si>
  <si>
    <t>BPP_100_125_0.1_0.8_8.C</t>
  </si>
  <si>
    <t>BPP_100_125_0.1_0.8_9.C</t>
  </si>
  <si>
    <t>BPP_100_150_0.1_0.8_0.C</t>
  </si>
  <si>
    <t>BPP_100_150_0.1_0.8_1.C</t>
  </si>
  <si>
    <t>BPP_100_150_0.1_0.8_2.C</t>
  </si>
  <si>
    <t>BPP_100_150_0.1_0.8_3.C</t>
  </si>
  <si>
    <t>BPP_100_150_0.1_0.8_4.C</t>
  </si>
  <si>
    <t>BPP_100_150_0.1_0.8_5.C</t>
  </si>
  <si>
    <t>BPP_100_150_0.1_0.8_6.C</t>
  </si>
  <si>
    <t>BPP_100_150_0.1_0.8_7.C</t>
  </si>
  <si>
    <t>BPP_100_150_0.1_0.8_8.C</t>
  </si>
  <si>
    <t>BPP_100_150_0.1_0.8_9.C</t>
  </si>
  <si>
    <t>BPP_100_200_0.1_0.8_0.C</t>
  </si>
  <si>
    <t>BPP_100_200_0.1_0.8_1.C</t>
  </si>
  <si>
    <t>BPP_100_200_0.1_0.8_2.C</t>
  </si>
  <si>
    <t>BPP_100_200_0.1_0.8_3.C</t>
  </si>
  <si>
    <t>BPP_100_200_0.1_0.8_4.C</t>
  </si>
  <si>
    <t>BPP_100_200_0.1_0.8_5.C</t>
  </si>
  <si>
    <t>BPP_100_200_0.1_0.8_6.C</t>
  </si>
  <si>
    <t>BPP_100_200_0.1_0.8_7.C</t>
  </si>
  <si>
    <t>BPP_100_200_0.1_0.8_8.C</t>
  </si>
  <si>
    <t>BPP_100_200_0.1_0.8_9.C</t>
  </si>
  <si>
    <t>BPP_100_300_0.1_0.8_0.C</t>
  </si>
  <si>
    <t>BPP_100_300_0.1_0.8_1.C</t>
  </si>
  <si>
    <t>BPP_100_300_0.1_0.8_2.C</t>
  </si>
  <si>
    <t>BPP_100_300_0.1_0.8_3.C</t>
  </si>
  <si>
    <t>BPP_100_300_0.1_0.8_4.C</t>
  </si>
  <si>
    <t>BPP_100_300_0.1_0.8_5.C</t>
  </si>
  <si>
    <t>BPP_100_300_0.1_0.8_6.C</t>
  </si>
  <si>
    <t>BPP_100_300_0.1_0.8_7.C</t>
  </si>
  <si>
    <t>BPP_100_300_0.1_0.8_8.C</t>
  </si>
  <si>
    <t>BPP_100_300_0.1_0.8_9.C</t>
  </si>
  <si>
    <t>BPP_100_400_0.1_0.8_0.C</t>
  </si>
  <si>
    <t>BPP_100_400_0.1_0.8_1.C</t>
  </si>
  <si>
    <t>BPP_100_400_0.1_0.8_2.C</t>
  </si>
  <si>
    <t>BPP_100_400_0.1_0.8_3.C</t>
  </si>
  <si>
    <t>BPP_100_400_0.1_0.8_4.C</t>
  </si>
  <si>
    <t>BPP_100_400_0.1_0.8_5.C</t>
  </si>
  <si>
    <t>BPP_100_400_0.1_0.8_6.C</t>
  </si>
  <si>
    <t>BPP_100_400_0.1_0.8_7.C</t>
  </si>
  <si>
    <t>BPP_100_400_0.1_0.8_8.C</t>
  </si>
  <si>
    <t>BPP_100_400_0.1_0.8_9.C</t>
  </si>
  <si>
    <t>BPP_100_500_0.1_0.8_0.C</t>
  </si>
  <si>
    <t>BPP_100_500_0.1_0.8_1.C</t>
  </si>
  <si>
    <t>BPP_100_500_0.1_0.8_2.C</t>
  </si>
  <si>
    <t>BPP_100_500_0.1_0.8_3.C</t>
  </si>
  <si>
    <t>BPP_100_500_0.1_0.8_4.C</t>
  </si>
  <si>
    <t>BPP_100_500_0.1_0.8_5.C</t>
  </si>
  <si>
    <t>BPP_100_500_0.1_0.8_6.C</t>
  </si>
  <si>
    <t>BPP_100_500_0.1_0.8_7.C</t>
  </si>
  <si>
    <t>BPP_100_500_0.1_0.8_8.C</t>
  </si>
  <si>
    <t>BPP_100_500_0.1_0.8_9.C</t>
  </si>
  <si>
    <t>BPP_100_50_0.1_0.8_0.C</t>
  </si>
  <si>
    <t>BPP_100_50_0.1_0.8_1.C</t>
  </si>
  <si>
    <t>BPP_100_50_0.1_0.8_2.C</t>
  </si>
  <si>
    <t>BPP_100_50_0.1_0.8_3.C</t>
  </si>
  <si>
    <t>BPP_100_50_0.1_0.8_4.C</t>
  </si>
  <si>
    <t>BPP_100_50_0.1_0.8_5.C</t>
  </si>
  <si>
    <t>BPP_100_50_0.1_0.8_6.C</t>
  </si>
  <si>
    <t>BPP_100_50_0.1_0.8_7.C</t>
  </si>
  <si>
    <t>BPP_100_50_0.1_0.8_8.C</t>
  </si>
  <si>
    <t>BPP_100_50_0.1_0.8_9.C</t>
  </si>
  <si>
    <t>BPP_100_750_0.1_0.8_0.C</t>
  </si>
  <si>
    <t>BPP_100_750_0.1_0.8_1.C</t>
  </si>
  <si>
    <t>BPP_100_750_0.1_0.8_2.C</t>
  </si>
  <si>
    <t>BPP_100_750_0.1_0.8_3.C</t>
  </si>
  <si>
    <t>BPP_100_750_0.1_0.8_4.C</t>
  </si>
  <si>
    <t>BPP_100_750_0.1_0.8_5.C</t>
  </si>
  <si>
    <t>BPP_100_750_0.1_0.8_6.C</t>
  </si>
  <si>
    <t>BPP_100_750_0.1_0.8_7.C</t>
  </si>
  <si>
    <t>BPP_100_750_0.1_0.8_8.C</t>
  </si>
  <si>
    <t>BPP_100_750_0.1_0.8_9.C</t>
  </si>
  <si>
    <t>BPP_100_75_0.1_0.8_0.C</t>
  </si>
  <si>
    <t>BPP_100_75_0.1_0.8_1.C</t>
  </si>
  <si>
    <t>BPP_100_75_0.1_0.8_2.C</t>
  </si>
  <si>
    <t>BPP_100_75_0.1_0.8_3.C</t>
  </si>
  <si>
    <t>BPP_100_75_0.1_0.8_4.C</t>
  </si>
  <si>
    <t>BPP_100_75_0.1_0.8_5.C</t>
  </si>
  <si>
    <t>BPP_100_75_0.1_0.8_6.C</t>
  </si>
  <si>
    <t>BPP_100_75_0.1_0.8_7.C</t>
  </si>
  <si>
    <t>BPP_100_75_0.1_0.8_8.C</t>
  </si>
  <si>
    <t>BPP_100_75_0.1_0.8_9.C</t>
  </si>
  <si>
    <t>BPP_200_1000_0.1_0.8_0.C</t>
  </si>
  <si>
    <t>BPP_200_1000_0.1_0.8_1.C</t>
  </si>
  <si>
    <t>BPP_200_1000_0.1_0.8_2.C</t>
  </si>
  <si>
    <t>BPP_200_1000_0.1_0.8_3.C</t>
  </si>
  <si>
    <t>BPP_200_1000_0.1_0.8_4.C</t>
  </si>
  <si>
    <t>BPP_200_1000_0.1_0.8_5.C</t>
  </si>
  <si>
    <t>BPP_200_1000_0.1_0.8_6.C</t>
  </si>
  <si>
    <t>BPP_200_1000_0.1_0.8_7.C</t>
  </si>
  <si>
    <t>BPP_200_1000_0.1_0.8_8.C</t>
  </si>
  <si>
    <t>BPP_200_1000_0.1_0.8_9.C</t>
  </si>
  <si>
    <t>BPP_200_100_0.1_0.8_0.C</t>
  </si>
  <si>
    <t>BPP_200_100_0.1_0.8_1.C</t>
  </si>
  <si>
    <t>BPP_200_100_0.1_0.8_2.C</t>
  </si>
  <si>
    <t>BPP_200_100_0.1_0.8_3.C</t>
  </si>
  <si>
    <t>BPP_200_100_0.1_0.8_4.C</t>
  </si>
  <si>
    <t>BPP_200_100_0.1_0.8_5.C</t>
  </si>
  <si>
    <t>BPP_200_100_0.1_0.8_6.C</t>
  </si>
  <si>
    <t>BPP_200_100_0.1_0.8_7.C</t>
  </si>
  <si>
    <t>BPP_200_100_0.1_0.8_8.C</t>
  </si>
  <si>
    <t>BPP_200_100_0.1_0.8_9.C</t>
  </si>
  <si>
    <t>BPP_200_120_0.1_0.8_0.C</t>
  </si>
  <si>
    <t>BPP_200_120_0.1_0.8_1.C</t>
  </si>
  <si>
    <t>BPP_200_120_0.1_0.8_2.C</t>
  </si>
  <si>
    <t>BPP_200_120_0.1_0.8_3.C</t>
  </si>
  <si>
    <t>BPP_200_120_0.1_0.8_4.C</t>
  </si>
  <si>
    <t>BPP_200_120_0.1_0.8_5.C</t>
  </si>
  <si>
    <t>BPP_200_120_0.1_0.8_6.C</t>
  </si>
  <si>
    <t>BPP_200_120_0.1_0.8_7.C</t>
  </si>
  <si>
    <t>BPP_200_120_0.1_0.8_8.C</t>
  </si>
  <si>
    <t>BPP_200_120_0.1_0.8_9.C</t>
  </si>
  <si>
    <t>BPP_200_125_0.1_0.8_0.C</t>
  </si>
  <si>
    <t>BPP_200_125_0.1_0.8_1.C</t>
  </si>
  <si>
    <t>BPP_200_125_0.1_0.8_2.C</t>
  </si>
  <si>
    <t>BPP_200_125_0.1_0.8_3.C</t>
  </si>
  <si>
    <t>BPP_200_125_0.1_0.8_4.C</t>
  </si>
  <si>
    <t>BPP_200_125_0.1_0.8_5.C</t>
  </si>
  <si>
    <t>BPP_200_125_0.1_0.8_6.C</t>
  </si>
  <si>
    <t>BPP_200_125_0.1_0.8_7.C</t>
  </si>
  <si>
    <t>BPP_200_125_0.1_0.8_8.C</t>
  </si>
  <si>
    <t>BPP_200_125_0.1_0.8_9.C</t>
  </si>
  <si>
    <t>BPP_200_150_0.1_0.8_0.C</t>
  </si>
  <si>
    <t>BPP_200_150_0.1_0.8_1.C</t>
  </si>
  <si>
    <t>BPP_200_150_0.1_0.8_2.C</t>
  </si>
  <si>
    <t>BPP_200_150_0.1_0.8_3.C</t>
  </si>
  <si>
    <t>BPP_200_150_0.1_0.8_4.C</t>
  </si>
  <si>
    <t>BPP_200_150_0.1_0.8_5.C</t>
  </si>
  <si>
    <t>BPP_200_150_0.1_0.8_6.C</t>
  </si>
  <si>
    <t>BPP_200_150_0.1_0.8_7.C</t>
  </si>
  <si>
    <t>BPP_200_150_0.1_0.8_8.C</t>
  </si>
  <si>
    <t>BPP_200_150_0.1_0.8_9.C</t>
  </si>
  <si>
    <t>BPP_200_200_0.1_0.8_0.C</t>
  </si>
  <si>
    <t>BPP_200_200_0.1_0.8_1.C</t>
  </si>
  <si>
    <t>BPP_200_200_0.1_0.8_2.C</t>
  </si>
  <si>
    <t>BPP_200_200_0.1_0.8_3.C</t>
  </si>
  <si>
    <t>BPP_200_200_0.1_0.8_4.C</t>
  </si>
  <si>
    <t>BPP_200_200_0.1_0.8_5.C</t>
  </si>
  <si>
    <t>BPP_200_200_0.1_0.8_6.C</t>
  </si>
  <si>
    <t>BPP_200_200_0.1_0.8_7.C</t>
  </si>
  <si>
    <t>BPP_200_200_0.1_0.8_8.C</t>
  </si>
  <si>
    <t>BPP_200_200_0.1_0.8_9.C</t>
  </si>
  <si>
    <t>BPP_200_300_0.1_0.8_0.C</t>
  </si>
  <si>
    <t>BPP_200_300_0.1_0.8_1.C</t>
  </si>
  <si>
    <t>BPP_200_300_0.1_0.8_2.C</t>
  </si>
  <si>
    <t>BPP_200_300_0.1_0.8_3.C</t>
  </si>
  <si>
    <t>BPP_200_300_0.1_0.8_4.C</t>
  </si>
  <si>
    <t>BPP_200_300_0.1_0.8_5.C</t>
  </si>
  <si>
    <t>BPP_200_300_0.1_0.8_6.C</t>
  </si>
  <si>
    <t>BPP_200_300_0.1_0.8_7.C</t>
  </si>
  <si>
    <t>BPP_200_300_0.1_0.8_8.C</t>
  </si>
  <si>
    <t>BPP_200_300_0.1_0.8_9.C</t>
  </si>
  <si>
    <t>BPP_200_400_0.1_0.8_0.C</t>
  </si>
  <si>
    <t>BPP_200_400_0.1_0.8_1.C</t>
  </si>
  <si>
    <t>BPP_200_400_0.1_0.8_2.C</t>
  </si>
  <si>
    <t>BPP_200_400_0.1_0.8_3.C</t>
  </si>
  <si>
    <t>BPP_200_400_0.1_0.8_4.C</t>
  </si>
  <si>
    <t>BPP_200_400_0.1_0.8_5.C</t>
  </si>
  <si>
    <t>BPP_200_400_0.1_0.8_6.C</t>
  </si>
  <si>
    <t>BPP_200_400_0.1_0.8_7.C</t>
  </si>
  <si>
    <t>BPP_200_400_0.1_0.8_8.C</t>
  </si>
  <si>
    <t>BPP_200_400_0.1_0.8_9.C</t>
  </si>
  <si>
    <t>BPP_200_500_0.1_0.8_0.C</t>
  </si>
  <si>
    <t>BPP_200_500_0.1_0.8_1.C</t>
  </si>
  <si>
    <t>BPP_200_500_0.1_0.8_2.C</t>
  </si>
  <si>
    <t>BPP_200_500_0.1_0.8_3.C</t>
  </si>
  <si>
    <t>BPP_200_500_0.1_0.8_4.C</t>
  </si>
  <si>
    <t>BPP_200_500_0.1_0.8_5.C</t>
  </si>
  <si>
    <t>BPP_200_500_0.1_0.8_6.C</t>
  </si>
  <si>
    <t>BPP_200_500_0.1_0.8_7.C</t>
  </si>
  <si>
    <t>BPP_200_500_0.1_0.8_8.C</t>
  </si>
  <si>
    <t>BPP_200_500_0.1_0.8_9.C</t>
  </si>
  <si>
    <t>BPP_200_50_0.1_0.8_0.C</t>
  </si>
  <si>
    <t>BPP_200_50_0.1_0.8_1.C</t>
  </si>
  <si>
    <t>BPP_200_50_0.1_0.8_2.C</t>
  </si>
  <si>
    <t>BPP_200_50_0.1_0.8_3.C</t>
  </si>
  <si>
    <t>BPP_200_50_0.1_0.8_4.C</t>
  </si>
  <si>
    <t>BPP_200_50_0.1_0.8_5.C</t>
  </si>
  <si>
    <t>BPP_200_50_0.1_0.8_6.C</t>
  </si>
  <si>
    <t>BPP_200_50_0.1_0.8_7.C</t>
  </si>
  <si>
    <t>BPP_200_50_0.1_0.8_8.C</t>
  </si>
  <si>
    <t>BPP_200_50_0.1_0.8_9.C</t>
  </si>
  <si>
    <t>BPP_200_750_0.1_0.8_0.C</t>
  </si>
  <si>
    <t>BPP_200_750_0.1_0.8_1.C</t>
  </si>
  <si>
    <t>BPP_200_750_0.1_0.8_2.C</t>
  </si>
  <si>
    <t>BPP_200_750_0.1_0.8_3.C</t>
  </si>
  <si>
    <t>BPP_200_750_0.1_0.8_4.C</t>
  </si>
  <si>
    <t>BPP_200_750_0.1_0.8_5.C</t>
  </si>
  <si>
    <t>BPP_200_750_0.1_0.8_6.C</t>
  </si>
  <si>
    <t>BPP_200_750_0.1_0.8_7.C</t>
  </si>
  <si>
    <t>BPP_200_750_0.1_0.8_8.C</t>
  </si>
  <si>
    <t>BPP_200_750_0.1_0.8_9.C</t>
  </si>
  <si>
    <t>BPP_200_75_0.1_0.8_0.C</t>
  </si>
  <si>
    <t>BPP_200_75_0.1_0.8_1.C</t>
  </si>
  <si>
    <t>BPP_200_75_0.1_0.8_2.C</t>
  </si>
  <si>
    <t>BPP_200_75_0.1_0.8_3.C</t>
  </si>
  <si>
    <t>BPP_200_75_0.1_0.8_4.C</t>
  </si>
  <si>
    <t>BPP_200_75_0.1_0.8_5.C</t>
  </si>
  <si>
    <t>BPP_200_75_0.1_0.8_6.C</t>
  </si>
  <si>
    <t>BPP_200_75_0.1_0.8_7.C</t>
  </si>
  <si>
    <t>BPP_200_75_0.1_0.8_8.C</t>
  </si>
  <si>
    <t>BPP_200_75_0.1_0.8_9.C</t>
  </si>
  <si>
    <t>BPP_50_1000_0.1_0.8_0.C</t>
  </si>
  <si>
    <t>BPP_50_1000_0.1_0.8_1.C</t>
  </si>
  <si>
    <t>BPP_50_1000_0.1_0.8_2.C</t>
  </si>
  <si>
    <t>BPP_50_1000_0.1_0.8_3.C</t>
  </si>
  <si>
    <t>BPP_50_1000_0.1_0.8_4.C</t>
  </si>
  <si>
    <t>BPP_50_1000_0.1_0.8_5.C</t>
  </si>
  <si>
    <t>BPP_50_1000_0.1_0.8_6.C</t>
  </si>
  <si>
    <t>BPP_50_1000_0.1_0.8_7.C</t>
  </si>
  <si>
    <t>BPP_50_1000_0.1_0.8_8.C</t>
  </si>
  <si>
    <t>BPP_50_1000_0.1_0.8_9.C</t>
  </si>
  <si>
    <t>BPP_50_100_0.1_0.8_0.C</t>
  </si>
  <si>
    <t>BPP_50_100_0.1_0.8_1.C</t>
  </si>
  <si>
    <t>BPP_50_100_0.1_0.8_2.C</t>
  </si>
  <si>
    <t>BPP_50_100_0.1_0.8_3.C</t>
  </si>
  <si>
    <t>BPP_50_100_0.1_0.8_4.C</t>
  </si>
  <si>
    <t>BPP_50_100_0.1_0.8_5.C</t>
  </si>
  <si>
    <t>BPP_50_100_0.1_0.8_6.C</t>
  </si>
  <si>
    <t>BPP_50_100_0.1_0.8_7.C</t>
  </si>
  <si>
    <t>BPP_50_100_0.1_0.8_8.C</t>
  </si>
  <si>
    <t>BPP_50_100_0.1_0.8_9.C</t>
  </si>
  <si>
    <t>BPP_50_120_0.1_0.8_0.C</t>
  </si>
  <si>
    <t>BPP_50_120_0.1_0.8_1.C</t>
  </si>
  <si>
    <t>BPP_50_120_0.1_0.8_2.C</t>
  </si>
  <si>
    <t>BPP_50_120_0.1_0.8_3.C</t>
  </si>
  <si>
    <t>BPP_50_120_0.1_0.8_4.C</t>
  </si>
  <si>
    <t>BPP_50_120_0.1_0.8_5.C</t>
  </si>
  <si>
    <t>BPP_50_120_0.1_0.8_6.C</t>
  </si>
  <si>
    <t>BPP_50_120_0.1_0.8_7.C</t>
  </si>
  <si>
    <t>BPP_50_120_0.1_0.8_8.C</t>
  </si>
  <si>
    <t>BPP_50_120_0.1_0.8_9.C</t>
  </si>
  <si>
    <t>BPP_50_125_0.1_0.8_0.C</t>
  </si>
  <si>
    <t>BPP_50_125_0.1_0.8_1.C</t>
  </si>
  <si>
    <t>BPP_50_125_0.1_0.8_2.C</t>
  </si>
  <si>
    <t>BPP_50_125_0.1_0.8_3.C</t>
  </si>
  <si>
    <t>BPP_50_125_0.1_0.8_4.C</t>
  </si>
  <si>
    <t>BPP_50_125_0.1_0.8_5.C</t>
  </si>
  <si>
    <t>BPP_50_125_0.1_0.8_6.C</t>
  </si>
  <si>
    <t>BPP_50_125_0.1_0.8_7.C</t>
  </si>
  <si>
    <t>BPP_50_125_0.1_0.8_8.C</t>
  </si>
  <si>
    <t>BPP_50_125_0.1_0.8_9.C</t>
  </si>
  <si>
    <t>BPP_50_150_0.1_0.8_0.C</t>
  </si>
  <si>
    <t>BPP_50_150_0.1_0.8_1.C</t>
  </si>
  <si>
    <t>BPP_50_150_0.1_0.8_2.C</t>
  </si>
  <si>
    <t>BPP_50_150_0.1_0.8_3.C</t>
  </si>
  <si>
    <t>BPP_50_150_0.1_0.8_4.C</t>
  </si>
  <si>
    <t>BPP_50_150_0.1_0.8_5.C</t>
  </si>
  <si>
    <t>BPP_50_150_0.1_0.8_6.C</t>
  </si>
  <si>
    <t>BPP_50_150_0.1_0.8_7.C</t>
  </si>
  <si>
    <t>BPP_50_150_0.1_0.8_8.C</t>
  </si>
  <si>
    <t>BPP_50_150_0.1_0.8_9.C</t>
  </si>
  <si>
    <t>BPP_50_200_0.1_0.8_0.C</t>
  </si>
  <si>
    <t>BPP_50_200_0.1_0.8_1.C</t>
  </si>
  <si>
    <t>BPP_50_200_0.1_0.8_2.C</t>
  </si>
  <si>
    <t>BPP_50_200_0.1_0.8_3.C</t>
  </si>
  <si>
    <t>BPP_50_200_0.1_0.8_4.C</t>
  </si>
  <si>
    <t>BPP_50_200_0.1_0.8_5.C</t>
  </si>
  <si>
    <t>BPP_50_200_0.1_0.8_6.C</t>
  </si>
  <si>
    <t>BPP_50_200_0.1_0.8_7.C</t>
  </si>
  <si>
    <t>BPP_50_200_0.1_0.8_8.C</t>
  </si>
  <si>
    <t>BPP_50_200_0.1_0.8_9.C</t>
  </si>
  <si>
    <t>BPP_50_300_0.1_0.8_0.C</t>
  </si>
  <si>
    <t>BPP_50_300_0.1_0.8_1.C</t>
  </si>
  <si>
    <t>BPP_50_300_0.1_0.8_2.C</t>
  </si>
  <si>
    <t>BPP_50_300_0.1_0.8_3.C</t>
  </si>
  <si>
    <t>BPP_50_300_0.1_0.8_4.C</t>
  </si>
  <si>
    <t>BPP_50_300_0.1_0.8_5.C</t>
  </si>
  <si>
    <t>BPP_50_300_0.1_0.8_6.C</t>
  </si>
  <si>
    <t>BPP_50_300_0.1_0.8_7.C</t>
  </si>
  <si>
    <t>BPP_50_300_0.1_0.8_8.C</t>
  </si>
  <si>
    <t>BPP_50_300_0.1_0.8_9.C</t>
  </si>
  <si>
    <t>BPP_50_400_0.1_0.8_0.C</t>
  </si>
  <si>
    <t>BPP_50_400_0.1_0.8_1.C</t>
  </si>
  <si>
    <t>BPP_50_400_0.1_0.8_2.C</t>
  </si>
  <si>
    <t>BPP_50_400_0.1_0.8_3.C</t>
  </si>
  <si>
    <t>BPP_50_400_0.1_0.8_4.C</t>
  </si>
  <si>
    <t>BPP_50_400_0.1_0.8_5.C</t>
  </si>
  <si>
    <t>BPP_50_400_0.1_0.8_6.C</t>
  </si>
  <si>
    <t>BPP_50_400_0.1_0.8_7.C</t>
  </si>
  <si>
    <t>BPP_50_400_0.1_0.8_8.C</t>
  </si>
  <si>
    <t>BPP_50_400_0.1_0.8_9.C</t>
  </si>
  <si>
    <t>BPP_50_500_0.1_0.8_0.C</t>
  </si>
  <si>
    <t>BPP_50_500_0.1_0.8_1.C</t>
  </si>
  <si>
    <t>BPP_50_500_0.1_0.8_2.C</t>
  </si>
  <si>
    <t>BPP_50_500_0.1_0.8_3.C</t>
  </si>
  <si>
    <t>BPP_50_500_0.1_0.8_4.C</t>
  </si>
  <si>
    <t>BPP_50_500_0.1_0.8_5.C</t>
  </si>
  <si>
    <t>BPP_50_500_0.1_0.8_6.C</t>
  </si>
  <si>
    <t>BPP_50_500_0.1_0.8_7.C</t>
  </si>
  <si>
    <t>BPP_50_500_0.1_0.8_8.C</t>
  </si>
  <si>
    <t>BPP_50_500_0.1_0.8_9.C</t>
  </si>
  <si>
    <t>BPP_50_50_0.1_0.8_0.C</t>
  </si>
  <si>
    <t>BPP_50_50_0.1_0.8_1.C</t>
  </si>
  <si>
    <t>BPP_50_50_0.1_0.8_2.C</t>
  </si>
  <si>
    <t>BPP_50_50_0.1_0.8_3.C</t>
  </si>
  <si>
    <t>BPP_50_50_0.1_0.8_4.C</t>
  </si>
  <si>
    <t>BPP_50_50_0.1_0.8_5.C</t>
  </si>
  <si>
    <t>BPP_50_50_0.1_0.8_6.C</t>
  </si>
  <si>
    <t>BPP_50_50_0.1_0.8_7.C</t>
  </si>
  <si>
    <t>BPP_50_50_0.1_0.8_8.C</t>
  </si>
  <si>
    <t>BPP_50_50_0.1_0.8_9.C</t>
  </si>
  <si>
    <t>BPP_50_750_0.1_0.8_0.C</t>
  </si>
  <si>
    <t>BPP_50_750_0.1_0.8_1.C</t>
  </si>
  <si>
    <t>BPP_50_750_0.1_0.8_2.C</t>
  </si>
  <si>
    <t>BPP_50_750_0.1_0.8_3.C</t>
  </si>
  <si>
    <t>BPP_50_750_0.1_0.8_4.C</t>
  </si>
  <si>
    <t>BPP_50_750_0.1_0.8_5.C</t>
  </si>
  <si>
    <t>BPP_50_750_0.1_0.8_6.C</t>
  </si>
  <si>
    <t>BPP_50_750_0.1_0.8_7.C</t>
  </si>
  <si>
    <t>BPP_50_750_0.1_0.8_8.C</t>
  </si>
  <si>
    <t>BPP_50_750_0.1_0.8_9.C</t>
  </si>
  <si>
    <t>BPP_50_75_0.1_0.8_0.C</t>
  </si>
  <si>
    <t>BPP_50_75_0.1_0.8_1.C</t>
  </si>
  <si>
    <t>BPP_50_75_0.1_0.8_2.C</t>
  </si>
  <si>
    <t>BPP_50_75_0.1_0.8_3.C</t>
  </si>
  <si>
    <t>BPP_50_75_0.1_0.8_4.C</t>
  </si>
  <si>
    <t>BPP_50_75_0.1_0.8_5.C</t>
  </si>
  <si>
    <t>BPP_50_75_0.1_0.8_6.C</t>
  </si>
  <si>
    <t>BPP_50_75_0.1_0.8_7.C</t>
  </si>
  <si>
    <t>BPP_50_75_0.1_0.8_8.C</t>
  </si>
  <si>
    <t>BPP_50_75_0.1_0.8_9.C</t>
  </si>
  <si>
    <t>RUN 1</t>
  </si>
  <si>
    <t>RUN 2</t>
  </si>
  <si>
    <t>RUN 3</t>
  </si>
  <si>
    <t>RUN 4</t>
  </si>
  <si>
    <t>RUN 5</t>
  </si>
  <si>
    <t>RUN 6</t>
  </si>
  <si>
    <t>RUN 7</t>
  </si>
  <si>
    <t>RUN 8</t>
  </si>
  <si>
    <t>RUN 9</t>
  </si>
  <si>
    <t>RUN 10</t>
  </si>
  <si>
    <t>#BINS BEST</t>
  </si>
  <si>
    <t>SCHEDULING TERM BEST</t>
  </si>
  <si>
    <t>RUNNING TIME</t>
  </si>
  <si>
    <t>AVERAGE RUNNING TIME</t>
  </si>
  <si>
    <t>BEST</t>
  </si>
  <si>
    <t>Configuration</t>
  </si>
  <si>
    <t>Alpha 1 = 0.2</t>
  </si>
  <si>
    <t>Alpha 2 = 0.8</t>
  </si>
  <si>
    <t>Processing time = 0.2</t>
  </si>
  <si>
    <t>Setup time = 1</t>
  </si>
  <si>
    <t>RESULTS LNS</t>
  </si>
  <si>
    <t>RESULTS SVC</t>
  </si>
  <si>
    <t>RESULTS SVC-VND</t>
  </si>
  <si>
    <t># COLS</t>
  </si>
  <si>
    <t>PRIMAL BOUND</t>
  </si>
  <si>
    <t>DUAL BOUND</t>
  </si>
  <si>
    <t>GAP</t>
  </si>
  <si>
    <t xml:space="preserve">BPP_new_20_1000_1.C </t>
  </si>
  <si>
    <t xml:space="preserve">BPP_new_20_1000_10.C </t>
  </si>
  <si>
    <t xml:space="preserve">BPP_new_20_1000_2.C </t>
  </si>
  <si>
    <t xml:space="preserve">BPP_new_20_1000_3.C </t>
  </si>
  <si>
    <t xml:space="preserve">BPP_new_20_1000_4.C </t>
  </si>
  <si>
    <t xml:space="preserve">BPP_new_20_1000_5.C </t>
  </si>
  <si>
    <t xml:space="preserve">BPP_new_20_1000_6.C </t>
  </si>
  <si>
    <t xml:space="preserve">BPP_new_20_1000_7.C </t>
  </si>
  <si>
    <t xml:space="preserve">BPP_new_20_1000_8.C </t>
  </si>
  <si>
    <t xml:space="preserve">BPP_new_20_1000_9.C </t>
  </si>
  <si>
    <t xml:space="preserve">BPP_new_20_100_1.C </t>
  </si>
  <si>
    <t xml:space="preserve">BPP_new_20_100_10.C </t>
  </si>
  <si>
    <t xml:space="preserve">BPP_new_20_100_2.C </t>
  </si>
  <si>
    <t xml:space="preserve">BPP_new_20_100_3.C </t>
  </si>
  <si>
    <t xml:space="preserve">BPP_new_20_100_4.C </t>
  </si>
  <si>
    <t xml:space="preserve">BPP_new_20_100_5.C </t>
  </si>
  <si>
    <t xml:space="preserve">BPP_new_20_100_6.C </t>
  </si>
  <si>
    <t xml:space="preserve">BPP_new_20_100_7.C </t>
  </si>
  <si>
    <t xml:space="preserve">BPP_new_20_100_8.C </t>
  </si>
  <si>
    <t xml:space="preserve">BPP_new_20_100_9.C </t>
  </si>
  <si>
    <t xml:space="preserve">BPP_new_20_120_1.C </t>
  </si>
  <si>
    <t xml:space="preserve">BPP_new_20_120_10.C </t>
  </si>
  <si>
    <t xml:space="preserve">BPP_new_20_120_2.C </t>
  </si>
  <si>
    <t xml:space="preserve">BPP_new_20_120_3.C </t>
  </si>
  <si>
    <t xml:space="preserve">BPP_new_20_120_4.C </t>
  </si>
  <si>
    <t xml:space="preserve">BPP_new_20_120_5.C </t>
  </si>
  <si>
    <t xml:space="preserve">BPP_new_20_120_6.C </t>
  </si>
  <si>
    <t xml:space="preserve">BPP_new_20_120_7.C </t>
  </si>
  <si>
    <t xml:space="preserve">BPP_new_20_120_8.C </t>
  </si>
  <si>
    <t xml:space="preserve">BPP_new_20_120_9.C </t>
  </si>
  <si>
    <t xml:space="preserve">BPP_new_20_125_1.C </t>
  </si>
  <si>
    <t xml:space="preserve">BPP_new_20_125_10.C </t>
  </si>
  <si>
    <t xml:space="preserve">BPP_new_20_125_2.C </t>
  </si>
  <si>
    <t xml:space="preserve">BPP_new_20_125_3.C </t>
  </si>
  <si>
    <t xml:space="preserve">BPP_new_20_125_4.C </t>
  </si>
  <si>
    <t xml:space="preserve">BPP_new_20_125_5.C </t>
  </si>
  <si>
    <t xml:space="preserve">BPP_new_20_125_6.C </t>
  </si>
  <si>
    <t xml:space="preserve">BPP_new_20_125_7.C </t>
  </si>
  <si>
    <t xml:space="preserve">BPP_new_20_125_8.C </t>
  </si>
  <si>
    <t xml:space="preserve">BPP_new_20_125_9.C </t>
  </si>
  <si>
    <t xml:space="preserve">BPP_new_20_150_1.C </t>
  </si>
  <si>
    <t xml:space="preserve">BPP_new_20_150_10.C </t>
  </si>
  <si>
    <t xml:space="preserve">BPP_new_20_150_2.C </t>
  </si>
  <si>
    <t xml:space="preserve">BPP_new_20_150_3.C </t>
  </si>
  <si>
    <t xml:space="preserve">BPP_new_20_150_4.C </t>
  </si>
  <si>
    <t xml:space="preserve">BPP_new_20_150_5.C </t>
  </si>
  <si>
    <t xml:space="preserve">BPP_new_20_150_6.C </t>
  </si>
  <si>
    <t xml:space="preserve">BPP_new_20_150_7.C </t>
  </si>
  <si>
    <t xml:space="preserve">BPP_new_20_150_8.C </t>
  </si>
  <si>
    <t xml:space="preserve">BPP_new_20_150_9.C </t>
  </si>
  <si>
    <t xml:space="preserve">BPP_new_20_200_1.C </t>
  </si>
  <si>
    <t xml:space="preserve">BPP_new_20_200_10.C </t>
  </si>
  <si>
    <t xml:space="preserve">BPP_new_20_200_2.C </t>
  </si>
  <si>
    <t xml:space="preserve">BPP_new_20_200_3.C </t>
  </si>
  <si>
    <t xml:space="preserve">BPP_new_20_200_4.C </t>
  </si>
  <si>
    <t xml:space="preserve">BPP_new_20_200_5.C </t>
  </si>
  <si>
    <t xml:space="preserve">BPP_new_20_200_6.C </t>
  </si>
  <si>
    <t xml:space="preserve">BPP_new_20_200_7.C </t>
  </si>
  <si>
    <t xml:space="preserve">BPP_new_20_200_8.C </t>
  </si>
  <si>
    <t xml:space="preserve">BPP_new_20_200_9.C </t>
  </si>
  <si>
    <t xml:space="preserve">BPP_new_20_300_1.C </t>
  </si>
  <si>
    <t xml:space="preserve">BPP_new_20_300_10.C </t>
  </si>
  <si>
    <t xml:space="preserve">BPP_new_20_300_2.C </t>
  </si>
  <si>
    <t xml:space="preserve">BPP_new_20_300_3.C </t>
  </si>
  <si>
    <t xml:space="preserve">BPP_new_20_300_4.C </t>
  </si>
  <si>
    <t xml:space="preserve">BPP_new_20_300_5.C </t>
  </si>
  <si>
    <t xml:space="preserve">BPP_new_20_300_6.C </t>
  </si>
  <si>
    <t xml:space="preserve">BPP_new_20_300_7.C </t>
  </si>
  <si>
    <t xml:space="preserve">BPP_new_20_300_8.C </t>
  </si>
  <si>
    <t xml:space="preserve">BPP_new_20_300_9.C </t>
  </si>
  <si>
    <t xml:space="preserve">BPP_new_20_400_1.C </t>
  </si>
  <si>
    <t xml:space="preserve">BPP_new_20_400_10.C </t>
  </si>
  <si>
    <t xml:space="preserve">BPP_new_20_400_2.C </t>
  </si>
  <si>
    <t xml:space="preserve">BPP_new_20_400_3.C </t>
  </si>
  <si>
    <t xml:space="preserve">BPP_new_20_400_4.C </t>
  </si>
  <si>
    <t xml:space="preserve">BPP_new_20_400_5.C </t>
  </si>
  <si>
    <t xml:space="preserve">BPP_new_20_400_6.C </t>
  </si>
  <si>
    <t xml:space="preserve">BPP_new_20_400_7.C </t>
  </si>
  <si>
    <t xml:space="preserve">BPP_new_20_400_8.C </t>
  </si>
  <si>
    <t xml:space="preserve">BPP_new_20_400_9.C </t>
  </si>
  <si>
    <t xml:space="preserve">BPP_new_20_500_1.C </t>
  </si>
  <si>
    <t xml:space="preserve">BPP_new_20_500_10.C </t>
  </si>
  <si>
    <t xml:space="preserve">BPP_new_20_500_2.C </t>
  </si>
  <si>
    <t xml:space="preserve">BPP_new_20_500_3.C </t>
  </si>
  <si>
    <t xml:space="preserve">BPP_new_20_500_4.C </t>
  </si>
  <si>
    <t xml:space="preserve">BPP_new_20_500_5.C </t>
  </si>
  <si>
    <t xml:space="preserve">BPP_new_20_500_6.C </t>
  </si>
  <si>
    <t xml:space="preserve">BPP_new_20_500_7.C </t>
  </si>
  <si>
    <t xml:space="preserve">BPP_new_20_500_8.C </t>
  </si>
  <si>
    <t xml:space="preserve">BPP_new_20_500_9.C </t>
  </si>
  <si>
    <t xml:space="preserve">BPP_new_20_50_1.C </t>
  </si>
  <si>
    <t xml:space="preserve">BPP_new_20_50_10.C </t>
  </si>
  <si>
    <t xml:space="preserve">BPP_new_20_50_2.C </t>
  </si>
  <si>
    <t xml:space="preserve">BPP_new_20_50_3.C </t>
  </si>
  <si>
    <t xml:space="preserve">BPP_new_20_50_4.C </t>
  </si>
  <si>
    <t xml:space="preserve">BPP_new_20_50_5.C </t>
  </si>
  <si>
    <t xml:space="preserve">BPP_new_20_50_6.C </t>
  </si>
  <si>
    <t xml:space="preserve">BPP_new_20_50_7.C </t>
  </si>
  <si>
    <t xml:space="preserve">BPP_new_20_50_8.C </t>
  </si>
  <si>
    <t xml:space="preserve">BPP_new_20_50_9.C </t>
  </si>
  <si>
    <t xml:space="preserve">BPP_new_20_750_1.C </t>
  </si>
  <si>
    <t xml:space="preserve">BPP_new_20_750_10.C </t>
  </si>
  <si>
    <t xml:space="preserve">BPP_new_20_750_2.C </t>
  </si>
  <si>
    <t xml:space="preserve">BPP_new_20_750_3.C </t>
  </si>
  <si>
    <t xml:space="preserve">BPP_new_20_750_4.C </t>
  </si>
  <si>
    <t xml:space="preserve">BPP_new_20_750_5.C </t>
  </si>
  <si>
    <t xml:space="preserve">BPP_new_20_750_6.C </t>
  </si>
  <si>
    <t xml:space="preserve">BPP_new_20_750_7.C </t>
  </si>
  <si>
    <t xml:space="preserve">BPP_new_20_750_8.C </t>
  </si>
  <si>
    <t xml:space="preserve">BPP_new_20_750_9.C </t>
  </si>
  <si>
    <t xml:space="preserve">BPP_new_20_75_1.C </t>
  </si>
  <si>
    <t xml:space="preserve">BPP_new_20_75_10.C </t>
  </si>
  <si>
    <t xml:space="preserve">BPP_new_20_75_2.C </t>
  </si>
  <si>
    <t xml:space="preserve">BPP_new_20_75_3.C </t>
  </si>
  <si>
    <t xml:space="preserve">BPP_new_20_75_4.C </t>
  </si>
  <si>
    <t xml:space="preserve">BPP_new_20_75_5.C </t>
  </si>
  <si>
    <t xml:space="preserve">BPP_new_20_75_6.C </t>
  </si>
  <si>
    <t xml:space="preserve">BPP_new_20_75_7.C </t>
  </si>
  <si>
    <t xml:space="preserve">BPP_new_20_75_8.C </t>
  </si>
  <si>
    <t xml:space="preserve">BPP_new_20_75_9.C </t>
  </si>
  <si>
    <t>RESULTS S&amp;F</t>
  </si>
  <si>
    <t>RESULTS B&amp;P</t>
  </si>
  <si>
    <t>RESULTS HEU</t>
  </si>
  <si>
    <t>S&amp;F</t>
  </si>
  <si>
    <t>B&amp;P</t>
  </si>
  <si>
    <t>GAP - HEU</t>
  </si>
  <si>
    <t>GAP - S&amp;F</t>
  </si>
  <si>
    <t>HEU - VND</t>
  </si>
  <si>
    <t xml:space="preserve"> GROUP</t>
  </si>
  <si>
    <t># SOLVED</t>
  </si>
  <si>
    <t>TIME (S)</t>
  </si>
  <si>
    <t xml:space="preserve"># COLUMNS </t>
  </si>
  <si>
    <t>BKS -MARINELLI</t>
  </si>
  <si>
    <t>SVC VND</t>
  </si>
  <si>
    <t xml:space="preserve">LNS </t>
  </si>
  <si>
    <t>SVC</t>
  </si>
  <si>
    <t>RANDOMIZED</t>
  </si>
  <si>
    <t>GAP - LNS</t>
  </si>
  <si>
    <t>LNS</t>
  </si>
  <si>
    <t>DETERMINISTIC</t>
  </si>
  <si>
    <t>GAP - SVC</t>
  </si>
  <si>
    <t>SVC - VND</t>
  </si>
  <si>
    <t>GAP - SVC - VND</t>
  </si>
  <si>
    <t>W</t>
  </si>
  <si>
    <t>L</t>
  </si>
  <si>
    <t>D</t>
  </si>
  <si>
    <t>GAP LNS</t>
  </si>
  <si>
    <t>GAP SVC</t>
  </si>
  <si>
    <t>GAP SVC VND</t>
  </si>
  <si>
    <t>non-IRUP</t>
  </si>
  <si>
    <t>|I|</t>
  </si>
  <si>
    <t>Random_IR</t>
  </si>
  <si>
    <t>INSTANCE (lmax)</t>
  </si>
  <si>
    <t>INSTANCE (n)</t>
  </si>
  <si>
    <t>RUNNING TIMES (non-IRUP)</t>
  </si>
  <si>
    <t>RUNNING TIMES (Random_IR)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</si>
</sst>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0" fillId="0" borderId="1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1" fillId="2" borderId="12" xfId="0" applyFont="1" applyFill="1" applyBorder="1" applyAlignment="1">
      <alignment horizontal="center" vertical="top"/>
    </xf>
    <xf numFmtId="0" fontId="1" fillId="2" borderId="13" xfId="0" applyFont="1" applyFill="1" applyBorder="1" applyAlignment="1">
      <alignment horizontal="center" vertical="top"/>
    </xf>
    <xf numFmtId="0" fontId="1" fillId="2" borderId="14" xfId="0" applyFont="1" applyFill="1" applyBorder="1" applyAlignment="1">
      <alignment horizontal="center" vertical="top"/>
    </xf>
    <xf numFmtId="0" fontId="3" fillId="0" borderId="0" xfId="0" applyFont="1"/>
    <xf numFmtId="0" fontId="0" fillId="0" borderId="15" xfId="0" applyBorder="1" applyAlignment="1">
      <alignment horizontal="left" vertical="center"/>
    </xf>
    <xf numFmtId="0" fontId="1" fillId="2" borderId="16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4" fillId="2" borderId="13" xfId="0" applyFont="1" applyFill="1" applyBorder="1" applyAlignment="1">
      <alignment horizontal="center" vertical="top"/>
    </xf>
    <xf numFmtId="0" fontId="4" fillId="2" borderId="14" xfId="0" applyFont="1" applyFill="1" applyBorder="1" applyAlignment="1">
      <alignment horizontal="center" vertical="top"/>
    </xf>
    <xf numFmtId="0" fontId="4" fillId="2" borderId="17" xfId="0" applyFont="1" applyFill="1" applyBorder="1" applyAlignment="1">
      <alignment horizontal="center" vertical="top"/>
    </xf>
    <xf numFmtId="0" fontId="1" fillId="2" borderId="19" xfId="0" applyFont="1" applyFill="1" applyBorder="1" applyAlignment="1">
      <alignment horizontal="center" vertical="top"/>
    </xf>
    <xf numFmtId="0" fontId="0" fillId="5" borderId="3" xfId="0" applyFill="1" applyBorder="1"/>
    <xf numFmtId="0" fontId="0" fillId="6" borderId="3" xfId="0" applyFill="1" applyBorder="1"/>
    <xf numFmtId="0" fontId="0" fillId="7" borderId="3" xfId="0" applyFill="1" applyBorder="1"/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5" borderId="25" xfId="0" applyFill="1" applyBorder="1"/>
    <xf numFmtId="0" fontId="0" fillId="5" borderId="26" xfId="0" applyFill="1" applyBorder="1"/>
    <xf numFmtId="0" fontId="0" fillId="5" borderId="27" xfId="0" applyFill="1" applyBorder="1"/>
    <xf numFmtId="2" fontId="0" fillId="0" borderId="10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23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2" fontId="0" fillId="0" borderId="20" xfId="0" applyNumberFormat="1" applyBorder="1" applyAlignment="1">
      <alignment horizontal="center" vertical="center"/>
    </xf>
    <xf numFmtId="2" fontId="0" fillId="0" borderId="22" xfId="0" applyNumberForma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21" xfId="0" applyNumberFormat="1" applyBorder="1" applyAlignment="1">
      <alignment horizontal="center" vertical="center"/>
    </xf>
    <xf numFmtId="0" fontId="0" fillId="0" borderId="20" xfId="0" applyBorder="1"/>
    <xf numFmtId="0" fontId="0" fillId="0" borderId="22" xfId="0" applyBorder="1"/>
    <xf numFmtId="164" fontId="0" fillId="0" borderId="23" xfId="0" applyNumberFormat="1" applyBorder="1" applyAlignment="1">
      <alignment horizontal="center" vertical="center"/>
    </xf>
    <xf numFmtId="164" fontId="0" fillId="0" borderId="24" xfId="0" applyNumberFormat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top"/>
    </xf>
    <xf numFmtId="0" fontId="4" fillId="2" borderId="2" xfId="0" applyFont="1" applyFill="1" applyBorder="1" applyAlignment="1">
      <alignment horizontal="center" vertical="top"/>
    </xf>
    <xf numFmtId="0" fontId="4" fillId="2" borderId="7" xfId="0" applyFont="1" applyFill="1" applyBorder="1" applyAlignment="1">
      <alignment horizontal="center" vertical="top"/>
    </xf>
    <xf numFmtId="164" fontId="0" fillId="0" borderId="18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4" fontId="0" fillId="0" borderId="0" xfId="0" applyNumberFormat="1"/>
    <xf numFmtId="164" fontId="0" fillId="0" borderId="9" xfId="0" applyNumberFormat="1" applyBorder="1" applyAlignment="1">
      <alignment horizontal="center" vertical="center"/>
    </xf>
    <xf numFmtId="164" fontId="0" fillId="0" borderId="20" xfId="0" applyNumberFormat="1" applyBorder="1" applyAlignment="1">
      <alignment horizontal="center" vertical="center"/>
    </xf>
    <xf numFmtId="164" fontId="0" fillId="0" borderId="22" xfId="0" applyNumberFormat="1" applyBorder="1" applyAlignment="1">
      <alignment horizontal="center" vertical="center"/>
    </xf>
    <xf numFmtId="0" fontId="0" fillId="5" borderId="25" xfId="0" applyFill="1" applyBorder="1" applyAlignment="1">
      <alignment horizontal="center" vertical="center"/>
    </xf>
    <xf numFmtId="0" fontId="0" fillId="5" borderId="26" xfId="0" applyFill="1" applyBorder="1" applyAlignment="1">
      <alignment horizontal="center" vertical="center"/>
    </xf>
    <xf numFmtId="0" fontId="0" fillId="5" borderId="27" xfId="0" applyFill="1" applyBorder="1" applyAlignment="1">
      <alignment horizontal="center" vertical="center"/>
    </xf>
    <xf numFmtId="0" fontId="0" fillId="6" borderId="25" xfId="0" applyFill="1" applyBorder="1"/>
    <xf numFmtId="0" fontId="0" fillId="6" borderId="26" xfId="0" applyFill="1" applyBorder="1"/>
    <xf numFmtId="0" fontId="0" fillId="6" borderId="27" xfId="0" applyFill="1" applyBorder="1"/>
    <xf numFmtId="0" fontId="0" fillId="7" borderId="25" xfId="0" applyFill="1" applyBorder="1"/>
    <xf numFmtId="0" fontId="0" fillId="7" borderId="26" xfId="0" applyFill="1" applyBorder="1"/>
    <xf numFmtId="0" fontId="0" fillId="7" borderId="27" xfId="0" applyFill="1" applyBorder="1"/>
    <xf numFmtId="0" fontId="4" fillId="2" borderId="5" xfId="0" applyFont="1" applyFill="1" applyBorder="1" applyAlignment="1">
      <alignment horizontal="center" vertical="top"/>
    </xf>
    <xf numFmtId="0" fontId="0" fillId="0" borderId="10" xfId="0" applyBorder="1"/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64" fontId="0" fillId="0" borderId="28" xfId="0" applyNumberFormat="1" applyBorder="1" applyAlignment="1">
      <alignment horizontal="center" vertical="center"/>
    </xf>
    <xf numFmtId="164" fontId="0" fillId="0" borderId="29" xfId="0" applyNumberFormat="1" applyBorder="1" applyAlignment="1">
      <alignment horizontal="center" vertical="center"/>
    </xf>
    <xf numFmtId="164" fontId="5" fillId="0" borderId="23" xfId="0" applyNumberFormat="1" applyFont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top"/>
    </xf>
    <xf numFmtId="0" fontId="4" fillId="2" borderId="18" xfId="0" applyFont="1" applyFill="1" applyBorder="1" applyAlignment="1">
      <alignment horizontal="center" vertical="top"/>
    </xf>
    <xf numFmtId="0" fontId="4" fillId="2" borderId="28" xfId="0" applyFont="1" applyFill="1" applyBorder="1" applyAlignment="1">
      <alignment horizontal="center" vertical="top"/>
    </xf>
    <xf numFmtId="164" fontId="2" fillId="0" borderId="10" xfId="0" applyNumberFormat="1" applyFont="1" applyBorder="1" applyAlignment="1">
      <alignment horizontal="center" vertical="center"/>
    </xf>
    <xf numFmtId="164" fontId="2" fillId="0" borderId="11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4" fontId="2" fillId="0" borderId="21" xfId="0" applyNumberFormat="1" applyFont="1" applyBorder="1" applyAlignment="1">
      <alignment horizontal="center" vertical="center"/>
    </xf>
    <xf numFmtId="164" fontId="2" fillId="0" borderId="24" xfId="0" applyNumberFormat="1" applyFont="1" applyBorder="1" applyAlignment="1">
      <alignment horizontal="center" vertical="center"/>
    </xf>
    <xf numFmtId="164" fontId="2" fillId="0" borderId="23" xfId="0" applyNumberFormat="1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0" xfId="0" applyAlignment="1">
      <alignment horizontal="center"/>
    </xf>
    <xf numFmtId="0" fontId="2" fillId="7" borderId="5" xfId="0" applyFont="1" applyFill="1" applyBorder="1" applyAlignment="1">
      <alignment horizontal="center"/>
    </xf>
    <xf numFmtId="0" fontId="0" fillId="7" borderId="6" xfId="0" applyFill="1" applyBorder="1" applyAlignment="1">
      <alignment horizontal="center"/>
    </xf>
    <xf numFmtId="0" fontId="0" fillId="7" borderId="7" xfId="0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0" fontId="2" fillId="4" borderId="10" xfId="0" applyFont="1" applyFill="1" applyBorder="1" applyAlignment="1">
      <alignment horizontal="center"/>
    </xf>
    <xf numFmtId="0" fontId="2" fillId="4" borderId="11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7" borderId="7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 vertical="top"/>
    </xf>
    <xf numFmtId="0" fontId="4" fillId="2" borderId="6" xfId="0" applyFont="1" applyFill="1" applyBorder="1" applyAlignment="1">
      <alignment horizontal="center" vertical="top"/>
    </xf>
    <xf numFmtId="0" fontId="4" fillId="2" borderId="7" xfId="0" applyFont="1" applyFill="1" applyBorder="1" applyAlignment="1">
      <alignment horizontal="center" vertical="top"/>
    </xf>
    <xf numFmtId="0" fontId="2" fillId="3" borderId="5" xfId="0" applyFont="1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8" borderId="5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8" borderId="7" xfId="0" applyFont="1" applyFill="1" applyBorder="1" applyAlignment="1">
      <alignment horizontal="center"/>
    </xf>
  </cellXfs>
  <cellStyles count="1">
    <cellStyle name="Normal" xfId="0" builtinId="0"/>
  </cellStyles>
  <dxfs count="7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55B0D-CE68-43F3-A3F8-5DBA1553481D}">
  <dimension ref="A1:I539"/>
  <sheetViews>
    <sheetView workbookViewId="0">
      <selection activeCell="E418" sqref="E418"/>
    </sheetView>
  </sheetViews>
  <sheetFormatPr defaultRowHeight="15" x14ac:dyDescent="0.25"/>
  <cols>
    <col min="1" max="1" width="24.7109375" bestFit="1" customWidth="1"/>
    <col min="2" max="2" width="10.7109375" bestFit="1" customWidth="1"/>
    <col min="3" max="3" width="22.85546875" bestFit="1" customWidth="1"/>
    <col min="4" max="4" width="6" bestFit="1" customWidth="1"/>
    <col min="5" max="5" width="14.85546875" bestFit="1" customWidth="1"/>
    <col min="13" max="13" width="10.7109375" bestFit="1" customWidth="1"/>
    <col min="14" max="14" width="22.85546875" bestFit="1" customWidth="1"/>
    <col min="15" max="15" width="24" bestFit="1" customWidth="1"/>
  </cols>
  <sheetData>
    <row r="1" spans="1:9" ht="15.75" thickBot="1" x14ac:dyDescent="0.3">
      <c r="A1" s="3" t="s">
        <v>549</v>
      </c>
    </row>
    <row r="2" spans="1:9" x14ac:dyDescent="0.25">
      <c r="A2" s="2" t="s">
        <v>550</v>
      </c>
    </row>
    <row r="3" spans="1:9" x14ac:dyDescent="0.25">
      <c r="A3" s="1" t="s">
        <v>551</v>
      </c>
    </row>
    <row r="4" spans="1:9" ht="15.75" thickBot="1" x14ac:dyDescent="0.3">
      <c r="A4" s="1" t="s">
        <v>552</v>
      </c>
    </row>
    <row r="5" spans="1:9" ht="15.75" thickBot="1" x14ac:dyDescent="0.3">
      <c r="A5" s="9" t="s">
        <v>553</v>
      </c>
      <c r="B5" s="87" t="s">
        <v>683</v>
      </c>
      <c r="C5" s="88"/>
      <c r="D5" s="88"/>
      <c r="E5" s="89"/>
    </row>
    <row r="6" spans="1:9" ht="15.75" thickBot="1" x14ac:dyDescent="0.3">
      <c r="A6" s="5" t="s">
        <v>0</v>
      </c>
      <c r="B6" s="10" t="s">
        <v>544</v>
      </c>
      <c r="C6" s="6" t="s">
        <v>545</v>
      </c>
      <c r="D6" s="12" t="s">
        <v>548</v>
      </c>
      <c r="E6" s="13" t="s">
        <v>546</v>
      </c>
    </row>
    <row r="7" spans="1:9" x14ac:dyDescent="0.25">
      <c r="A7" s="16" t="s">
        <v>1</v>
      </c>
      <c r="B7" s="19">
        <v>13</v>
      </c>
      <c r="C7" s="20">
        <v>4</v>
      </c>
      <c r="D7" s="20">
        <v>5.8</v>
      </c>
      <c r="E7" s="21">
        <v>0</v>
      </c>
    </row>
    <row r="8" spans="1:9" x14ac:dyDescent="0.25">
      <c r="A8" s="16" t="s">
        <v>2</v>
      </c>
      <c r="B8" s="22">
        <v>9</v>
      </c>
      <c r="C8" s="23">
        <v>1</v>
      </c>
      <c r="D8" s="23">
        <v>2.6</v>
      </c>
      <c r="E8" s="24">
        <v>0</v>
      </c>
    </row>
    <row r="9" spans="1:9" x14ac:dyDescent="0.25">
      <c r="A9" s="16" t="s">
        <v>3</v>
      </c>
      <c r="B9" s="22">
        <v>11</v>
      </c>
      <c r="C9" s="23">
        <v>3.4</v>
      </c>
      <c r="D9" s="23">
        <v>4.92</v>
      </c>
      <c r="E9" s="24">
        <v>0</v>
      </c>
    </row>
    <row r="10" spans="1:9" x14ac:dyDescent="0.25">
      <c r="A10" s="16" t="s">
        <v>4</v>
      </c>
      <c r="B10" s="22">
        <v>13</v>
      </c>
      <c r="C10" s="23">
        <v>5</v>
      </c>
      <c r="D10" s="23">
        <v>6.6</v>
      </c>
      <c r="E10" s="24">
        <v>0</v>
      </c>
    </row>
    <row r="11" spans="1:9" x14ac:dyDescent="0.25">
      <c r="A11" s="16" t="s">
        <v>5</v>
      </c>
      <c r="B11" s="22">
        <v>8</v>
      </c>
      <c r="C11" s="23">
        <v>2.4</v>
      </c>
      <c r="D11" s="23">
        <v>3.52</v>
      </c>
      <c r="E11" s="24">
        <v>0</v>
      </c>
      <c r="I11" s="8"/>
    </row>
    <row r="12" spans="1:9" x14ac:dyDescent="0.25">
      <c r="A12" s="16" t="s">
        <v>6</v>
      </c>
      <c r="B12" s="22">
        <v>11</v>
      </c>
      <c r="C12" s="23">
        <v>2.4</v>
      </c>
      <c r="D12" s="23">
        <v>4.12</v>
      </c>
      <c r="E12" s="24">
        <v>0</v>
      </c>
    </row>
    <row r="13" spans="1:9" x14ac:dyDescent="0.25">
      <c r="A13" s="16" t="s">
        <v>7</v>
      </c>
      <c r="B13" s="22">
        <v>11</v>
      </c>
      <c r="C13" s="23">
        <v>2</v>
      </c>
      <c r="D13" s="23">
        <v>3.8</v>
      </c>
      <c r="E13" s="24">
        <v>0</v>
      </c>
    </row>
    <row r="14" spans="1:9" x14ac:dyDescent="0.25">
      <c r="A14" s="16" t="s">
        <v>8</v>
      </c>
      <c r="B14" s="22">
        <v>10</v>
      </c>
      <c r="C14" s="23">
        <v>1</v>
      </c>
      <c r="D14" s="23">
        <v>2.8</v>
      </c>
      <c r="E14" s="24">
        <v>0</v>
      </c>
    </row>
    <row r="15" spans="1:9" x14ac:dyDescent="0.25">
      <c r="A15" s="16" t="s">
        <v>9</v>
      </c>
      <c r="B15" s="22">
        <v>11</v>
      </c>
      <c r="C15" s="23">
        <v>5</v>
      </c>
      <c r="D15" s="23">
        <v>6.2</v>
      </c>
      <c r="E15" s="24">
        <v>0</v>
      </c>
    </row>
    <row r="16" spans="1:9" x14ac:dyDescent="0.25">
      <c r="A16" s="16" t="s">
        <v>10</v>
      </c>
      <c r="B16" s="22">
        <v>14</v>
      </c>
      <c r="C16" s="23">
        <v>4</v>
      </c>
      <c r="D16" s="23">
        <v>6</v>
      </c>
      <c r="E16" s="24">
        <v>0</v>
      </c>
    </row>
    <row r="17" spans="1:5" x14ac:dyDescent="0.25">
      <c r="A17" s="16" t="s">
        <v>11</v>
      </c>
      <c r="B17" s="22">
        <v>12</v>
      </c>
      <c r="C17" s="23">
        <v>4.5999999999999996</v>
      </c>
      <c r="D17" s="23">
        <v>6.08</v>
      </c>
      <c r="E17" s="24">
        <v>0</v>
      </c>
    </row>
    <row r="18" spans="1:5" x14ac:dyDescent="0.25">
      <c r="A18" s="16" t="s">
        <v>12</v>
      </c>
      <c r="B18" s="22">
        <v>9</v>
      </c>
      <c r="C18" s="23">
        <v>2.4</v>
      </c>
      <c r="D18" s="23">
        <v>3.72</v>
      </c>
      <c r="E18" s="24">
        <v>0</v>
      </c>
    </row>
    <row r="19" spans="1:5" x14ac:dyDescent="0.25">
      <c r="A19" s="16" t="s">
        <v>13</v>
      </c>
      <c r="B19" s="22">
        <v>13</v>
      </c>
      <c r="C19" s="23">
        <v>3</v>
      </c>
      <c r="D19" s="23">
        <v>5</v>
      </c>
      <c r="E19" s="24">
        <v>0</v>
      </c>
    </row>
    <row r="20" spans="1:5" x14ac:dyDescent="0.25">
      <c r="A20" s="16" t="s">
        <v>14</v>
      </c>
      <c r="B20" s="22">
        <v>8</v>
      </c>
      <c r="C20" s="23">
        <v>0.4</v>
      </c>
      <c r="D20" s="23">
        <v>1.92</v>
      </c>
      <c r="E20" s="24">
        <v>0</v>
      </c>
    </row>
    <row r="21" spans="1:5" x14ac:dyDescent="0.25">
      <c r="A21" s="16" t="s">
        <v>15</v>
      </c>
      <c r="B21" s="22">
        <v>11</v>
      </c>
      <c r="C21" s="23">
        <v>3.4</v>
      </c>
      <c r="D21" s="23">
        <v>4.92</v>
      </c>
      <c r="E21" s="24">
        <v>0</v>
      </c>
    </row>
    <row r="22" spans="1:5" x14ac:dyDescent="0.25">
      <c r="A22" s="16" t="s">
        <v>16</v>
      </c>
      <c r="B22" s="22">
        <v>12</v>
      </c>
      <c r="C22" s="23">
        <v>3.4</v>
      </c>
      <c r="D22" s="23">
        <v>5.12</v>
      </c>
      <c r="E22" s="24">
        <v>0</v>
      </c>
    </row>
    <row r="23" spans="1:5" x14ac:dyDescent="0.25">
      <c r="A23" s="16" t="s">
        <v>17</v>
      </c>
      <c r="B23" s="22">
        <v>9</v>
      </c>
      <c r="C23" s="23">
        <v>2</v>
      </c>
      <c r="D23" s="23">
        <v>3.4</v>
      </c>
      <c r="E23" s="24">
        <v>0</v>
      </c>
    </row>
    <row r="24" spans="1:5" x14ac:dyDescent="0.25">
      <c r="A24" s="16" t="s">
        <v>18</v>
      </c>
      <c r="B24" s="22">
        <v>9</v>
      </c>
      <c r="C24" s="23">
        <v>1.8</v>
      </c>
      <c r="D24" s="23">
        <v>3.24</v>
      </c>
      <c r="E24" s="24">
        <v>0</v>
      </c>
    </row>
    <row r="25" spans="1:5" x14ac:dyDescent="0.25">
      <c r="A25" s="16" t="s">
        <v>19</v>
      </c>
      <c r="B25" s="22">
        <v>12</v>
      </c>
      <c r="C25" s="23">
        <v>3.4</v>
      </c>
      <c r="D25" s="23">
        <v>5.12</v>
      </c>
      <c r="E25" s="24">
        <v>0</v>
      </c>
    </row>
    <row r="26" spans="1:5" x14ac:dyDescent="0.25">
      <c r="A26" s="16" t="s">
        <v>20</v>
      </c>
      <c r="B26" s="22">
        <v>14</v>
      </c>
      <c r="C26" s="23">
        <v>3</v>
      </c>
      <c r="D26" s="23">
        <v>5.2</v>
      </c>
      <c r="E26" s="24">
        <v>0</v>
      </c>
    </row>
    <row r="27" spans="1:5" x14ac:dyDescent="0.25">
      <c r="A27" s="16" t="s">
        <v>21</v>
      </c>
      <c r="B27" s="22">
        <v>10</v>
      </c>
      <c r="C27" s="23">
        <v>2.6</v>
      </c>
      <c r="D27" s="23">
        <v>4.08</v>
      </c>
      <c r="E27" s="24">
        <v>0</v>
      </c>
    </row>
    <row r="28" spans="1:5" x14ac:dyDescent="0.25">
      <c r="A28" s="16" t="s">
        <v>22</v>
      </c>
      <c r="B28" s="22">
        <v>15</v>
      </c>
      <c r="C28" s="23">
        <v>4.2</v>
      </c>
      <c r="D28" s="23">
        <v>6.36</v>
      </c>
      <c r="E28" s="24">
        <v>0</v>
      </c>
    </row>
    <row r="29" spans="1:5" x14ac:dyDescent="0.25">
      <c r="A29" s="16" t="s">
        <v>23</v>
      </c>
      <c r="B29" s="22">
        <v>11</v>
      </c>
      <c r="C29" s="23">
        <v>3</v>
      </c>
      <c r="D29" s="23">
        <v>4.5999999999999996</v>
      </c>
      <c r="E29" s="24">
        <v>0</v>
      </c>
    </row>
    <row r="30" spans="1:5" x14ac:dyDescent="0.25">
      <c r="A30" s="16" t="s">
        <v>24</v>
      </c>
      <c r="B30" s="22">
        <v>12</v>
      </c>
      <c r="C30" s="23">
        <v>5</v>
      </c>
      <c r="D30" s="23">
        <v>6.4</v>
      </c>
      <c r="E30" s="24">
        <v>0</v>
      </c>
    </row>
    <row r="31" spans="1:5" x14ac:dyDescent="0.25">
      <c r="A31" s="16" t="s">
        <v>25</v>
      </c>
      <c r="B31" s="22">
        <v>12</v>
      </c>
      <c r="C31" s="23">
        <v>3</v>
      </c>
      <c r="D31" s="23">
        <v>4.8</v>
      </c>
      <c r="E31" s="24">
        <v>0</v>
      </c>
    </row>
    <row r="32" spans="1:5" x14ac:dyDescent="0.25">
      <c r="A32" s="16" t="s">
        <v>26</v>
      </c>
      <c r="B32" s="22">
        <v>11</v>
      </c>
      <c r="C32" s="23">
        <v>2</v>
      </c>
      <c r="D32" s="23">
        <v>3.8</v>
      </c>
      <c r="E32" s="24">
        <v>0</v>
      </c>
    </row>
    <row r="33" spans="1:5" x14ac:dyDescent="0.25">
      <c r="A33" s="16" t="s">
        <v>27</v>
      </c>
      <c r="B33" s="22">
        <v>9</v>
      </c>
      <c r="C33" s="23">
        <v>0.8</v>
      </c>
      <c r="D33" s="23">
        <v>2.44</v>
      </c>
      <c r="E33" s="24">
        <v>0</v>
      </c>
    </row>
    <row r="34" spans="1:5" x14ac:dyDescent="0.25">
      <c r="A34" s="16" t="s">
        <v>28</v>
      </c>
      <c r="B34" s="22">
        <v>11</v>
      </c>
      <c r="C34" s="23">
        <v>1</v>
      </c>
      <c r="D34" s="23">
        <v>3</v>
      </c>
      <c r="E34" s="24">
        <v>0</v>
      </c>
    </row>
    <row r="35" spans="1:5" x14ac:dyDescent="0.25">
      <c r="A35" s="16" t="s">
        <v>29</v>
      </c>
      <c r="B35" s="22">
        <v>11</v>
      </c>
      <c r="C35" s="23">
        <v>5</v>
      </c>
      <c r="D35" s="23">
        <v>6.2</v>
      </c>
      <c r="E35" s="24">
        <v>0</v>
      </c>
    </row>
    <row r="36" spans="1:5" x14ac:dyDescent="0.25">
      <c r="A36" s="16" t="s">
        <v>30</v>
      </c>
      <c r="B36" s="22">
        <v>14</v>
      </c>
      <c r="C36" s="23">
        <v>3</v>
      </c>
      <c r="D36" s="23">
        <v>5.2</v>
      </c>
      <c r="E36" s="24">
        <v>0</v>
      </c>
    </row>
    <row r="37" spans="1:5" x14ac:dyDescent="0.25">
      <c r="A37" s="16" t="s">
        <v>31</v>
      </c>
      <c r="B37" s="22">
        <v>12</v>
      </c>
      <c r="C37" s="23">
        <v>5.2</v>
      </c>
      <c r="D37" s="23">
        <v>6.56</v>
      </c>
      <c r="E37" s="24">
        <v>0</v>
      </c>
    </row>
    <row r="38" spans="1:5" x14ac:dyDescent="0.25">
      <c r="A38" s="16" t="s">
        <v>32</v>
      </c>
      <c r="B38" s="22">
        <v>10</v>
      </c>
      <c r="C38" s="23">
        <v>1</v>
      </c>
      <c r="D38" s="23">
        <v>2.8</v>
      </c>
      <c r="E38" s="24">
        <v>0</v>
      </c>
    </row>
    <row r="39" spans="1:5" x14ac:dyDescent="0.25">
      <c r="A39" s="16" t="s">
        <v>33</v>
      </c>
      <c r="B39" s="22">
        <v>8</v>
      </c>
      <c r="C39" s="23">
        <v>2.8</v>
      </c>
      <c r="D39" s="23">
        <v>3.84</v>
      </c>
      <c r="E39" s="24">
        <v>0</v>
      </c>
    </row>
    <row r="40" spans="1:5" x14ac:dyDescent="0.25">
      <c r="A40" s="16" t="s">
        <v>34</v>
      </c>
      <c r="B40" s="22">
        <v>10</v>
      </c>
      <c r="C40" s="23">
        <v>1</v>
      </c>
      <c r="D40" s="23">
        <v>2.8</v>
      </c>
      <c r="E40" s="24">
        <v>0</v>
      </c>
    </row>
    <row r="41" spans="1:5" x14ac:dyDescent="0.25">
      <c r="A41" s="16" t="s">
        <v>35</v>
      </c>
      <c r="B41" s="22">
        <v>12</v>
      </c>
      <c r="C41" s="23">
        <v>3</v>
      </c>
      <c r="D41" s="23">
        <v>4.8</v>
      </c>
      <c r="E41" s="24">
        <v>0</v>
      </c>
    </row>
    <row r="42" spans="1:5" x14ac:dyDescent="0.25">
      <c r="A42" s="16" t="s">
        <v>36</v>
      </c>
      <c r="B42" s="22">
        <v>13</v>
      </c>
      <c r="C42" s="23">
        <v>4</v>
      </c>
      <c r="D42" s="23">
        <v>5.8</v>
      </c>
      <c r="E42" s="24">
        <v>0</v>
      </c>
    </row>
    <row r="43" spans="1:5" x14ac:dyDescent="0.25">
      <c r="A43" s="16" t="s">
        <v>37</v>
      </c>
      <c r="B43" s="22">
        <v>11</v>
      </c>
      <c r="C43" s="23">
        <v>4.5999999999999996</v>
      </c>
      <c r="D43" s="23">
        <v>5.88</v>
      </c>
      <c r="E43" s="24">
        <v>0</v>
      </c>
    </row>
    <row r="44" spans="1:5" x14ac:dyDescent="0.25">
      <c r="A44" s="16" t="s">
        <v>38</v>
      </c>
      <c r="B44" s="22">
        <v>12</v>
      </c>
      <c r="C44" s="23">
        <v>5</v>
      </c>
      <c r="D44" s="23">
        <v>6.4</v>
      </c>
      <c r="E44" s="24">
        <v>0</v>
      </c>
    </row>
    <row r="45" spans="1:5" x14ac:dyDescent="0.25">
      <c r="A45" s="16" t="s">
        <v>39</v>
      </c>
      <c r="B45" s="22">
        <v>10</v>
      </c>
      <c r="C45" s="23">
        <v>4.2</v>
      </c>
      <c r="D45" s="23">
        <v>5.36</v>
      </c>
      <c r="E45" s="24">
        <v>0</v>
      </c>
    </row>
    <row r="46" spans="1:5" x14ac:dyDescent="0.25">
      <c r="A46" s="16" t="s">
        <v>40</v>
      </c>
      <c r="B46" s="22">
        <v>11</v>
      </c>
      <c r="C46" s="23">
        <v>2.2000000000000002</v>
      </c>
      <c r="D46" s="23">
        <v>3.96</v>
      </c>
      <c r="E46" s="24">
        <v>0</v>
      </c>
    </row>
    <row r="47" spans="1:5" x14ac:dyDescent="0.25">
      <c r="A47" s="16" t="s">
        <v>41</v>
      </c>
      <c r="B47" s="22">
        <v>9</v>
      </c>
      <c r="C47" s="23">
        <v>0.4</v>
      </c>
      <c r="D47" s="23">
        <v>2.12</v>
      </c>
      <c r="E47" s="24">
        <v>0</v>
      </c>
    </row>
    <row r="48" spans="1:5" x14ac:dyDescent="0.25">
      <c r="A48" s="16" t="s">
        <v>42</v>
      </c>
      <c r="B48" s="22">
        <v>10</v>
      </c>
      <c r="C48" s="23">
        <v>1.8</v>
      </c>
      <c r="D48" s="23">
        <v>3.44</v>
      </c>
      <c r="E48" s="24">
        <v>0</v>
      </c>
    </row>
    <row r="49" spans="1:5" x14ac:dyDescent="0.25">
      <c r="A49" s="16" t="s">
        <v>43</v>
      </c>
      <c r="B49" s="22">
        <v>11</v>
      </c>
      <c r="C49" s="23">
        <v>2</v>
      </c>
      <c r="D49" s="23">
        <v>3.8</v>
      </c>
      <c r="E49" s="24">
        <v>0</v>
      </c>
    </row>
    <row r="50" spans="1:5" x14ac:dyDescent="0.25">
      <c r="A50" s="16" t="s">
        <v>44</v>
      </c>
      <c r="B50" s="22">
        <v>10</v>
      </c>
      <c r="C50" s="23">
        <v>3</v>
      </c>
      <c r="D50" s="23">
        <v>4.4000000000000004</v>
      </c>
      <c r="E50" s="24">
        <v>0</v>
      </c>
    </row>
    <row r="51" spans="1:5" x14ac:dyDescent="0.25">
      <c r="A51" s="16" t="s">
        <v>45</v>
      </c>
      <c r="B51" s="22">
        <v>9</v>
      </c>
      <c r="C51" s="23">
        <v>2.8</v>
      </c>
      <c r="D51" s="23">
        <v>4.04</v>
      </c>
      <c r="E51" s="24">
        <v>0</v>
      </c>
    </row>
    <row r="52" spans="1:5" x14ac:dyDescent="0.25">
      <c r="A52" s="16" t="s">
        <v>46</v>
      </c>
      <c r="B52" s="22">
        <v>12</v>
      </c>
      <c r="C52" s="23">
        <v>2</v>
      </c>
      <c r="D52" s="23">
        <v>4</v>
      </c>
      <c r="E52" s="24">
        <v>0</v>
      </c>
    </row>
    <row r="53" spans="1:5" x14ac:dyDescent="0.25">
      <c r="A53" s="16" t="s">
        <v>47</v>
      </c>
      <c r="B53" s="22">
        <v>10</v>
      </c>
      <c r="C53" s="23">
        <v>4</v>
      </c>
      <c r="D53" s="23">
        <v>5.2</v>
      </c>
      <c r="E53" s="24">
        <v>0</v>
      </c>
    </row>
    <row r="54" spans="1:5" x14ac:dyDescent="0.25">
      <c r="A54" s="16" t="s">
        <v>48</v>
      </c>
      <c r="B54" s="22">
        <v>13</v>
      </c>
      <c r="C54" s="23">
        <v>2</v>
      </c>
      <c r="D54" s="23">
        <v>4.2</v>
      </c>
      <c r="E54" s="24">
        <v>0</v>
      </c>
    </row>
    <row r="55" spans="1:5" x14ac:dyDescent="0.25">
      <c r="A55" s="16" t="s">
        <v>49</v>
      </c>
      <c r="B55" s="22">
        <v>9</v>
      </c>
      <c r="C55" s="23">
        <v>3.6</v>
      </c>
      <c r="D55" s="23">
        <v>4.68</v>
      </c>
      <c r="E55" s="24">
        <v>0</v>
      </c>
    </row>
    <row r="56" spans="1:5" x14ac:dyDescent="0.25">
      <c r="A56" s="16" t="s">
        <v>50</v>
      </c>
      <c r="B56" s="22">
        <v>15</v>
      </c>
      <c r="C56" s="23">
        <v>4</v>
      </c>
      <c r="D56" s="23">
        <v>6.2</v>
      </c>
      <c r="E56" s="24">
        <v>0</v>
      </c>
    </row>
    <row r="57" spans="1:5" x14ac:dyDescent="0.25">
      <c r="A57" s="16" t="s">
        <v>51</v>
      </c>
      <c r="B57" s="22">
        <v>8</v>
      </c>
      <c r="C57" s="23">
        <v>3</v>
      </c>
      <c r="D57" s="23">
        <v>4</v>
      </c>
      <c r="E57" s="24">
        <v>0</v>
      </c>
    </row>
    <row r="58" spans="1:5" x14ac:dyDescent="0.25">
      <c r="A58" s="16" t="s">
        <v>52</v>
      </c>
      <c r="B58" s="22">
        <v>12</v>
      </c>
      <c r="C58" s="23">
        <v>5</v>
      </c>
      <c r="D58" s="23">
        <v>6.4</v>
      </c>
      <c r="E58" s="24">
        <v>0</v>
      </c>
    </row>
    <row r="59" spans="1:5" x14ac:dyDescent="0.25">
      <c r="A59" s="16" t="s">
        <v>53</v>
      </c>
      <c r="B59" s="22">
        <v>12</v>
      </c>
      <c r="C59" s="23">
        <v>4.8</v>
      </c>
      <c r="D59" s="23">
        <v>6.24</v>
      </c>
      <c r="E59" s="24">
        <v>0</v>
      </c>
    </row>
    <row r="60" spans="1:5" x14ac:dyDescent="0.25">
      <c r="A60" s="16" t="s">
        <v>54</v>
      </c>
      <c r="B60" s="22">
        <v>14</v>
      </c>
      <c r="C60" s="23">
        <v>3</v>
      </c>
      <c r="D60" s="23">
        <v>5.2</v>
      </c>
      <c r="E60" s="24">
        <v>0</v>
      </c>
    </row>
    <row r="61" spans="1:5" x14ac:dyDescent="0.25">
      <c r="A61" s="16" t="s">
        <v>55</v>
      </c>
      <c r="B61" s="22">
        <v>10</v>
      </c>
      <c r="C61" s="23">
        <v>4</v>
      </c>
      <c r="D61" s="23">
        <v>5.2</v>
      </c>
      <c r="E61" s="24">
        <v>0</v>
      </c>
    </row>
    <row r="62" spans="1:5" x14ac:dyDescent="0.25">
      <c r="A62" s="16" t="s">
        <v>56</v>
      </c>
      <c r="B62" s="22">
        <v>11</v>
      </c>
      <c r="C62" s="23">
        <v>4.2</v>
      </c>
      <c r="D62" s="23">
        <v>5.56</v>
      </c>
      <c r="E62" s="24">
        <v>0</v>
      </c>
    </row>
    <row r="63" spans="1:5" x14ac:dyDescent="0.25">
      <c r="A63" s="16" t="s">
        <v>57</v>
      </c>
      <c r="B63" s="22">
        <v>8</v>
      </c>
      <c r="C63" s="23">
        <v>3.4</v>
      </c>
      <c r="D63" s="23">
        <v>4.32</v>
      </c>
      <c r="E63" s="24">
        <v>0</v>
      </c>
    </row>
    <row r="64" spans="1:5" x14ac:dyDescent="0.25">
      <c r="A64" s="16" t="s">
        <v>58</v>
      </c>
      <c r="B64" s="22">
        <v>12</v>
      </c>
      <c r="C64" s="23">
        <v>3.4</v>
      </c>
      <c r="D64" s="23">
        <v>5.12</v>
      </c>
      <c r="E64" s="24">
        <v>0</v>
      </c>
    </row>
    <row r="65" spans="1:5" x14ac:dyDescent="0.25">
      <c r="A65" s="16" t="s">
        <v>59</v>
      </c>
      <c r="B65" s="22">
        <v>11</v>
      </c>
      <c r="C65" s="23">
        <v>2.6</v>
      </c>
      <c r="D65" s="23">
        <v>4.28</v>
      </c>
      <c r="E65" s="24">
        <v>0</v>
      </c>
    </row>
    <row r="66" spans="1:5" x14ac:dyDescent="0.25">
      <c r="A66" s="16" t="s">
        <v>60</v>
      </c>
      <c r="B66" s="22">
        <v>10</v>
      </c>
      <c r="C66" s="23">
        <v>2</v>
      </c>
      <c r="D66" s="23">
        <v>3.6</v>
      </c>
      <c r="E66" s="24">
        <v>0</v>
      </c>
    </row>
    <row r="67" spans="1:5" x14ac:dyDescent="0.25">
      <c r="A67" s="16" t="s">
        <v>61</v>
      </c>
      <c r="B67" s="22">
        <v>8</v>
      </c>
      <c r="C67" s="23">
        <v>2.8</v>
      </c>
      <c r="D67" s="23">
        <v>3.84</v>
      </c>
      <c r="E67" s="24">
        <v>0</v>
      </c>
    </row>
    <row r="68" spans="1:5" x14ac:dyDescent="0.25">
      <c r="A68" s="16" t="s">
        <v>62</v>
      </c>
      <c r="B68" s="22">
        <v>11</v>
      </c>
      <c r="C68" s="23">
        <v>2.8</v>
      </c>
      <c r="D68" s="23">
        <v>4.4400000000000004</v>
      </c>
      <c r="E68" s="24">
        <v>0</v>
      </c>
    </row>
    <row r="69" spans="1:5" x14ac:dyDescent="0.25">
      <c r="A69" s="16" t="s">
        <v>63</v>
      </c>
      <c r="B69" s="22">
        <v>11</v>
      </c>
      <c r="C69" s="23">
        <v>2.2000000000000002</v>
      </c>
      <c r="D69" s="23">
        <v>3.96</v>
      </c>
      <c r="E69" s="24">
        <v>0</v>
      </c>
    </row>
    <row r="70" spans="1:5" x14ac:dyDescent="0.25">
      <c r="A70" s="16" t="s">
        <v>64</v>
      </c>
      <c r="B70" s="22">
        <v>14</v>
      </c>
      <c r="C70" s="23">
        <v>5.8</v>
      </c>
      <c r="D70" s="23">
        <v>7.44</v>
      </c>
      <c r="E70" s="24">
        <v>0</v>
      </c>
    </row>
    <row r="71" spans="1:5" x14ac:dyDescent="0.25">
      <c r="A71" s="16" t="s">
        <v>65</v>
      </c>
      <c r="B71" s="22">
        <v>10</v>
      </c>
      <c r="C71" s="23">
        <v>1.4</v>
      </c>
      <c r="D71" s="23">
        <v>3.12</v>
      </c>
      <c r="E71" s="24">
        <v>0</v>
      </c>
    </row>
    <row r="72" spans="1:5" x14ac:dyDescent="0.25">
      <c r="A72" s="16" t="s">
        <v>66</v>
      </c>
      <c r="B72" s="22">
        <v>9</v>
      </c>
      <c r="C72" s="23">
        <v>3</v>
      </c>
      <c r="D72" s="23">
        <v>4.2</v>
      </c>
      <c r="E72" s="24">
        <v>0</v>
      </c>
    </row>
    <row r="73" spans="1:5" x14ac:dyDescent="0.25">
      <c r="A73" s="16" t="s">
        <v>67</v>
      </c>
      <c r="B73" s="22">
        <v>10</v>
      </c>
      <c r="C73" s="23">
        <v>3</v>
      </c>
      <c r="D73" s="23">
        <v>4.4000000000000004</v>
      </c>
      <c r="E73" s="24">
        <v>0</v>
      </c>
    </row>
    <row r="74" spans="1:5" x14ac:dyDescent="0.25">
      <c r="A74" s="16" t="s">
        <v>68</v>
      </c>
      <c r="B74" s="22">
        <v>12</v>
      </c>
      <c r="C74" s="23">
        <v>2.8</v>
      </c>
      <c r="D74" s="23">
        <v>4.6399999999999997</v>
      </c>
      <c r="E74" s="24">
        <v>0</v>
      </c>
    </row>
    <row r="75" spans="1:5" x14ac:dyDescent="0.25">
      <c r="A75" s="16" t="s">
        <v>69</v>
      </c>
      <c r="B75" s="22">
        <v>9</v>
      </c>
      <c r="C75" s="23">
        <v>2</v>
      </c>
      <c r="D75" s="23">
        <v>3.4</v>
      </c>
      <c r="E75" s="24">
        <v>0</v>
      </c>
    </row>
    <row r="76" spans="1:5" x14ac:dyDescent="0.25">
      <c r="A76" s="16" t="s">
        <v>70</v>
      </c>
      <c r="B76" s="22">
        <v>10</v>
      </c>
      <c r="C76" s="23">
        <v>2.6</v>
      </c>
      <c r="D76" s="23">
        <v>4.08</v>
      </c>
      <c r="E76" s="24">
        <v>0</v>
      </c>
    </row>
    <row r="77" spans="1:5" x14ac:dyDescent="0.25">
      <c r="A77" s="16" t="s">
        <v>71</v>
      </c>
      <c r="B77" s="22">
        <v>11</v>
      </c>
      <c r="C77" s="23">
        <v>3.4</v>
      </c>
      <c r="D77" s="23">
        <v>4.92</v>
      </c>
      <c r="E77" s="24">
        <v>0</v>
      </c>
    </row>
    <row r="78" spans="1:5" x14ac:dyDescent="0.25">
      <c r="A78" s="16" t="s">
        <v>72</v>
      </c>
      <c r="B78" s="22">
        <v>11</v>
      </c>
      <c r="C78" s="23">
        <v>2.4</v>
      </c>
      <c r="D78" s="23">
        <v>4.12</v>
      </c>
      <c r="E78" s="24">
        <v>0</v>
      </c>
    </row>
    <row r="79" spans="1:5" x14ac:dyDescent="0.25">
      <c r="A79" s="16" t="s">
        <v>73</v>
      </c>
      <c r="B79" s="22">
        <v>12</v>
      </c>
      <c r="C79" s="23">
        <v>3</v>
      </c>
      <c r="D79" s="23">
        <v>4.8</v>
      </c>
      <c r="E79" s="24">
        <v>0</v>
      </c>
    </row>
    <row r="80" spans="1:5" x14ac:dyDescent="0.25">
      <c r="A80" s="16" t="s">
        <v>74</v>
      </c>
      <c r="B80" s="22">
        <v>9</v>
      </c>
      <c r="C80" s="23">
        <v>1.8</v>
      </c>
      <c r="D80" s="23">
        <v>3.24</v>
      </c>
      <c r="E80" s="24">
        <v>0</v>
      </c>
    </row>
    <row r="81" spans="1:5" x14ac:dyDescent="0.25">
      <c r="A81" s="16" t="s">
        <v>75</v>
      </c>
      <c r="B81" s="22">
        <v>9</v>
      </c>
      <c r="C81" s="23">
        <v>2.8</v>
      </c>
      <c r="D81" s="23">
        <v>4.04</v>
      </c>
      <c r="E81" s="24">
        <v>0</v>
      </c>
    </row>
    <row r="82" spans="1:5" x14ac:dyDescent="0.25">
      <c r="A82" s="16" t="s">
        <v>76</v>
      </c>
      <c r="B82" s="22">
        <v>11</v>
      </c>
      <c r="C82" s="23">
        <v>3.8</v>
      </c>
      <c r="D82" s="23">
        <v>5.24</v>
      </c>
      <c r="E82" s="24">
        <v>0</v>
      </c>
    </row>
    <row r="83" spans="1:5" x14ac:dyDescent="0.25">
      <c r="A83" s="16" t="s">
        <v>77</v>
      </c>
      <c r="B83" s="22">
        <v>10</v>
      </c>
      <c r="C83" s="23">
        <v>3.8</v>
      </c>
      <c r="D83" s="23">
        <v>5.04</v>
      </c>
      <c r="E83" s="24">
        <v>0</v>
      </c>
    </row>
    <row r="84" spans="1:5" x14ac:dyDescent="0.25">
      <c r="A84" s="16" t="s">
        <v>78</v>
      </c>
      <c r="B84" s="22">
        <v>9</v>
      </c>
      <c r="C84" s="23">
        <v>1</v>
      </c>
      <c r="D84" s="23">
        <v>2.6</v>
      </c>
      <c r="E84" s="24">
        <v>0</v>
      </c>
    </row>
    <row r="85" spans="1:5" x14ac:dyDescent="0.25">
      <c r="A85" s="16" t="s">
        <v>79</v>
      </c>
      <c r="B85" s="22">
        <v>12</v>
      </c>
      <c r="C85" s="23">
        <v>4.8</v>
      </c>
      <c r="D85" s="23">
        <v>6.24</v>
      </c>
      <c r="E85" s="24">
        <v>0</v>
      </c>
    </row>
    <row r="86" spans="1:5" x14ac:dyDescent="0.25">
      <c r="A86" s="16" t="s">
        <v>80</v>
      </c>
      <c r="B86" s="22">
        <v>10</v>
      </c>
      <c r="C86" s="23">
        <v>4.5999999999999996</v>
      </c>
      <c r="D86" s="23">
        <v>5.68</v>
      </c>
      <c r="E86" s="24">
        <v>0</v>
      </c>
    </row>
    <row r="87" spans="1:5" x14ac:dyDescent="0.25">
      <c r="A87" s="16" t="s">
        <v>81</v>
      </c>
      <c r="B87" s="22">
        <v>9</v>
      </c>
      <c r="C87" s="23">
        <v>1</v>
      </c>
      <c r="D87" s="23">
        <v>2.6</v>
      </c>
      <c r="E87" s="24">
        <v>0</v>
      </c>
    </row>
    <row r="88" spans="1:5" x14ac:dyDescent="0.25">
      <c r="A88" s="16" t="s">
        <v>82</v>
      </c>
      <c r="B88" s="22">
        <v>8</v>
      </c>
      <c r="C88" s="23">
        <v>1.8</v>
      </c>
      <c r="D88" s="23">
        <v>3.04</v>
      </c>
      <c r="E88" s="24">
        <v>0</v>
      </c>
    </row>
    <row r="89" spans="1:5" x14ac:dyDescent="0.25">
      <c r="A89" s="16" t="s">
        <v>83</v>
      </c>
      <c r="B89" s="22">
        <v>10</v>
      </c>
      <c r="C89" s="23">
        <v>2</v>
      </c>
      <c r="D89" s="23">
        <v>3.6</v>
      </c>
      <c r="E89" s="24">
        <v>0</v>
      </c>
    </row>
    <row r="90" spans="1:5" x14ac:dyDescent="0.25">
      <c r="A90" s="16" t="s">
        <v>84</v>
      </c>
      <c r="B90" s="22">
        <v>11</v>
      </c>
      <c r="C90" s="23">
        <v>5</v>
      </c>
      <c r="D90" s="23">
        <v>6.2</v>
      </c>
      <c r="E90" s="24">
        <v>0</v>
      </c>
    </row>
    <row r="91" spans="1:5" x14ac:dyDescent="0.25">
      <c r="A91" s="16" t="s">
        <v>85</v>
      </c>
      <c r="B91" s="22">
        <v>12</v>
      </c>
      <c r="C91" s="23">
        <v>2.6</v>
      </c>
      <c r="D91" s="23">
        <v>4.4800000000000004</v>
      </c>
      <c r="E91" s="24">
        <v>0</v>
      </c>
    </row>
    <row r="92" spans="1:5" x14ac:dyDescent="0.25">
      <c r="A92" s="16" t="s">
        <v>86</v>
      </c>
      <c r="B92" s="22">
        <v>9</v>
      </c>
      <c r="C92" s="23">
        <v>1</v>
      </c>
      <c r="D92" s="23">
        <v>2.6</v>
      </c>
      <c r="E92" s="24">
        <v>0</v>
      </c>
    </row>
    <row r="93" spans="1:5" x14ac:dyDescent="0.25">
      <c r="A93" s="16" t="s">
        <v>87</v>
      </c>
      <c r="B93" s="22">
        <v>11</v>
      </c>
      <c r="C93" s="23">
        <v>2</v>
      </c>
      <c r="D93" s="23">
        <v>3.8</v>
      </c>
      <c r="E93" s="24">
        <v>0</v>
      </c>
    </row>
    <row r="94" spans="1:5" x14ac:dyDescent="0.25">
      <c r="A94" s="16" t="s">
        <v>88</v>
      </c>
      <c r="B94" s="22">
        <v>13</v>
      </c>
      <c r="C94" s="23">
        <v>2.8</v>
      </c>
      <c r="D94" s="23">
        <v>4.84</v>
      </c>
      <c r="E94" s="24">
        <v>0</v>
      </c>
    </row>
    <row r="95" spans="1:5" x14ac:dyDescent="0.25">
      <c r="A95" s="16" t="s">
        <v>89</v>
      </c>
      <c r="B95" s="22">
        <v>13</v>
      </c>
      <c r="C95" s="23">
        <v>3</v>
      </c>
      <c r="D95" s="23">
        <v>5</v>
      </c>
      <c r="E95" s="24">
        <v>0</v>
      </c>
    </row>
    <row r="96" spans="1:5" x14ac:dyDescent="0.25">
      <c r="A96" s="16" t="s">
        <v>90</v>
      </c>
      <c r="B96" s="22">
        <v>11</v>
      </c>
      <c r="C96" s="23">
        <v>2.4</v>
      </c>
      <c r="D96" s="23">
        <v>4.12</v>
      </c>
      <c r="E96" s="24">
        <v>0</v>
      </c>
    </row>
    <row r="97" spans="1:5" x14ac:dyDescent="0.25">
      <c r="A97" s="16" t="s">
        <v>91</v>
      </c>
      <c r="B97" s="22">
        <v>13</v>
      </c>
      <c r="C97" s="23">
        <v>2.8</v>
      </c>
      <c r="D97" s="23">
        <v>4.84</v>
      </c>
      <c r="E97" s="24">
        <v>0</v>
      </c>
    </row>
    <row r="98" spans="1:5" x14ac:dyDescent="0.25">
      <c r="A98" s="16" t="s">
        <v>92</v>
      </c>
      <c r="B98" s="22">
        <v>13</v>
      </c>
      <c r="C98" s="23">
        <v>3</v>
      </c>
      <c r="D98" s="23">
        <v>5</v>
      </c>
      <c r="E98" s="24">
        <v>0</v>
      </c>
    </row>
    <row r="99" spans="1:5" x14ac:dyDescent="0.25">
      <c r="A99" s="16" t="s">
        <v>93</v>
      </c>
      <c r="B99" s="22">
        <v>10</v>
      </c>
      <c r="C99" s="23">
        <v>2.2000000000000002</v>
      </c>
      <c r="D99" s="23">
        <v>3.76</v>
      </c>
      <c r="E99" s="24">
        <v>0</v>
      </c>
    </row>
    <row r="100" spans="1:5" x14ac:dyDescent="0.25">
      <c r="A100" s="16" t="s">
        <v>94</v>
      </c>
      <c r="B100" s="22">
        <v>9</v>
      </c>
      <c r="C100" s="23">
        <v>3.6</v>
      </c>
      <c r="D100" s="23">
        <v>4.68</v>
      </c>
      <c r="E100" s="24">
        <v>0</v>
      </c>
    </row>
    <row r="101" spans="1:5" x14ac:dyDescent="0.25">
      <c r="A101" s="16" t="s">
        <v>95</v>
      </c>
      <c r="B101" s="22">
        <v>15</v>
      </c>
      <c r="C101" s="23">
        <v>4.4000000000000004</v>
      </c>
      <c r="D101" s="23">
        <v>6.52</v>
      </c>
      <c r="E101" s="24">
        <v>0</v>
      </c>
    </row>
    <row r="102" spans="1:5" x14ac:dyDescent="0.25">
      <c r="A102" s="16" t="s">
        <v>96</v>
      </c>
      <c r="B102" s="22">
        <v>9</v>
      </c>
      <c r="C102" s="23">
        <v>2</v>
      </c>
      <c r="D102" s="23">
        <v>3.4</v>
      </c>
      <c r="E102" s="24">
        <v>0</v>
      </c>
    </row>
    <row r="103" spans="1:5" x14ac:dyDescent="0.25">
      <c r="A103" s="16" t="s">
        <v>97</v>
      </c>
      <c r="B103" s="22">
        <v>10</v>
      </c>
      <c r="C103" s="23">
        <v>3.6</v>
      </c>
      <c r="D103" s="23">
        <v>4.88</v>
      </c>
      <c r="E103" s="24">
        <v>0</v>
      </c>
    </row>
    <row r="104" spans="1:5" x14ac:dyDescent="0.25">
      <c r="A104" s="16" t="s">
        <v>98</v>
      </c>
      <c r="B104" s="22">
        <v>12</v>
      </c>
      <c r="C104" s="23">
        <v>3.8</v>
      </c>
      <c r="D104" s="23">
        <v>5.44</v>
      </c>
      <c r="E104" s="24">
        <v>0</v>
      </c>
    </row>
    <row r="105" spans="1:5" x14ac:dyDescent="0.25">
      <c r="A105" s="16" t="s">
        <v>99</v>
      </c>
      <c r="B105" s="22">
        <v>12</v>
      </c>
      <c r="C105" s="23">
        <v>1</v>
      </c>
      <c r="D105" s="23">
        <v>3.2</v>
      </c>
      <c r="E105" s="24">
        <v>0</v>
      </c>
    </row>
    <row r="106" spans="1:5" x14ac:dyDescent="0.25">
      <c r="A106" s="16" t="s">
        <v>100</v>
      </c>
      <c r="B106" s="22">
        <v>9</v>
      </c>
      <c r="C106" s="23">
        <v>3.2</v>
      </c>
      <c r="D106" s="23">
        <v>4.3600000000000003</v>
      </c>
      <c r="E106" s="24">
        <v>0</v>
      </c>
    </row>
    <row r="107" spans="1:5" x14ac:dyDescent="0.25">
      <c r="A107" s="16" t="s">
        <v>101</v>
      </c>
      <c r="B107" s="22">
        <v>10</v>
      </c>
      <c r="C107" s="23">
        <v>2.8</v>
      </c>
      <c r="D107" s="23">
        <v>4.24</v>
      </c>
      <c r="E107" s="24">
        <v>0</v>
      </c>
    </row>
    <row r="108" spans="1:5" x14ac:dyDescent="0.25">
      <c r="A108" s="16" t="s">
        <v>102</v>
      </c>
      <c r="B108" s="22">
        <v>12</v>
      </c>
      <c r="C108" s="23">
        <v>6</v>
      </c>
      <c r="D108" s="23">
        <v>7.2</v>
      </c>
      <c r="E108" s="24">
        <v>0</v>
      </c>
    </row>
    <row r="109" spans="1:5" x14ac:dyDescent="0.25">
      <c r="A109" s="16" t="s">
        <v>103</v>
      </c>
      <c r="B109" s="22">
        <v>9</v>
      </c>
      <c r="C109" s="23">
        <v>1.8</v>
      </c>
      <c r="D109" s="23">
        <v>3.24</v>
      </c>
      <c r="E109" s="24">
        <v>0</v>
      </c>
    </row>
    <row r="110" spans="1:5" x14ac:dyDescent="0.25">
      <c r="A110" s="16" t="s">
        <v>104</v>
      </c>
      <c r="B110" s="22">
        <v>10</v>
      </c>
      <c r="C110" s="23">
        <v>1</v>
      </c>
      <c r="D110" s="23">
        <v>2.8</v>
      </c>
      <c r="E110" s="24">
        <v>0</v>
      </c>
    </row>
    <row r="111" spans="1:5" x14ac:dyDescent="0.25">
      <c r="A111" s="16" t="s">
        <v>105</v>
      </c>
      <c r="B111" s="22">
        <v>9</v>
      </c>
      <c r="C111" s="23">
        <v>2</v>
      </c>
      <c r="D111" s="23">
        <v>3.4</v>
      </c>
      <c r="E111" s="24">
        <v>0</v>
      </c>
    </row>
    <row r="112" spans="1:5" x14ac:dyDescent="0.25">
      <c r="A112" s="16" t="s">
        <v>106</v>
      </c>
      <c r="B112" s="22">
        <v>12</v>
      </c>
      <c r="C112" s="23">
        <v>4.5999999999999996</v>
      </c>
      <c r="D112" s="23">
        <v>6.08</v>
      </c>
      <c r="E112" s="24">
        <v>0</v>
      </c>
    </row>
    <row r="113" spans="1:5" x14ac:dyDescent="0.25">
      <c r="A113" s="16" t="s">
        <v>107</v>
      </c>
      <c r="B113" s="22">
        <v>11</v>
      </c>
      <c r="C113" s="23">
        <v>1</v>
      </c>
      <c r="D113" s="23">
        <v>3</v>
      </c>
      <c r="E113" s="24">
        <v>0</v>
      </c>
    </row>
    <row r="114" spans="1:5" x14ac:dyDescent="0.25">
      <c r="A114" s="16" t="s">
        <v>108</v>
      </c>
      <c r="B114" s="22">
        <v>12</v>
      </c>
      <c r="C114" s="23">
        <v>2.2000000000000002</v>
      </c>
      <c r="D114" s="23">
        <v>4.16</v>
      </c>
      <c r="E114" s="24">
        <v>0</v>
      </c>
    </row>
    <row r="115" spans="1:5" x14ac:dyDescent="0.25">
      <c r="A115" s="16" t="s">
        <v>109</v>
      </c>
      <c r="B115" s="22">
        <v>10</v>
      </c>
      <c r="C115" s="23">
        <v>1.2</v>
      </c>
      <c r="D115" s="23">
        <v>2.96</v>
      </c>
      <c r="E115" s="24">
        <v>0</v>
      </c>
    </row>
    <row r="116" spans="1:5" x14ac:dyDescent="0.25">
      <c r="A116" s="16" t="s">
        <v>110</v>
      </c>
      <c r="B116" s="22">
        <v>11</v>
      </c>
      <c r="C116" s="23">
        <v>3.8</v>
      </c>
      <c r="D116" s="23">
        <v>5.24</v>
      </c>
      <c r="E116" s="24">
        <v>0</v>
      </c>
    </row>
    <row r="117" spans="1:5" x14ac:dyDescent="0.25">
      <c r="A117" s="16" t="s">
        <v>111</v>
      </c>
      <c r="B117" s="22">
        <v>12</v>
      </c>
      <c r="C117" s="23">
        <v>2</v>
      </c>
      <c r="D117" s="23">
        <v>4</v>
      </c>
      <c r="E117" s="24">
        <v>0</v>
      </c>
    </row>
    <row r="118" spans="1:5" x14ac:dyDescent="0.25">
      <c r="A118" s="16" t="s">
        <v>112</v>
      </c>
      <c r="B118" s="22">
        <v>9</v>
      </c>
      <c r="C118" s="23">
        <v>5.8</v>
      </c>
      <c r="D118" s="23">
        <v>6.44</v>
      </c>
      <c r="E118" s="24">
        <v>0</v>
      </c>
    </row>
    <row r="119" spans="1:5" x14ac:dyDescent="0.25">
      <c r="A119" s="16" t="s">
        <v>113</v>
      </c>
      <c r="B119" s="22">
        <v>12</v>
      </c>
      <c r="C119" s="23">
        <v>3</v>
      </c>
      <c r="D119" s="23">
        <v>4.8</v>
      </c>
      <c r="E119" s="24">
        <v>0</v>
      </c>
    </row>
    <row r="120" spans="1:5" x14ac:dyDescent="0.25">
      <c r="A120" s="16" t="s">
        <v>114</v>
      </c>
      <c r="B120" s="22">
        <v>11</v>
      </c>
      <c r="C120" s="23">
        <v>3.6</v>
      </c>
      <c r="D120" s="23">
        <v>5.08</v>
      </c>
      <c r="E120" s="24">
        <v>0</v>
      </c>
    </row>
    <row r="121" spans="1:5" x14ac:dyDescent="0.25">
      <c r="A121" s="16" t="s">
        <v>115</v>
      </c>
      <c r="B121" s="22">
        <v>11</v>
      </c>
      <c r="C121" s="23">
        <v>4</v>
      </c>
      <c r="D121" s="23">
        <v>5.4</v>
      </c>
      <c r="E121" s="24">
        <v>0</v>
      </c>
    </row>
    <row r="122" spans="1:5" x14ac:dyDescent="0.25">
      <c r="A122" s="16" t="s">
        <v>116</v>
      </c>
      <c r="B122" s="22">
        <v>11</v>
      </c>
      <c r="C122" s="23">
        <v>6.2</v>
      </c>
      <c r="D122" s="23">
        <v>7.16</v>
      </c>
      <c r="E122" s="24">
        <v>0</v>
      </c>
    </row>
    <row r="123" spans="1:5" x14ac:dyDescent="0.25">
      <c r="A123" s="16" t="s">
        <v>117</v>
      </c>
      <c r="B123" s="22">
        <v>7</v>
      </c>
      <c r="C123" s="23">
        <v>2.8</v>
      </c>
      <c r="D123" s="23">
        <v>3.64</v>
      </c>
      <c r="E123" s="24">
        <v>0</v>
      </c>
    </row>
    <row r="124" spans="1:5" x14ac:dyDescent="0.25">
      <c r="A124" s="16" t="s">
        <v>118</v>
      </c>
      <c r="B124" s="22">
        <v>9</v>
      </c>
      <c r="C124" s="23">
        <v>2</v>
      </c>
      <c r="D124" s="23">
        <v>3.4</v>
      </c>
      <c r="E124" s="24">
        <v>0</v>
      </c>
    </row>
    <row r="125" spans="1:5" x14ac:dyDescent="0.25">
      <c r="A125" s="16" t="s">
        <v>119</v>
      </c>
      <c r="B125" s="22">
        <v>8</v>
      </c>
      <c r="C125" s="23">
        <v>3</v>
      </c>
      <c r="D125" s="23">
        <v>4</v>
      </c>
      <c r="E125" s="24">
        <v>0</v>
      </c>
    </row>
    <row r="126" spans="1:5" x14ac:dyDescent="0.25">
      <c r="A126" s="16" t="s">
        <v>120</v>
      </c>
      <c r="B126" s="22">
        <v>12</v>
      </c>
      <c r="C126" s="23">
        <v>5.2</v>
      </c>
      <c r="D126" s="23">
        <v>6.56</v>
      </c>
      <c r="E126" s="24">
        <v>0</v>
      </c>
    </row>
    <row r="127" spans="1:5" x14ac:dyDescent="0.25">
      <c r="A127" s="17" t="s">
        <v>121</v>
      </c>
      <c r="B127" s="22">
        <v>10</v>
      </c>
      <c r="C127" s="23">
        <v>1</v>
      </c>
      <c r="D127" s="23">
        <v>2.8</v>
      </c>
      <c r="E127" s="24">
        <v>0</v>
      </c>
    </row>
    <row r="128" spans="1:5" x14ac:dyDescent="0.25">
      <c r="A128" s="17" t="s">
        <v>122</v>
      </c>
      <c r="B128" s="22">
        <v>18</v>
      </c>
      <c r="C128" s="23">
        <v>4.2</v>
      </c>
      <c r="D128" s="23">
        <v>6.96</v>
      </c>
      <c r="E128" s="24">
        <v>0</v>
      </c>
    </row>
    <row r="129" spans="1:5" x14ac:dyDescent="0.25">
      <c r="A129" s="17" t="s">
        <v>123</v>
      </c>
      <c r="B129" s="22">
        <v>17</v>
      </c>
      <c r="C129" s="23">
        <v>3.4</v>
      </c>
      <c r="D129" s="23">
        <v>6.12</v>
      </c>
      <c r="E129" s="24">
        <v>0</v>
      </c>
    </row>
    <row r="130" spans="1:5" x14ac:dyDescent="0.25">
      <c r="A130" s="17" t="s">
        <v>124</v>
      </c>
      <c r="B130" s="22">
        <v>22</v>
      </c>
      <c r="C130" s="23">
        <v>4.5999999999999996</v>
      </c>
      <c r="D130" s="23">
        <v>8.08</v>
      </c>
      <c r="E130" s="24">
        <v>0</v>
      </c>
    </row>
    <row r="131" spans="1:5" x14ac:dyDescent="0.25">
      <c r="A131" s="17" t="s">
        <v>125</v>
      </c>
      <c r="B131" s="22">
        <v>22</v>
      </c>
      <c r="C131" s="23">
        <v>3.8</v>
      </c>
      <c r="D131" s="23">
        <v>7.44</v>
      </c>
      <c r="E131" s="24">
        <v>1E-3</v>
      </c>
    </row>
    <row r="132" spans="1:5" x14ac:dyDescent="0.25">
      <c r="A132" s="17" t="s">
        <v>126</v>
      </c>
      <c r="B132" s="22">
        <v>29</v>
      </c>
      <c r="C132" s="23">
        <v>4.2</v>
      </c>
      <c r="D132" s="23">
        <v>9.16</v>
      </c>
      <c r="E132" s="24">
        <v>1E-3</v>
      </c>
    </row>
    <row r="133" spans="1:5" x14ac:dyDescent="0.25">
      <c r="A133" s="17" t="s">
        <v>127</v>
      </c>
      <c r="B133" s="22">
        <v>25</v>
      </c>
      <c r="C133" s="23">
        <v>3.6</v>
      </c>
      <c r="D133" s="23">
        <v>7.88</v>
      </c>
      <c r="E133" s="24">
        <v>1E-3</v>
      </c>
    </row>
    <row r="134" spans="1:5" x14ac:dyDescent="0.25">
      <c r="A134" s="17" t="s">
        <v>128</v>
      </c>
      <c r="B134" s="22">
        <v>23</v>
      </c>
      <c r="C134" s="23">
        <v>2.6</v>
      </c>
      <c r="D134" s="23">
        <v>6.68</v>
      </c>
      <c r="E134" s="24">
        <v>0</v>
      </c>
    </row>
    <row r="135" spans="1:5" x14ac:dyDescent="0.25">
      <c r="A135" s="17" t="s">
        <v>129</v>
      </c>
      <c r="B135" s="22">
        <v>25</v>
      </c>
      <c r="C135" s="23">
        <v>4</v>
      </c>
      <c r="D135" s="23">
        <v>8.1999999999999993</v>
      </c>
      <c r="E135" s="24">
        <v>1E-3</v>
      </c>
    </row>
    <row r="136" spans="1:5" x14ac:dyDescent="0.25">
      <c r="A136" s="17" t="s">
        <v>130</v>
      </c>
      <c r="B136" s="22">
        <v>28</v>
      </c>
      <c r="C136" s="23">
        <v>4</v>
      </c>
      <c r="D136" s="23">
        <v>8.8000000000000007</v>
      </c>
      <c r="E136" s="24">
        <v>1E-3</v>
      </c>
    </row>
    <row r="137" spans="1:5" x14ac:dyDescent="0.25">
      <c r="A137" s="17" t="s">
        <v>131</v>
      </c>
      <c r="B137" s="22">
        <v>32</v>
      </c>
      <c r="C137" s="23">
        <v>5.8</v>
      </c>
      <c r="D137" s="23">
        <v>11.04</v>
      </c>
      <c r="E137" s="24">
        <v>1E-3</v>
      </c>
    </row>
    <row r="138" spans="1:5" x14ac:dyDescent="0.25">
      <c r="A138" s="17" t="s">
        <v>132</v>
      </c>
      <c r="B138" s="22">
        <v>36</v>
      </c>
      <c r="C138" s="23">
        <v>4</v>
      </c>
      <c r="D138" s="23">
        <v>10.4</v>
      </c>
      <c r="E138" s="24">
        <v>1E-3</v>
      </c>
    </row>
    <row r="139" spans="1:5" x14ac:dyDescent="0.25">
      <c r="A139" s="17" t="s">
        <v>133</v>
      </c>
      <c r="B139" s="22">
        <v>26</v>
      </c>
      <c r="C139" s="23">
        <v>6.4</v>
      </c>
      <c r="D139" s="23">
        <v>10.32</v>
      </c>
      <c r="E139" s="24">
        <v>1E-3</v>
      </c>
    </row>
    <row r="140" spans="1:5" x14ac:dyDescent="0.25">
      <c r="A140" s="17" t="s">
        <v>134</v>
      </c>
      <c r="B140" s="22">
        <v>30</v>
      </c>
      <c r="C140" s="23">
        <v>6.8</v>
      </c>
      <c r="D140" s="23">
        <v>11.44</v>
      </c>
      <c r="E140" s="24">
        <v>1.0999999999999999E-2</v>
      </c>
    </row>
    <row r="141" spans="1:5" x14ac:dyDescent="0.25">
      <c r="A141" s="17" t="s">
        <v>135</v>
      </c>
      <c r="B141" s="22">
        <v>29</v>
      </c>
      <c r="C141" s="23">
        <v>6.4</v>
      </c>
      <c r="D141" s="23">
        <v>10.92</v>
      </c>
      <c r="E141" s="24">
        <v>2E-3</v>
      </c>
    </row>
    <row r="142" spans="1:5" x14ac:dyDescent="0.25">
      <c r="A142" s="17" t="s">
        <v>136</v>
      </c>
      <c r="B142" s="22">
        <v>32</v>
      </c>
      <c r="C142" s="23">
        <v>6.2</v>
      </c>
      <c r="D142" s="23">
        <v>11.36</v>
      </c>
      <c r="E142" s="24">
        <v>2E-3</v>
      </c>
    </row>
    <row r="143" spans="1:5" x14ac:dyDescent="0.25">
      <c r="A143" s="17" t="s">
        <v>137</v>
      </c>
      <c r="B143" s="22">
        <v>40</v>
      </c>
      <c r="C143" s="23">
        <v>7.2</v>
      </c>
      <c r="D143" s="23">
        <v>13.76</v>
      </c>
      <c r="E143" s="24">
        <v>2E-3</v>
      </c>
    </row>
    <row r="144" spans="1:5" x14ac:dyDescent="0.25">
      <c r="A144" s="17" t="s">
        <v>138</v>
      </c>
      <c r="B144" s="22">
        <v>38</v>
      </c>
      <c r="C144" s="23">
        <v>4.8</v>
      </c>
      <c r="D144" s="23">
        <v>11.44</v>
      </c>
      <c r="E144" s="24">
        <v>2E-3</v>
      </c>
    </row>
    <row r="145" spans="1:5" x14ac:dyDescent="0.25">
      <c r="A145" s="17" t="s">
        <v>139</v>
      </c>
      <c r="B145" s="22">
        <v>44</v>
      </c>
      <c r="C145" s="23">
        <v>7.8</v>
      </c>
      <c r="D145" s="23">
        <v>15.04</v>
      </c>
      <c r="E145" s="24">
        <v>3.0000000000000001E-3</v>
      </c>
    </row>
    <row r="146" spans="1:5" x14ac:dyDescent="0.25">
      <c r="A146" s="17" t="s">
        <v>140</v>
      </c>
      <c r="B146" s="22">
        <v>49</v>
      </c>
      <c r="C146" s="23">
        <v>6.6</v>
      </c>
      <c r="D146" s="23">
        <v>15.08</v>
      </c>
      <c r="E146" s="24">
        <v>3.0000000000000001E-3</v>
      </c>
    </row>
    <row r="147" spans="1:5" x14ac:dyDescent="0.25">
      <c r="A147" s="17" t="s">
        <v>141</v>
      </c>
      <c r="B147" s="22">
        <v>49</v>
      </c>
      <c r="C147" s="23">
        <v>7.6</v>
      </c>
      <c r="D147" s="23">
        <v>15.88</v>
      </c>
      <c r="E147" s="24">
        <v>3.0000000000000001E-3</v>
      </c>
    </row>
    <row r="148" spans="1:5" x14ac:dyDescent="0.25">
      <c r="A148" s="17" t="s">
        <v>142</v>
      </c>
      <c r="B148" s="22">
        <v>48</v>
      </c>
      <c r="C148" s="23">
        <v>4.2</v>
      </c>
      <c r="D148" s="23">
        <v>12.96</v>
      </c>
      <c r="E148" s="24">
        <v>4.0000000000000001E-3</v>
      </c>
    </row>
    <row r="149" spans="1:5" x14ac:dyDescent="0.25">
      <c r="A149" s="17" t="s">
        <v>143</v>
      </c>
      <c r="B149" s="22">
        <v>62</v>
      </c>
      <c r="C149" s="23">
        <v>6.2</v>
      </c>
      <c r="D149" s="23">
        <v>17.36</v>
      </c>
      <c r="E149" s="24">
        <v>4.0000000000000001E-3</v>
      </c>
    </row>
    <row r="150" spans="1:5" x14ac:dyDescent="0.25">
      <c r="A150" s="17" t="s">
        <v>144</v>
      </c>
      <c r="B150" s="22">
        <v>67</v>
      </c>
      <c r="C150" s="23">
        <v>8.8000000000000007</v>
      </c>
      <c r="D150" s="23">
        <v>20.440000000000001</v>
      </c>
      <c r="E150" s="24">
        <v>4.0000000000000001E-3</v>
      </c>
    </row>
    <row r="151" spans="1:5" x14ac:dyDescent="0.25">
      <c r="A151" s="17" t="s">
        <v>145</v>
      </c>
      <c r="B151" s="22">
        <v>58</v>
      </c>
      <c r="C151" s="23">
        <v>8</v>
      </c>
      <c r="D151" s="23">
        <v>18</v>
      </c>
      <c r="E151" s="24">
        <v>7.0000000000000001E-3</v>
      </c>
    </row>
    <row r="152" spans="1:5" x14ac:dyDescent="0.25">
      <c r="A152" s="17" t="s">
        <v>146</v>
      </c>
      <c r="B152" s="22">
        <v>48</v>
      </c>
      <c r="C152" s="23">
        <v>6.8</v>
      </c>
      <c r="D152" s="23">
        <v>15.04</v>
      </c>
      <c r="E152" s="24">
        <v>3.0000000000000001E-3</v>
      </c>
    </row>
    <row r="153" spans="1:5" x14ac:dyDescent="0.25">
      <c r="A153" s="17" t="s">
        <v>147</v>
      </c>
      <c r="B153" s="22">
        <v>47</v>
      </c>
      <c r="C153" s="23">
        <v>5.2</v>
      </c>
      <c r="D153" s="23">
        <v>13.56</v>
      </c>
      <c r="E153" s="24">
        <v>1.7000000000000001E-2</v>
      </c>
    </row>
    <row r="154" spans="1:5" x14ac:dyDescent="0.25">
      <c r="A154" s="17" t="s">
        <v>148</v>
      </c>
      <c r="B154" s="22">
        <v>61</v>
      </c>
      <c r="C154" s="23">
        <v>9.1999999999999993</v>
      </c>
      <c r="D154" s="23">
        <v>19.559999999999999</v>
      </c>
      <c r="E154" s="24">
        <v>4.0000000000000001E-3</v>
      </c>
    </row>
    <row r="155" spans="1:5" x14ac:dyDescent="0.25">
      <c r="A155" s="17" t="s">
        <v>149</v>
      </c>
      <c r="B155" s="22">
        <v>58</v>
      </c>
      <c r="C155" s="23">
        <v>7.8</v>
      </c>
      <c r="D155" s="23">
        <v>17.84</v>
      </c>
      <c r="E155" s="24">
        <v>3.0000000000000001E-3</v>
      </c>
    </row>
    <row r="156" spans="1:5" x14ac:dyDescent="0.25">
      <c r="A156" s="17" t="s">
        <v>150</v>
      </c>
      <c r="B156" s="22">
        <v>66</v>
      </c>
      <c r="C156" s="23">
        <v>10</v>
      </c>
      <c r="D156" s="23">
        <v>21.2</v>
      </c>
      <c r="E156" s="24">
        <v>4.0000000000000001E-3</v>
      </c>
    </row>
    <row r="157" spans="1:5" x14ac:dyDescent="0.25">
      <c r="A157" s="17" t="s">
        <v>151</v>
      </c>
      <c r="B157" s="22">
        <v>86</v>
      </c>
      <c r="C157" s="23">
        <v>13.6</v>
      </c>
      <c r="D157" s="23">
        <v>28.08</v>
      </c>
      <c r="E157" s="24">
        <v>7.0000000000000001E-3</v>
      </c>
    </row>
    <row r="158" spans="1:5" x14ac:dyDescent="0.25">
      <c r="A158" s="17" t="s">
        <v>152</v>
      </c>
      <c r="B158" s="22">
        <v>69</v>
      </c>
      <c r="C158" s="23">
        <v>8.8000000000000007</v>
      </c>
      <c r="D158" s="23">
        <v>20.84</v>
      </c>
      <c r="E158" s="24">
        <v>1.4999999999999999E-2</v>
      </c>
    </row>
    <row r="159" spans="1:5" x14ac:dyDescent="0.25">
      <c r="A159" s="17" t="s">
        <v>153</v>
      </c>
      <c r="B159" s="22">
        <v>71</v>
      </c>
      <c r="C159" s="23">
        <v>8.8000000000000007</v>
      </c>
      <c r="D159" s="23">
        <v>21.24</v>
      </c>
      <c r="E159" s="24">
        <v>1.2E-2</v>
      </c>
    </row>
    <row r="160" spans="1:5" x14ac:dyDescent="0.25">
      <c r="A160" s="17" t="s">
        <v>154</v>
      </c>
      <c r="B160" s="22">
        <v>68</v>
      </c>
      <c r="C160" s="23">
        <v>16.8</v>
      </c>
      <c r="D160" s="23">
        <v>27.04</v>
      </c>
      <c r="E160" s="24">
        <v>6.7000000000000004E-2</v>
      </c>
    </row>
    <row r="161" spans="1:5" x14ac:dyDescent="0.25">
      <c r="A161" s="17" t="s">
        <v>155</v>
      </c>
      <c r="B161" s="22">
        <v>74</v>
      </c>
      <c r="C161" s="23">
        <v>14.4</v>
      </c>
      <c r="D161" s="23">
        <v>26.32</v>
      </c>
      <c r="E161" s="24">
        <v>2.5999999999999999E-2</v>
      </c>
    </row>
    <row r="162" spans="1:5" x14ac:dyDescent="0.25">
      <c r="A162" s="17" t="s">
        <v>156</v>
      </c>
      <c r="B162" s="22">
        <v>91</v>
      </c>
      <c r="C162" s="23">
        <v>18.2</v>
      </c>
      <c r="D162" s="23">
        <v>32.76</v>
      </c>
      <c r="E162" s="24">
        <v>1.6E-2</v>
      </c>
    </row>
    <row r="163" spans="1:5" x14ac:dyDescent="0.25">
      <c r="A163" s="17" t="s">
        <v>157</v>
      </c>
      <c r="B163" s="22">
        <v>85</v>
      </c>
      <c r="C163" s="23">
        <v>16.2</v>
      </c>
      <c r="D163" s="23">
        <v>29.96</v>
      </c>
      <c r="E163" s="24">
        <v>1.7000000000000001E-2</v>
      </c>
    </row>
    <row r="164" spans="1:5" x14ac:dyDescent="0.25">
      <c r="A164" s="17" t="s">
        <v>158</v>
      </c>
      <c r="B164" s="22">
        <v>87</v>
      </c>
      <c r="C164" s="23">
        <v>13.8</v>
      </c>
      <c r="D164" s="23">
        <v>28.44</v>
      </c>
      <c r="E164" s="24">
        <v>4.3999999999999997E-2</v>
      </c>
    </row>
    <row r="165" spans="1:5" x14ac:dyDescent="0.25">
      <c r="A165" s="17" t="s">
        <v>159</v>
      </c>
      <c r="B165" s="22">
        <v>81</v>
      </c>
      <c r="C165" s="23">
        <v>12.4</v>
      </c>
      <c r="D165" s="23">
        <v>26.12</v>
      </c>
      <c r="E165" s="24">
        <v>1.6E-2</v>
      </c>
    </row>
    <row r="166" spans="1:5" x14ac:dyDescent="0.25">
      <c r="A166" s="17" t="s">
        <v>160</v>
      </c>
      <c r="B166" s="22">
        <v>92</v>
      </c>
      <c r="C166" s="23">
        <v>15.4</v>
      </c>
      <c r="D166" s="23">
        <v>30.72</v>
      </c>
      <c r="E166" s="24">
        <v>2.7E-2</v>
      </c>
    </row>
    <row r="167" spans="1:5" x14ac:dyDescent="0.25">
      <c r="A167" s="17" t="s">
        <v>161</v>
      </c>
      <c r="B167" s="22">
        <v>86</v>
      </c>
      <c r="C167" s="23">
        <v>11.2</v>
      </c>
      <c r="D167" s="23">
        <v>26.16</v>
      </c>
      <c r="E167" s="24">
        <v>1.7000000000000001E-2</v>
      </c>
    </row>
    <row r="168" spans="1:5" x14ac:dyDescent="0.25">
      <c r="A168" s="17" t="s">
        <v>162</v>
      </c>
      <c r="B168" s="22">
        <v>84</v>
      </c>
      <c r="C168" s="23">
        <v>11.8</v>
      </c>
      <c r="D168" s="23">
        <v>26.24</v>
      </c>
      <c r="E168" s="24">
        <v>1.6E-2</v>
      </c>
    </row>
    <row r="169" spans="1:5" x14ac:dyDescent="0.25">
      <c r="A169" s="17" t="s">
        <v>163</v>
      </c>
      <c r="B169" s="22">
        <v>94</v>
      </c>
      <c r="C169" s="23">
        <v>9.8000000000000007</v>
      </c>
      <c r="D169" s="23">
        <v>26.64</v>
      </c>
      <c r="E169" s="24">
        <v>4.8000000000000001E-2</v>
      </c>
    </row>
    <row r="170" spans="1:5" x14ac:dyDescent="0.25">
      <c r="A170" s="17" t="s">
        <v>164</v>
      </c>
      <c r="B170" s="22">
        <v>97</v>
      </c>
      <c r="C170" s="23">
        <v>19.2</v>
      </c>
      <c r="D170" s="23">
        <v>34.76</v>
      </c>
      <c r="E170" s="24">
        <v>2.8000000000000001E-2</v>
      </c>
    </row>
    <row r="171" spans="1:5" x14ac:dyDescent="0.25">
      <c r="A171" s="17" t="s">
        <v>165</v>
      </c>
      <c r="B171" s="22">
        <v>114</v>
      </c>
      <c r="C171" s="23">
        <v>13.4</v>
      </c>
      <c r="D171" s="23">
        <v>33.520000000000003</v>
      </c>
      <c r="E171" s="24">
        <v>5.8999999999999997E-2</v>
      </c>
    </row>
    <row r="172" spans="1:5" x14ac:dyDescent="0.25">
      <c r="A172" s="17" t="s">
        <v>166</v>
      </c>
      <c r="B172" s="22">
        <v>84</v>
      </c>
      <c r="C172" s="23">
        <v>8</v>
      </c>
      <c r="D172" s="23">
        <v>23.2</v>
      </c>
      <c r="E172" s="24">
        <v>1.7999999999999999E-2</v>
      </c>
    </row>
    <row r="173" spans="1:5" x14ac:dyDescent="0.25">
      <c r="A173" s="17" t="s">
        <v>167</v>
      </c>
      <c r="B173" s="22">
        <v>85</v>
      </c>
      <c r="C173" s="23">
        <v>15.8</v>
      </c>
      <c r="D173" s="23">
        <v>29.64</v>
      </c>
      <c r="E173" s="24">
        <v>1.9E-2</v>
      </c>
    </row>
    <row r="174" spans="1:5" x14ac:dyDescent="0.25">
      <c r="A174" s="17" t="s">
        <v>168</v>
      </c>
      <c r="B174" s="22">
        <v>96</v>
      </c>
      <c r="C174" s="23">
        <v>17</v>
      </c>
      <c r="D174" s="23">
        <v>32.799999999999997</v>
      </c>
      <c r="E174" s="24">
        <v>1.6E-2</v>
      </c>
    </row>
    <row r="175" spans="1:5" x14ac:dyDescent="0.25">
      <c r="A175" s="17" t="s">
        <v>169</v>
      </c>
      <c r="B175" s="22">
        <v>94</v>
      </c>
      <c r="C175" s="23">
        <v>13.6</v>
      </c>
      <c r="D175" s="23">
        <v>29.68</v>
      </c>
      <c r="E175" s="24">
        <v>0.10100000000000001</v>
      </c>
    </row>
    <row r="176" spans="1:5" x14ac:dyDescent="0.25">
      <c r="A176" s="17" t="s">
        <v>170</v>
      </c>
      <c r="B176" s="22">
        <v>105</v>
      </c>
      <c r="C176" s="23">
        <v>15.2</v>
      </c>
      <c r="D176" s="23">
        <v>33.159999999999997</v>
      </c>
      <c r="E176" s="24">
        <v>2.5999999999999999E-2</v>
      </c>
    </row>
    <row r="177" spans="1:5" x14ac:dyDescent="0.25">
      <c r="A177" s="17" t="s">
        <v>171</v>
      </c>
      <c r="B177" s="22">
        <v>112</v>
      </c>
      <c r="C177" s="23">
        <v>12.2</v>
      </c>
      <c r="D177" s="23">
        <v>32.159999999999997</v>
      </c>
      <c r="E177" s="24">
        <v>1.7999999999999999E-2</v>
      </c>
    </row>
    <row r="178" spans="1:5" x14ac:dyDescent="0.25">
      <c r="A178" s="17" t="s">
        <v>172</v>
      </c>
      <c r="B178" s="22">
        <v>91</v>
      </c>
      <c r="C178" s="23">
        <v>11.4</v>
      </c>
      <c r="D178" s="23">
        <v>27.32</v>
      </c>
      <c r="E178" s="24">
        <v>1.2999999999999999E-2</v>
      </c>
    </row>
    <row r="179" spans="1:5" x14ac:dyDescent="0.25">
      <c r="A179" s="17" t="s">
        <v>173</v>
      </c>
      <c r="B179" s="22">
        <v>121</v>
      </c>
      <c r="C179" s="23">
        <v>20.6</v>
      </c>
      <c r="D179" s="23">
        <v>40.68</v>
      </c>
      <c r="E179" s="24">
        <v>4.3999999999999997E-2</v>
      </c>
    </row>
    <row r="180" spans="1:5" x14ac:dyDescent="0.25">
      <c r="A180" s="18" t="s">
        <v>174</v>
      </c>
      <c r="B180" s="22">
        <v>51</v>
      </c>
      <c r="C180" s="23">
        <v>1.2</v>
      </c>
      <c r="D180" s="23">
        <v>11.16</v>
      </c>
      <c r="E180" s="24">
        <v>0.01</v>
      </c>
    </row>
    <row r="181" spans="1:5" x14ac:dyDescent="0.25">
      <c r="A181" s="18" t="s">
        <v>175</v>
      </c>
      <c r="B181" s="22">
        <v>50</v>
      </c>
      <c r="C181" s="23">
        <v>1.8</v>
      </c>
      <c r="D181" s="23">
        <v>11.44</v>
      </c>
      <c r="E181" s="24">
        <v>7.0000000000000001E-3</v>
      </c>
    </row>
    <row r="182" spans="1:5" x14ac:dyDescent="0.25">
      <c r="A182" s="18" t="s">
        <v>176</v>
      </c>
      <c r="B182" s="22">
        <v>48</v>
      </c>
      <c r="C182" s="23">
        <v>3.2</v>
      </c>
      <c r="D182" s="23">
        <v>12.16</v>
      </c>
      <c r="E182" s="24">
        <v>1.2999999999999999E-2</v>
      </c>
    </row>
    <row r="183" spans="1:5" x14ac:dyDescent="0.25">
      <c r="A183" s="18" t="s">
        <v>177</v>
      </c>
      <c r="B183" s="22">
        <v>48</v>
      </c>
      <c r="C183" s="23">
        <v>1.6</v>
      </c>
      <c r="D183" s="23">
        <v>10.88</v>
      </c>
      <c r="E183" s="24">
        <v>8.9999999999999993E-3</v>
      </c>
    </row>
    <row r="184" spans="1:5" x14ac:dyDescent="0.25">
      <c r="A184" s="18" t="s">
        <v>178</v>
      </c>
      <c r="B184" s="22">
        <v>49</v>
      </c>
      <c r="C184" s="23">
        <v>1.2</v>
      </c>
      <c r="D184" s="23">
        <v>10.76</v>
      </c>
      <c r="E184" s="24">
        <v>1.0999999999999999E-2</v>
      </c>
    </row>
    <row r="185" spans="1:5" x14ac:dyDescent="0.25">
      <c r="A185" s="18" t="s">
        <v>179</v>
      </c>
      <c r="B185" s="22">
        <v>50</v>
      </c>
      <c r="C185" s="23">
        <v>7.2</v>
      </c>
      <c r="D185" s="23">
        <v>15.76</v>
      </c>
      <c r="E185" s="24">
        <v>7.0000000000000001E-3</v>
      </c>
    </row>
    <row r="186" spans="1:5" x14ac:dyDescent="0.25">
      <c r="A186" s="18" t="s">
        <v>180</v>
      </c>
      <c r="B186" s="22">
        <v>49</v>
      </c>
      <c r="C186" s="23">
        <v>3.2</v>
      </c>
      <c r="D186" s="23">
        <v>12.36</v>
      </c>
      <c r="E186" s="24">
        <v>8.9999999999999993E-3</v>
      </c>
    </row>
    <row r="187" spans="1:5" x14ac:dyDescent="0.25">
      <c r="A187" s="18" t="s">
        <v>181</v>
      </c>
      <c r="B187" s="22">
        <v>50</v>
      </c>
      <c r="C187" s="23">
        <v>2.6</v>
      </c>
      <c r="D187" s="23">
        <v>12.08</v>
      </c>
      <c r="E187" s="24">
        <v>0.02</v>
      </c>
    </row>
    <row r="188" spans="1:5" x14ac:dyDescent="0.25">
      <c r="A188" s="18" t="s">
        <v>182</v>
      </c>
      <c r="B188" s="22">
        <v>57</v>
      </c>
      <c r="C188" s="23">
        <v>2.6</v>
      </c>
      <c r="D188" s="23">
        <v>13.48</v>
      </c>
      <c r="E188" s="24">
        <v>6.0000000000000001E-3</v>
      </c>
    </row>
    <row r="189" spans="1:5" x14ac:dyDescent="0.25">
      <c r="A189" s="18" t="s">
        <v>183</v>
      </c>
      <c r="B189" s="22">
        <v>47</v>
      </c>
      <c r="C189" s="23">
        <v>2.6</v>
      </c>
      <c r="D189" s="23">
        <v>11.48</v>
      </c>
      <c r="E189" s="24">
        <v>1.9E-2</v>
      </c>
    </row>
    <row r="190" spans="1:5" x14ac:dyDescent="0.25">
      <c r="A190" s="18" t="s">
        <v>184</v>
      </c>
      <c r="B190" s="22">
        <v>51</v>
      </c>
      <c r="C190" s="23">
        <v>4.2</v>
      </c>
      <c r="D190" s="23">
        <v>13.56</v>
      </c>
      <c r="E190" s="24">
        <v>0.01</v>
      </c>
    </row>
    <row r="191" spans="1:5" x14ac:dyDescent="0.25">
      <c r="A191" s="18" t="s">
        <v>185</v>
      </c>
      <c r="B191" s="22">
        <v>51</v>
      </c>
      <c r="C191" s="23">
        <v>2.8</v>
      </c>
      <c r="D191" s="23">
        <v>12.44</v>
      </c>
      <c r="E191" s="24">
        <v>2.3E-2</v>
      </c>
    </row>
    <row r="192" spans="1:5" x14ac:dyDescent="0.25">
      <c r="A192" s="18" t="s">
        <v>186</v>
      </c>
      <c r="B192" s="22">
        <v>45</v>
      </c>
      <c r="C192" s="23">
        <v>2.6</v>
      </c>
      <c r="D192" s="23">
        <v>11.08</v>
      </c>
      <c r="E192" s="24">
        <v>1.7000000000000001E-2</v>
      </c>
    </row>
    <row r="193" spans="1:5" x14ac:dyDescent="0.25">
      <c r="A193" s="18" t="s">
        <v>187</v>
      </c>
      <c r="B193" s="22">
        <v>53</v>
      </c>
      <c r="C193" s="23">
        <v>4.5999999999999996</v>
      </c>
      <c r="D193" s="23">
        <v>14.28</v>
      </c>
      <c r="E193" s="24">
        <v>1.7999999999999999E-2</v>
      </c>
    </row>
    <row r="194" spans="1:5" x14ac:dyDescent="0.25">
      <c r="A194" s="18" t="s">
        <v>188</v>
      </c>
      <c r="B194" s="22">
        <v>60</v>
      </c>
      <c r="C194" s="23">
        <v>0.8</v>
      </c>
      <c r="D194" s="23">
        <v>12.64</v>
      </c>
      <c r="E194" s="24">
        <v>1.7999999999999999E-2</v>
      </c>
    </row>
    <row r="195" spans="1:5" x14ac:dyDescent="0.25">
      <c r="A195" s="18" t="s">
        <v>189</v>
      </c>
      <c r="B195" s="22">
        <v>54</v>
      </c>
      <c r="C195" s="23">
        <v>1.8</v>
      </c>
      <c r="D195" s="23">
        <v>12.24</v>
      </c>
      <c r="E195" s="24">
        <v>0.02</v>
      </c>
    </row>
    <row r="196" spans="1:5" x14ac:dyDescent="0.25">
      <c r="A196" s="18" t="s">
        <v>190</v>
      </c>
      <c r="B196" s="22">
        <v>49</v>
      </c>
      <c r="C196" s="23">
        <v>1.2</v>
      </c>
      <c r="D196" s="23">
        <v>10.76</v>
      </c>
      <c r="E196" s="24">
        <v>1.9E-2</v>
      </c>
    </row>
    <row r="197" spans="1:5" x14ac:dyDescent="0.25">
      <c r="A197" s="18" t="s">
        <v>191</v>
      </c>
      <c r="B197" s="22">
        <v>53</v>
      </c>
      <c r="C197" s="23">
        <v>0.8</v>
      </c>
      <c r="D197" s="23">
        <v>11.24</v>
      </c>
      <c r="E197" s="24">
        <v>6.0000000000000001E-3</v>
      </c>
    </row>
    <row r="198" spans="1:5" x14ac:dyDescent="0.25">
      <c r="A198" s="18" t="s">
        <v>192</v>
      </c>
      <c r="B198" s="22">
        <v>48</v>
      </c>
      <c r="C198" s="23">
        <v>0.8</v>
      </c>
      <c r="D198" s="23">
        <v>10.24</v>
      </c>
      <c r="E198" s="24">
        <v>2.1000000000000001E-2</v>
      </c>
    </row>
    <row r="199" spans="1:5" x14ac:dyDescent="0.25">
      <c r="A199" s="18" t="s">
        <v>193</v>
      </c>
      <c r="B199" s="22">
        <v>51</v>
      </c>
      <c r="C199" s="23">
        <v>1</v>
      </c>
      <c r="D199" s="23">
        <v>11</v>
      </c>
      <c r="E199" s="24">
        <v>1.4999999999999999E-2</v>
      </c>
    </row>
    <row r="200" spans="1:5" x14ac:dyDescent="0.25">
      <c r="A200" s="18" t="s">
        <v>194</v>
      </c>
      <c r="B200" s="22">
        <v>48</v>
      </c>
      <c r="C200" s="23">
        <v>6.2</v>
      </c>
      <c r="D200" s="23">
        <v>14.56</v>
      </c>
      <c r="E200" s="24">
        <v>0.01</v>
      </c>
    </row>
    <row r="201" spans="1:5" x14ac:dyDescent="0.25">
      <c r="A201" s="18" t="s">
        <v>195</v>
      </c>
      <c r="B201" s="22">
        <v>50</v>
      </c>
      <c r="C201" s="23">
        <v>7</v>
      </c>
      <c r="D201" s="23">
        <v>15.6</v>
      </c>
      <c r="E201" s="24">
        <v>3.0000000000000001E-3</v>
      </c>
    </row>
    <row r="202" spans="1:5" x14ac:dyDescent="0.25">
      <c r="A202" s="18" t="s">
        <v>196</v>
      </c>
      <c r="B202" s="22">
        <v>50</v>
      </c>
      <c r="C202" s="23">
        <v>1.8</v>
      </c>
      <c r="D202" s="23">
        <v>11.44</v>
      </c>
      <c r="E202" s="24">
        <v>4.0000000000000001E-3</v>
      </c>
    </row>
    <row r="203" spans="1:5" x14ac:dyDescent="0.25">
      <c r="A203" s="18" t="s">
        <v>197</v>
      </c>
      <c r="B203" s="22">
        <v>56</v>
      </c>
      <c r="C203" s="23">
        <v>0.6</v>
      </c>
      <c r="D203" s="23">
        <v>11.68</v>
      </c>
      <c r="E203" s="24">
        <v>4.0000000000000001E-3</v>
      </c>
    </row>
    <row r="204" spans="1:5" x14ac:dyDescent="0.25">
      <c r="A204" s="18" t="s">
        <v>198</v>
      </c>
      <c r="B204" s="22">
        <v>53</v>
      </c>
      <c r="C204" s="23">
        <v>1</v>
      </c>
      <c r="D204" s="23">
        <v>11.4</v>
      </c>
      <c r="E204" s="24">
        <v>0.01</v>
      </c>
    </row>
    <row r="205" spans="1:5" x14ac:dyDescent="0.25">
      <c r="A205" s="18" t="s">
        <v>199</v>
      </c>
      <c r="B205" s="22">
        <v>48</v>
      </c>
      <c r="C205" s="23">
        <v>5.8</v>
      </c>
      <c r="D205" s="23">
        <v>14.24</v>
      </c>
      <c r="E205" s="24">
        <v>7.0000000000000001E-3</v>
      </c>
    </row>
    <row r="206" spans="1:5" x14ac:dyDescent="0.25">
      <c r="A206" s="18" t="s">
        <v>200</v>
      </c>
      <c r="B206" s="22">
        <v>49</v>
      </c>
      <c r="C206" s="23">
        <v>5.8</v>
      </c>
      <c r="D206" s="23">
        <v>14.44</v>
      </c>
      <c r="E206" s="24">
        <v>4.0000000000000001E-3</v>
      </c>
    </row>
    <row r="207" spans="1:5" x14ac:dyDescent="0.25">
      <c r="A207" s="18" t="s">
        <v>201</v>
      </c>
      <c r="B207" s="22">
        <v>58</v>
      </c>
      <c r="C207" s="23">
        <v>2.6</v>
      </c>
      <c r="D207" s="23">
        <v>13.68</v>
      </c>
      <c r="E207" s="24">
        <v>5.0000000000000001E-3</v>
      </c>
    </row>
    <row r="208" spans="1:5" x14ac:dyDescent="0.25">
      <c r="A208" s="18" t="s">
        <v>202</v>
      </c>
      <c r="B208" s="22">
        <v>47</v>
      </c>
      <c r="C208" s="23">
        <v>3.4</v>
      </c>
      <c r="D208" s="23">
        <v>12.12</v>
      </c>
      <c r="E208" s="24">
        <v>5.0000000000000001E-3</v>
      </c>
    </row>
    <row r="209" spans="1:5" x14ac:dyDescent="0.25">
      <c r="A209" s="18" t="s">
        <v>203</v>
      </c>
      <c r="B209" s="22">
        <v>49</v>
      </c>
      <c r="C209" s="23">
        <v>1.6</v>
      </c>
      <c r="D209" s="23">
        <v>11.08</v>
      </c>
      <c r="E209" s="24">
        <v>1.0999999999999999E-2</v>
      </c>
    </row>
    <row r="210" spans="1:5" x14ac:dyDescent="0.25">
      <c r="A210" s="18" t="s">
        <v>204</v>
      </c>
      <c r="B210" s="22">
        <v>53</v>
      </c>
      <c r="C210" s="23">
        <v>9.4</v>
      </c>
      <c r="D210" s="23">
        <v>18.12</v>
      </c>
      <c r="E210" s="24">
        <v>8.0000000000000002E-3</v>
      </c>
    </row>
    <row r="211" spans="1:5" x14ac:dyDescent="0.25">
      <c r="A211" s="18" t="s">
        <v>205</v>
      </c>
      <c r="B211" s="22">
        <v>51</v>
      </c>
      <c r="C211" s="23">
        <v>11</v>
      </c>
      <c r="D211" s="23">
        <v>19</v>
      </c>
      <c r="E211" s="24">
        <v>2E-3</v>
      </c>
    </row>
    <row r="212" spans="1:5" x14ac:dyDescent="0.25">
      <c r="A212" s="18" t="s">
        <v>206</v>
      </c>
      <c r="B212" s="22">
        <v>52</v>
      </c>
      <c r="C212" s="23">
        <v>1.4</v>
      </c>
      <c r="D212" s="23">
        <v>11.52</v>
      </c>
      <c r="E212" s="24">
        <v>0.01</v>
      </c>
    </row>
    <row r="213" spans="1:5" x14ac:dyDescent="0.25">
      <c r="A213" s="18" t="s">
        <v>207</v>
      </c>
      <c r="B213" s="22">
        <v>49</v>
      </c>
      <c r="C213" s="23">
        <v>0.6</v>
      </c>
      <c r="D213" s="23">
        <v>10.28</v>
      </c>
      <c r="E213" s="24">
        <v>2.1999999999999999E-2</v>
      </c>
    </row>
    <row r="214" spans="1:5" x14ac:dyDescent="0.25">
      <c r="A214" s="18" t="s">
        <v>208</v>
      </c>
      <c r="B214" s="22">
        <v>53</v>
      </c>
      <c r="C214" s="23">
        <v>4.2</v>
      </c>
      <c r="D214" s="23">
        <v>13.96</v>
      </c>
      <c r="E214" s="24">
        <v>5.0000000000000001E-3</v>
      </c>
    </row>
    <row r="215" spans="1:5" x14ac:dyDescent="0.25">
      <c r="A215" s="18" t="s">
        <v>209</v>
      </c>
      <c r="B215" s="22">
        <v>49</v>
      </c>
      <c r="C215" s="23">
        <v>4.4000000000000004</v>
      </c>
      <c r="D215" s="23">
        <v>13.32</v>
      </c>
      <c r="E215" s="24">
        <v>2E-3</v>
      </c>
    </row>
    <row r="216" spans="1:5" x14ac:dyDescent="0.25">
      <c r="A216" s="18" t="s">
        <v>210</v>
      </c>
      <c r="B216" s="22">
        <v>55</v>
      </c>
      <c r="C216" s="23">
        <v>3.6</v>
      </c>
      <c r="D216" s="23">
        <v>13.88</v>
      </c>
      <c r="E216" s="24">
        <v>6.0000000000000001E-3</v>
      </c>
    </row>
    <row r="217" spans="1:5" x14ac:dyDescent="0.25">
      <c r="A217" s="18" t="s">
        <v>211</v>
      </c>
      <c r="B217" s="22">
        <v>56</v>
      </c>
      <c r="C217" s="23">
        <v>6.6</v>
      </c>
      <c r="D217" s="23">
        <v>16.48</v>
      </c>
      <c r="E217" s="24">
        <v>8.0000000000000002E-3</v>
      </c>
    </row>
    <row r="218" spans="1:5" x14ac:dyDescent="0.25">
      <c r="A218" s="18" t="s">
        <v>212</v>
      </c>
      <c r="B218" s="22">
        <v>47</v>
      </c>
      <c r="C218" s="23">
        <v>3.2</v>
      </c>
      <c r="D218" s="23">
        <v>11.96</v>
      </c>
      <c r="E218" s="24">
        <v>1.0999999999999999E-2</v>
      </c>
    </row>
    <row r="219" spans="1:5" x14ac:dyDescent="0.25">
      <c r="A219" s="18" t="s">
        <v>213</v>
      </c>
      <c r="B219" s="22">
        <v>50</v>
      </c>
      <c r="C219" s="23">
        <v>2.4</v>
      </c>
      <c r="D219" s="23">
        <v>11.92</v>
      </c>
      <c r="E219" s="24">
        <v>8.0000000000000002E-3</v>
      </c>
    </row>
    <row r="220" spans="1:5" x14ac:dyDescent="0.25">
      <c r="A220" s="18" t="s">
        <v>214</v>
      </c>
      <c r="B220" s="22">
        <v>59</v>
      </c>
      <c r="C220" s="23">
        <v>3</v>
      </c>
      <c r="D220" s="23">
        <v>14.2</v>
      </c>
      <c r="E220" s="24">
        <v>3.0000000000000001E-3</v>
      </c>
    </row>
    <row r="221" spans="1:5" x14ac:dyDescent="0.25">
      <c r="A221" s="18" t="s">
        <v>215</v>
      </c>
      <c r="B221" s="22">
        <v>52</v>
      </c>
      <c r="C221" s="23">
        <v>3.8</v>
      </c>
      <c r="D221" s="23">
        <v>13.44</v>
      </c>
      <c r="E221" s="24">
        <v>1.2E-2</v>
      </c>
    </row>
    <row r="222" spans="1:5" x14ac:dyDescent="0.25">
      <c r="A222" s="18" t="s">
        <v>216</v>
      </c>
      <c r="B222" s="22">
        <v>47</v>
      </c>
      <c r="C222" s="23">
        <v>5.4</v>
      </c>
      <c r="D222" s="23">
        <v>13.72</v>
      </c>
      <c r="E222" s="24">
        <v>8.9999999999999993E-3</v>
      </c>
    </row>
    <row r="223" spans="1:5" x14ac:dyDescent="0.25">
      <c r="A223" s="18" t="s">
        <v>217</v>
      </c>
      <c r="B223" s="22">
        <v>47</v>
      </c>
      <c r="C223" s="23">
        <v>2.8</v>
      </c>
      <c r="D223" s="23">
        <v>11.64</v>
      </c>
      <c r="E223" s="24">
        <v>8.0000000000000002E-3</v>
      </c>
    </row>
    <row r="224" spans="1:5" x14ac:dyDescent="0.25">
      <c r="A224" s="18" t="s">
        <v>218</v>
      </c>
      <c r="B224" s="22">
        <v>55</v>
      </c>
      <c r="C224" s="23">
        <v>2.4</v>
      </c>
      <c r="D224" s="23">
        <v>12.92</v>
      </c>
      <c r="E224" s="24">
        <v>2.3E-2</v>
      </c>
    </row>
    <row r="225" spans="1:5" x14ac:dyDescent="0.25">
      <c r="A225" s="18" t="s">
        <v>219</v>
      </c>
      <c r="B225" s="22">
        <v>51</v>
      </c>
      <c r="C225" s="23">
        <v>3.2</v>
      </c>
      <c r="D225" s="23">
        <v>12.76</v>
      </c>
      <c r="E225" s="24">
        <v>1.2E-2</v>
      </c>
    </row>
    <row r="226" spans="1:5" x14ac:dyDescent="0.25">
      <c r="A226" s="18" t="s">
        <v>220</v>
      </c>
      <c r="B226" s="22">
        <v>50</v>
      </c>
      <c r="C226" s="23">
        <v>1.4</v>
      </c>
      <c r="D226" s="23">
        <v>11.12</v>
      </c>
      <c r="E226" s="24">
        <v>1.0999999999999999E-2</v>
      </c>
    </row>
    <row r="227" spans="1:5" x14ac:dyDescent="0.25">
      <c r="A227" s="18" t="s">
        <v>221</v>
      </c>
      <c r="B227" s="22">
        <v>51</v>
      </c>
      <c r="C227" s="23">
        <v>1.2</v>
      </c>
      <c r="D227" s="23">
        <v>11.16</v>
      </c>
      <c r="E227" s="24">
        <v>1.7000000000000001E-2</v>
      </c>
    </row>
    <row r="228" spans="1:5" x14ac:dyDescent="0.25">
      <c r="A228" s="18" t="s">
        <v>222</v>
      </c>
      <c r="B228" s="22">
        <v>52</v>
      </c>
      <c r="C228" s="23">
        <v>2</v>
      </c>
      <c r="D228" s="23">
        <v>12</v>
      </c>
      <c r="E228" s="24">
        <v>1.2E-2</v>
      </c>
    </row>
    <row r="229" spans="1:5" x14ac:dyDescent="0.25">
      <c r="A229" s="18" t="s">
        <v>223</v>
      </c>
      <c r="B229" s="22">
        <v>50</v>
      </c>
      <c r="C229" s="23">
        <v>3.2</v>
      </c>
      <c r="D229" s="23">
        <v>12.56</v>
      </c>
      <c r="E229" s="24">
        <v>6.0000000000000001E-3</v>
      </c>
    </row>
    <row r="230" spans="1:5" x14ac:dyDescent="0.25">
      <c r="A230" s="18" t="s">
        <v>224</v>
      </c>
      <c r="B230" s="22">
        <v>51</v>
      </c>
      <c r="C230" s="23">
        <v>4.8</v>
      </c>
      <c r="D230" s="23">
        <v>14.04</v>
      </c>
      <c r="E230" s="24">
        <v>1.2E-2</v>
      </c>
    </row>
    <row r="231" spans="1:5" x14ac:dyDescent="0.25">
      <c r="A231" s="18" t="s">
        <v>225</v>
      </c>
      <c r="B231" s="22">
        <v>54</v>
      </c>
      <c r="C231" s="23">
        <v>6.6</v>
      </c>
      <c r="D231" s="23">
        <v>16.079999999999998</v>
      </c>
      <c r="E231" s="24">
        <v>4.0000000000000001E-3</v>
      </c>
    </row>
    <row r="232" spans="1:5" x14ac:dyDescent="0.25">
      <c r="A232" s="18" t="s">
        <v>226</v>
      </c>
      <c r="B232" s="22">
        <v>51</v>
      </c>
      <c r="C232" s="23">
        <v>2.8</v>
      </c>
      <c r="D232" s="23">
        <v>12.44</v>
      </c>
      <c r="E232" s="24">
        <v>0.01</v>
      </c>
    </row>
    <row r="233" spans="1:5" x14ac:dyDescent="0.25">
      <c r="A233" s="18" t="s">
        <v>227</v>
      </c>
      <c r="B233" s="22">
        <v>50</v>
      </c>
      <c r="C233" s="23">
        <v>3</v>
      </c>
      <c r="D233" s="23">
        <v>12.4</v>
      </c>
      <c r="E233" s="24">
        <v>1.6E-2</v>
      </c>
    </row>
    <row r="234" spans="1:5" x14ac:dyDescent="0.25">
      <c r="A234" s="18" t="s">
        <v>228</v>
      </c>
      <c r="B234" s="22">
        <v>53</v>
      </c>
      <c r="C234" s="23">
        <v>3</v>
      </c>
      <c r="D234" s="23">
        <v>13</v>
      </c>
      <c r="E234" s="24">
        <v>1.7999999999999999E-2</v>
      </c>
    </row>
    <row r="235" spans="1:5" x14ac:dyDescent="0.25">
      <c r="A235" s="18" t="s">
        <v>229</v>
      </c>
      <c r="B235" s="22">
        <v>56</v>
      </c>
      <c r="C235" s="23">
        <v>6</v>
      </c>
      <c r="D235" s="23">
        <v>16</v>
      </c>
      <c r="E235" s="24">
        <v>2.1000000000000001E-2</v>
      </c>
    </row>
    <row r="236" spans="1:5" x14ac:dyDescent="0.25">
      <c r="A236" s="18" t="s">
        <v>230</v>
      </c>
      <c r="B236" s="22">
        <v>56</v>
      </c>
      <c r="C236" s="23">
        <v>4.5999999999999996</v>
      </c>
      <c r="D236" s="23">
        <v>14.88</v>
      </c>
      <c r="E236" s="24">
        <v>1.2E-2</v>
      </c>
    </row>
    <row r="237" spans="1:5" x14ac:dyDescent="0.25">
      <c r="A237" s="18" t="s">
        <v>231</v>
      </c>
      <c r="B237" s="22">
        <v>50</v>
      </c>
      <c r="C237" s="23">
        <v>5</v>
      </c>
      <c r="D237" s="23">
        <v>14</v>
      </c>
      <c r="E237" s="24">
        <v>8.9999999999999993E-3</v>
      </c>
    </row>
    <row r="238" spans="1:5" x14ac:dyDescent="0.25">
      <c r="A238" s="18" t="s">
        <v>232</v>
      </c>
      <c r="B238" s="22">
        <v>56</v>
      </c>
      <c r="C238" s="23">
        <v>2.8</v>
      </c>
      <c r="D238" s="23">
        <v>13.44</v>
      </c>
      <c r="E238" s="24">
        <v>2.8000000000000001E-2</v>
      </c>
    </row>
    <row r="239" spans="1:5" x14ac:dyDescent="0.25">
      <c r="A239" s="18" t="s">
        <v>233</v>
      </c>
      <c r="B239" s="22">
        <v>61</v>
      </c>
      <c r="C239" s="23">
        <v>4.4000000000000004</v>
      </c>
      <c r="D239" s="23">
        <v>15.72</v>
      </c>
      <c r="E239" s="24">
        <v>4.0000000000000001E-3</v>
      </c>
    </row>
    <row r="240" spans="1:5" x14ac:dyDescent="0.25">
      <c r="A240" s="18" t="s">
        <v>234</v>
      </c>
      <c r="B240" s="22">
        <v>50</v>
      </c>
      <c r="C240" s="23">
        <v>3</v>
      </c>
      <c r="D240" s="23">
        <v>12.4</v>
      </c>
      <c r="E240" s="24">
        <v>2.5999999999999999E-2</v>
      </c>
    </row>
    <row r="241" spans="1:5" x14ac:dyDescent="0.25">
      <c r="A241" s="18" t="s">
        <v>235</v>
      </c>
      <c r="B241" s="22">
        <v>48</v>
      </c>
      <c r="C241" s="23">
        <v>4.8</v>
      </c>
      <c r="D241" s="23">
        <v>13.44</v>
      </c>
      <c r="E241" s="24">
        <v>2E-3</v>
      </c>
    </row>
    <row r="242" spans="1:5" x14ac:dyDescent="0.25">
      <c r="A242" s="18" t="s">
        <v>236</v>
      </c>
      <c r="B242" s="22">
        <v>52</v>
      </c>
      <c r="C242" s="23">
        <v>7.8</v>
      </c>
      <c r="D242" s="23">
        <v>16.64</v>
      </c>
      <c r="E242" s="24">
        <v>3.0000000000000001E-3</v>
      </c>
    </row>
    <row r="243" spans="1:5" x14ac:dyDescent="0.25">
      <c r="A243" s="18" t="s">
        <v>237</v>
      </c>
      <c r="B243" s="22">
        <v>52</v>
      </c>
      <c r="C243" s="23">
        <v>8</v>
      </c>
      <c r="D243" s="23">
        <v>16.8</v>
      </c>
      <c r="E243" s="24">
        <v>1.9E-2</v>
      </c>
    </row>
    <row r="244" spans="1:5" x14ac:dyDescent="0.25">
      <c r="A244" s="18" t="s">
        <v>238</v>
      </c>
      <c r="B244" s="22">
        <v>48</v>
      </c>
      <c r="C244" s="23">
        <v>4.2</v>
      </c>
      <c r="D244" s="23">
        <v>12.96</v>
      </c>
      <c r="E244" s="24">
        <v>8.9999999999999993E-3</v>
      </c>
    </row>
    <row r="245" spans="1:5" x14ac:dyDescent="0.25">
      <c r="A245" s="18" t="s">
        <v>239</v>
      </c>
      <c r="B245" s="22">
        <v>56</v>
      </c>
      <c r="C245" s="23">
        <v>3</v>
      </c>
      <c r="D245" s="23">
        <v>13.6</v>
      </c>
      <c r="E245" s="24">
        <v>4.0000000000000001E-3</v>
      </c>
    </row>
    <row r="246" spans="1:5" x14ac:dyDescent="0.25">
      <c r="A246" s="18" t="s">
        <v>240</v>
      </c>
      <c r="B246" s="22">
        <v>47</v>
      </c>
      <c r="C246" s="23">
        <v>1.6</v>
      </c>
      <c r="D246" s="23">
        <v>10.68</v>
      </c>
      <c r="E246" s="24">
        <v>2.3E-2</v>
      </c>
    </row>
    <row r="247" spans="1:5" x14ac:dyDescent="0.25">
      <c r="A247" s="18" t="s">
        <v>241</v>
      </c>
      <c r="B247" s="22">
        <v>54</v>
      </c>
      <c r="C247" s="23">
        <v>5.4</v>
      </c>
      <c r="D247" s="23">
        <v>15.12</v>
      </c>
      <c r="E247" s="24">
        <v>4.0000000000000001E-3</v>
      </c>
    </row>
    <row r="248" spans="1:5" x14ac:dyDescent="0.25">
      <c r="A248" s="18" t="s">
        <v>242</v>
      </c>
      <c r="B248" s="22">
        <v>51</v>
      </c>
      <c r="C248" s="23">
        <v>1.6</v>
      </c>
      <c r="D248" s="23">
        <v>11.48</v>
      </c>
      <c r="E248" s="24">
        <v>8.0000000000000002E-3</v>
      </c>
    </row>
    <row r="249" spans="1:5" x14ac:dyDescent="0.25">
      <c r="A249" s="18" t="s">
        <v>243</v>
      </c>
      <c r="B249" s="22">
        <v>52</v>
      </c>
      <c r="C249" s="23">
        <v>0.6</v>
      </c>
      <c r="D249" s="23">
        <v>10.88</v>
      </c>
      <c r="E249" s="24">
        <v>2.1999999999999999E-2</v>
      </c>
    </row>
    <row r="250" spans="1:5" x14ac:dyDescent="0.25">
      <c r="A250" s="18" t="s">
        <v>244</v>
      </c>
      <c r="B250" s="22">
        <v>49</v>
      </c>
      <c r="C250" s="23">
        <v>3.2</v>
      </c>
      <c r="D250" s="23">
        <v>12.36</v>
      </c>
      <c r="E250" s="24">
        <v>1.4999999999999999E-2</v>
      </c>
    </row>
    <row r="251" spans="1:5" x14ac:dyDescent="0.25">
      <c r="A251" s="18" t="s">
        <v>245</v>
      </c>
      <c r="B251" s="22">
        <v>49</v>
      </c>
      <c r="C251" s="23">
        <v>3.2</v>
      </c>
      <c r="D251" s="23">
        <v>12.36</v>
      </c>
      <c r="E251" s="24">
        <v>1.0999999999999999E-2</v>
      </c>
    </row>
    <row r="252" spans="1:5" x14ac:dyDescent="0.25">
      <c r="A252" s="18" t="s">
        <v>246</v>
      </c>
      <c r="B252" s="22">
        <v>52</v>
      </c>
      <c r="C252" s="23">
        <v>2.8</v>
      </c>
      <c r="D252" s="23">
        <v>12.64</v>
      </c>
      <c r="E252" s="24">
        <v>5.0000000000000001E-3</v>
      </c>
    </row>
    <row r="253" spans="1:5" x14ac:dyDescent="0.25">
      <c r="A253" s="18" t="s">
        <v>247</v>
      </c>
      <c r="B253" s="22">
        <v>52</v>
      </c>
      <c r="C253" s="23">
        <v>2.6</v>
      </c>
      <c r="D253" s="23">
        <v>12.48</v>
      </c>
      <c r="E253" s="24">
        <v>0.02</v>
      </c>
    </row>
    <row r="254" spans="1:5" x14ac:dyDescent="0.25">
      <c r="A254" s="18" t="s">
        <v>248</v>
      </c>
      <c r="B254" s="22">
        <v>51</v>
      </c>
      <c r="C254" s="23">
        <v>3</v>
      </c>
      <c r="D254" s="23">
        <v>12.6</v>
      </c>
      <c r="E254" s="24">
        <v>8.0000000000000002E-3</v>
      </c>
    </row>
    <row r="255" spans="1:5" x14ac:dyDescent="0.25">
      <c r="A255" s="18" t="s">
        <v>249</v>
      </c>
      <c r="B255" s="22">
        <v>50</v>
      </c>
      <c r="C255" s="23">
        <v>1.4</v>
      </c>
      <c r="D255" s="23">
        <v>11.12</v>
      </c>
      <c r="E255" s="24">
        <v>2.5000000000000001E-2</v>
      </c>
    </row>
    <row r="256" spans="1:5" x14ac:dyDescent="0.25">
      <c r="A256" s="18" t="s">
        <v>250</v>
      </c>
      <c r="B256" s="22">
        <v>54</v>
      </c>
      <c r="C256" s="23">
        <v>0.4</v>
      </c>
      <c r="D256" s="23">
        <v>11.12</v>
      </c>
      <c r="E256" s="24">
        <v>3.3000000000000002E-2</v>
      </c>
    </row>
    <row r="257" spans="1:5" x14ac:dyDescent="0.25">
      <c r="A257" s="18" t="s">
        <v>251</v>
      </c>
      <c r="B257" s="22">
        <v>51</v>
      </c>
      <c r="C257" s="23">
        <v>1.6</v>
      </c>
      <c r="D257" s="23">
        <v>11.48</v>
      </c>
      <c r="E257" s="24">
        <v>1.4999999999999999E-2</v>
      </c>
    </row>
    <row r="258" spans="1:5" x14ac:dyDescent="0.25">
      <c r="A258" s="18" t="s">
        <v>252</v>
      </c>
      <c r="B258" s="22">
        <v>53</v>
      </c>
      <c r="C258" s="23">
        <v>5.8</v>
      </c>
      <c r="D258" s="23">
        <v>15.24</v>
      </c>
      <c r="E258" s="24">
        <v>8.0000000000000002E-3</v>
      </c>
    </row>
    <row r="259" spans="1:5" x14ac:dyDescent="0.25">
      <c r="A259" s="18" t="s">
        <v>253</v>
      </c>
      <c r="B259" s="22">
        <v>53</v>
      </c>
      <c r="C259" s="23">
        <v>3.4</v>
      </c>
      <c r="D259" s="23">
        <v>13.32</v>
      </c>
      <c r="E259" s="24">
        <v>1.0999999999999999E-2</v>
      </c>
    </row>
    <row r="260" spans="1:5" x14ac:dyDescent="0.25">
      <c r="A260" s="18" t="s">
        <v>254</v>
      </c>
      <c r="B260" s="22">
        <v>47</v>
      </c>
      <c r="C260" s="23">
        <v>5.4</v>
      </c>
      <c r="D260" s="23">
        <v>13.72</v>
      </c>
      <c r="E260" s="24">
        <v>8.9999999999999993E-3</v>
      </c>
    </row>
    <row r="261" spans="1:5" x14ac:dyDescent="0.25">
      <c r="A261" s="18" t="s">
        <v>255</v>
      </c>
      <c r="B261" s="22">
        <v>53</v>
      </c>
      <c r="C261" s="23">
        <v>3.4</v>
      </c>
      <c r="D261" s="23">
        <v>13.32</v>
      </c>
      <c r="E261" s="24">
        <v>6.0000000000000001E-3</v>
      </c>
    </row>
    <row r="262" spans="1:5" x14ac:dyDescent="0.25">
      <c r="A262" s="18" t="s">
        <v>256</v>
      </c>
      <c r="B262" s="22">
        <v>51</v>
      </c>
      <c r="C262" s="23">
        <v>1.8</v>
      </c>
      <c r="D262" s="23">
        <v>11.64</v>
      </c>
      <c r="E262" s="24">
        <v>8.0000000000000002E-3</v>
      </c>
    </row>
    <row r="263" spans="1:5" x14ac:dyDescent="0.25">
      <c r="A263" s="18" t="s">
        <v>257</v>
      </c>
      <c r="B263" s="22">
        <v>52</v>
      </c>
      <c r="C263" s="23">
        <v>12.6</v>
      </c>
      <c r="D263" s="23">
        <v>20.48</v>
      </c>
      <c r="E263" s="24">
        <v>1.9E-2</v>
      </c>
    </row>
    <row r="264" spans="1:5" x14ac:dyDescent="0.25">
      <c r="A264" s="18" t="s">
        <v>258</v>
      </c>
      <c r="B264" s="22">
        <v>52</v>
      </c>
      <c r="C264" s="23">
        <v>7.8</v>
      </c>
      <c r="D264" s="23">
        <v>16.64</v>
      </c>
      <c r="E264" s="24">
        <v>0.01</v>
      </c>
    </row>
    <row r="265" spans="1:5" x14ac:dyDescent="0.25">
      <c r="A265" s="18" t="s">
        <v>259</v>
      </c>
      <c r="B265" s="22">
        <v>57</v>
      </c>
      <c r="C265" s="23">
        <v>1.6</v>
      </c>
      <c r="D265" s="23">
        <v>12.68</v>
      </c>
      <c r="E265" s="24">
        <v>1.4999999999999999E-2</v>
      </c>
    </row>
    <row r="266" spans="1:5" x14ac:dyDescent="0.25">
      <c r="A266" s="18" t="s">
        <v>260</v>
      </c>
      <c r="B266" s="22">
        <v>55</v>
      </c>
      <c r="C266" s="23">
        <v>3.8</v>
      </c>
      <c r="D266" s="23">
        <v>14.04</v>
      </c>
      <c r="E266" s="24">
        <v>3.0000000000000001E-3</v>
      </c>
    </row>
    <row r="267" spans="1:5" x14ac:dyDescent="0.25">
      <c r="A267" s="18" t="s">
        <v>261</v>
      </c>
      <c r="B267" s="22">
        <v>54</v>
      </c>
      <c r="C267" s="23">
        <v>3.2</v>
      </c>
      <c r="D267" s="23">
        <v>13.36</v>
      </c>
      <c r="E267" s="24">
        <v>1.7000000000000001E-2</v>
      </c>
    </row>
    <row r="268" spans="1:5" x14ac:dyDescent="0.25">
      <c r="A268" s="18" t="s">
        <v>262</v>
      </c>
      <c r="B268" s="22">
        <v>51</v>
      </c>
      <c r="C268" s="23">
        <v>4</v>
      </c>
      <c r="D268" s="23">
        <v>13.4</v>
      </c>
      <c r="E268" s="24">
        <v>1.7000000000000001E-2</v>
      </c>
    </row>
    <row r="269" spans="1:5" x14ac:dyDescent="0.25">
      <c r="A269" s="18" t="s">
        <v>263</v>
      </c>
      <c r="B269" s="22">
        <v>50</v>
      </c>
      <c r="C269" s="23">
        <v>3.8</v>
      </c>
      <c r="D269" s="23">
        <v>13.04</v>
      </c>
      <c r="E269" s="24">
        <v>1.4E-2</v>
      </c>
    </row>
    <row r="270" spans="1:5" x14ac:dyDescent="0.25">
      <c r="A270" s="18" t="s">
        <v>264</v>
      </c>
      <c r="B270" s="22">
        <v>48</v>
      </c>
      <c r="C270" s="23">
        <v>2</v>
      </c>
      <c r="D270" s="23">
        <v>11.2</v>
      </c>
      <c r="E270" s="24">
        <v>0.01</v>
      </c>
    </row>
    <row r="271" spans="1:5" x14ac:dyDescent="0.25">
      <c r="A271" s="18" t="s">
        <v>265</v>
      </c>
      <c r="B271" s="22">
        <v>47</v>
      </c>
      <c r="C271" s="23">
        <v>6</v>
      </c>
      <c r="D271" s="23">
        <v>14.2</v>
      </c>
      <c r="E271" s="24">
        <v>7.0000000000000001E-3</v>
      </c>
    </row>
    <row r="272" spans="1:5" x14ac:dyDescent="0.25">
      <c r="A272" s="18" t="s">
        <v>266</v>
      </c>
      <c r="B272" s="22">
        <v>54</v>
      </c>
      <c r="C272" s="23">
        <v>5</v>
      </c>
      <c r="D272" s="23">
        <v>14.8</v>
      </c>
      <c r="E272" s="24">
        <v>1.2999999999999999E-2</v>
      </c>
    </row>
    <row r="273" spans="1:5" x14ac:dyDescent="0.25">
      <c r="A273" s="18" t="s">
        <v>267</v>
      </c>
      <c r="B273" s="22">
        <v>50</v>
      </c>
      <c r="C273" s="23">
        <v>4.5999999999999996</v>
      </c>
      <c r="D273" s="23">
        <v>13.68</v>
      </c>
      <c r="E273" s="24">
        <v>1.4E-2</v>
      </c>
    </row>
    <row r="274" spans="1:5" x14ac:dyDescent="0.25">
      <c r="A274" s="18" t="s">
        <v>268</v>
      </c>
      <c r="B274" s="22">
        <v>47</v>
      </c>
      <c r="C274" s="23">
        <v>1.6</v>
      </c>
      <c r="D274" s="23">
        <v>10.68</v>
      </c>
      <c r="E274" s="24">
        <v>7.0000000000000001E-3</v>
      </c>
    </row>
    <row r="275" spans="1:5" x14ac:dyDescent="0.25">
      <c r="A275" s="18" t="s">
        <v>269</v>
      </c>
      <c r="B275" s="22">
        <v>47</v>
      </c>
      <c r="C275" s="23">
        <v>1.6</v>
      </c>
      <c r="D275" s="23">
        <v>10.68</v>
      </c>
      <c r="E275" s="24">
        <v>1.4999999999999999E-2</v>
      </c>
    </row>
    <row r="276" spans="1:5" x14ac:dyDescent="0.25">
      <c r="A276" s="18" t="s">
        <v>270</v>
      </c>
      <c r="B276" s="22">
        <v>48</v>
      </c>
      <c r="C276" s="23">
        <v>1.6</v>
      </c>
      <c r="D276" s="23">
        <v>10.88</v>
      </c>
      <c r="E276" s="24">
        <v>8.0000000000000002E-3</v>
      </c>
    </row>
    <row r="277" spans="1:5" x14ac:dyDescent="0.25">
      <c r="A277" s="18" t="s">
        <v>271</v>
      </c>
      <c r="B277" s="22">
        <v>50</v>
      </c>
      <c r="C277" s="23">
        <v>1.4</v>
      </c>
      <c r="D277" s="23">
        <v>11.12</v>
      </c>
      <c r="E277" s="24">
        <v>2.1000000000000001E-2</v>
      </c>
    </row>
    <row r="278" spans="1:5" x14ac:dyDescent="0.25">
      <c r="A278" s="18" t="s">
        <v>272</v>
      </c>
      <c r="B278" s="22">
        <v>51</v>
      </c>
      <c r="C278" s="23">
        <v>4.4000000000000004</v>
      </c>
      <c r="D278" s="23">
        <v>13.72</v>
      </c>
      <c r="E278" s="24">
        <v>1.7999999999999999E-2</v>
      </c>
    </row>
    <row r="279" spans="1:5" x14ac:dyDescent="0.25">
      <c r="A279" s="18" t="s">
        <v>273</v>
      </c>
      <c r="B279" s="22">
        <v>50</v>
      </c>
      <c r="C279" s="23">
        <v>4.5999999999999996</v>
      </c>
      <c r="D279" s="23">
        <v>13.68</v>
      </c>
      <c r="E279" s="24">
        <v>8.9999999999999993E-3</v>
      </c>
    </row>
    <row r="280" spans="1:5" x14ac:dyDescent="0.25">
      <c r="A280" s="18" t="s">
        <v>274</v>
      </c>
      <c r="B280" s="22">
        <v>50</v>
      </c>
      <c r="C280" s="23">
        <v>2</v>
      </c>
      <c r="D280" s="23">
        <v>11.6</v>
      </c>
      <c r="E280" s="24">
        <v>1.4999999999999999E-2</v>
      </c>
    </row>
    <row r="281" spans="1:5" x14ac:dyDescent="0.25">
      <c r="A281" s="18" t="s">
        <v>275</v>
      </c>
      <c r="B281" s="22">
        <v>49</v>
      </c>
      <c r="C281" s="23">
        <v>2</v>
      </c>
      <c r="D281" s="23">
        <v>11.4</v>
      </c>
      <c r="E281" s="24">
        <v>1.4E-2</v>
      </c>
    </row>
    <row r="282" spans="1:5" x14ac:dyDescent="0.25">
      <c r="A282" s="18" t="s">
        <v>276</v>
      </c>
      <c r="B282" s="22">
        <v>49</v>
      </c>
      <c r="C282" s="23">
        <v>2</v>
      </c>
      <c r="D282" s="23">
        <v>11.4</v>
      </c>
      <c r="E282" s="24">
        <v>8.0000000000000002E-3</v>
      </c>
    </row>
    <row r="283" spans="1:5" x14ac:dyDescent="0.25">
      <c r="A283" s="18" t="s">
        <v>277</v>
      </c>
      <c r="B283" s="22">
        <v>53</v>
      </c>
      <c r="C283" s="23">
        <v>2.8</v>
      </c>
      <c r="D283" s="23">
        <v>12.84</v>
      </c>
      <c r="E283" s="24">
        <v>1.2999999999999999E-2</v>
      </c>
    </row>
    <row r="284" spans="1:5" x14ac:dyDescent="0.25">
      <c r="A284" s="18" t="s">
        <v>278</v>
      </c>
      <c r="B284" s="22">
        <v>58</v>
      </c>
      <c r="C284" s="23">
        <v>3.6</v>
      </c>
      <c r="D284" s="23">
        <v>14.48</v>
      </c>
      <c r="E284" s="24">
        <v>6.0000000000000001E-3</v>
      </c>
    </row>
    <row r="285" spans="1:5" x14ac:dyDescent="0.25">
      <c r="A285" s="18" t="s">
        <v>279</v>
      </c>
      <c r="B285" s="22">
        <v>53</v>
      </c>
      <c r="C285" s="23">
        <v>0.4</v>
      </c>
      <c r="D285" s="23">
        <v>10.92</v>
      </c>
      <c r="E285" s="24">
        <v>1.0999999999999999E-2</v>
      </c>
    </row>
    <row r="286" spans="1:5" x14ac:dyDescent="0.25">
      <c r="A286" s="18" t="s">
        <v>280</v>
      </c>
      <c r="B286" s="22">
        <v>50</v>
      </c>
      <c r="C286" s="23">
        <v>0.2</v>
      </c>
      <c r="D286" s="23">
        <v>10.16</v>
      </c>
      <c r="E286" s="24">
        <v>6.0000000000000001E-3</v>
      </c>
    </row>
    <row r="287" spans="1:5" x14ac:dyDescent="0.25">
      <c r="A287" s="18" t="s">
        <v>281</v>
      </c>
      <c r="B287" s="22">
        <v>54</v>
      </c>
      <c r="C287" s="23">
        <v>0</v>
      </c>
      <c r="D287" s="23">
        <v>10.8</v>
      </c>
      <c r="E287" s="24">
        <v>0.01</v>
      </c>
    </row>
    <row r="288" spans="1:5" x14ac:dyDescent="0.25">
      <c r="A288" s="18" t="s">
        <v>282</v>
      </c>
      <c r="B288" s="22">
        <v>50</v>
      </c>
      <c r="C288" s="23">
        <v>0.8</v>
      </c>
      <c r="D288" s="23">
        <v>10.64</v>
      </c>
      <c r="E288" s="24">
        <v>3.0000000000000001E-3</v>
      </c>
    </row>
    <row r="289" spans="1:5" x14ac:dyDescent="0.25">
      <c r="A289" s="18" t="s">
        <v>283</v>
      </c>
      <c r="B289" s="22">
        <v>48</v>
      </c>
      <c r="C289" s="23">
        <v>0.8</v>
      </c>
      <c r="D289" s="23">
        <v>10.24</v>
      </c>
      <c r="E289" s="24">
        <v>1.4999999999999999E-2</v>
      </c>
    </row>
    <row r="290" spans="1:5" x14ac:dyDescent="0.25">
      <c r="A290" s="18" t="s">
        <v>284</v>
      </c>
      <c r="B290" s="22">
        <v>54</v>
      </c>
      <c r="C290" s="23">
        <v>0</v>
      </c>
      <c r="D290" s="23">
        <v>10.8</v>
      </c>
      <c r="E290" s="24">
        <v>1.4999999999999999E-2</v>
      </c>
    </row>
    <row r="291" spans="1:5" x14ac:dyDescent="0.25">
      <c r="A291" s="18" t="s">
        <v>285</v>
      </c>
      <c r="B291" s="22">
        <v>50</v>
      </c>
      <c r="C291" s="23">
        <v>4</v>
      </c>
      <c r="D291" s="23">
        <v>13.2</v>
      </c>
      <c r="E291" s="24">
        <v>2.4E-2</v>
      </c>
    </row>
    <row r="292" spans="1:5" x14ac:dyDescent="0.25">
      <c r="A292" s="18" t="s">
        <v>286</v>
      </c>
      <c r="B292" s="22">
        <v>51</v>
      </c>
      <c r="C292" s="23">
        <v>7.8</v>
      </c>
      <c r="D292" s="23">
        <v>16.440000000000001</v>
      </c>
      <c r="E292" s="24">
        <v>6.0000000000000001E-3</v>
      </c>
    </row>
    <row r="293" spans="1:5" x14ac:dyDescent="0.25">
      <c r="A293" s="18" t="s">
        <v>287</v>
      </c>
      <c r="B293" s="22">
        <v>55</v>
      </c>
      <c r="C293" s="23">
        <v>2.4</v>
      </c>
      <c r="D293" s="23">
        <v>12.92</v>
      </c>
      <c r="E293" s="24">
        <v>1.9E-2</v>
      </c>
    </row>
    <row r="294" spans="1:5" x14ac:dyDescent="0.25">
      <c r="A294" s="18" t="s">
        <v>288</v>
      </c>
      <c r="B294" s="22">
        <v>50</v>
      </c>
      <c r="C294" s="23">
        <v>0.2</v>
      </c>
      <c r="D294" s="23">
        <v>10.16</v>
      </c>
      <c r="E294" s="24">
        <v>1.2E-2</v>
      </c>
    </row>
    <row r="295" spans="1:5" x14ac:dyDescent="0.25">
      <c r="A295" s="18" t="s">
        <v>289</v>
      </c>
      <c r="B295" s="22">
        <v>53</v>
      </c>
      <c r="C295" s="23">
        <v>1.2</v>
      </c>
      <c r="D295" s="23">
        <v>11.56</v>
      </c>
      <c r="E295" s="24">
        <v>2E-3</v>
      </c>
    </row>
    <row r="296" spans="1:5" x14ac:dyDescent="0.25">
      <c r="A296" s="18" t="s">
        <v>290</v>
      </c>
      <c r="B296" s="22">
        <v>49</v>
      </c>
      <c r="C296" s="23">
        <v>0.8</v>
      </c>
      <c r="D296" s="23">
        <v>10.44</v>
      </c>
      <c r="E296" s="24">
        <v>1.2E-2</v>
      </c>
    </row>
    <row r="297" spans="1:5" x14ac:dyDescent="0.25">
      <c r="A297" s="18" t="s">
        <v>291</v>
      </c>
      <c r="B297" s="22">
        <v>53</v>
      </c>
      <c r="C297" s="23">
        <v>0.2</v>
      </c>
      <c r="D297" s="23">
        <v>10.76</v>
      </c>
      <c r="E297" s="24">
        <v>1.9E-2</v>
      </c>
    </row>
    <row r="298" spans="1:5" x14ac:dyDescent="0.25">
      <c r="A298" s="18" t="s">
        <v>292</v>
      </c>
      <c r="B298" s="22">
        <v>53</v>
      </c>
      <c r="C298" s="23">
        <v>0.2</v>
      </c>
      <c r="D298" s="23">
        <v>10.76</v>
      </c>
      <c r="E298" s="24">
        <v>1.4E-2</v>
      </c>
    </row>
    <row r="299" spans="1:5" x14ac:dyDescent="0.25">
      <c r="A299" s="18" t="s">
        <v>293</v>
      </c>
      <c r="B299" s="22">
        <v>54</v>
      </c>
      <c r="C299" s="23">
        <v>0.2</v>
      </c>
      <c r="D299" s="23">
        <v>10.96</v>
      </c>
      <c r="E299" s="24">
        <v>2.3E-2</v>
      </c>
    </row>
    <row r="300" spans="1:5" x14ac:dyDescent="0.25">
      <c r="A300" s="18" t="s">
        <v>294</v>
      </c>
      <c r="B300" s="22">
        <v>105</v>
      </c>
      <c r="C300" s="23">
        <v>1.6</v>
      </c>
      <c r="D300" s="23">
        <v>22.28</v>
      </c>
      <c r="E300" s="24">
        <v>3.2000000000000001E-2</v>
      </c>
    </row>
    <row r="301" spans="1:5" x14ac:dyDescent="0.25">
      <c r="A301" s="18" t="s">
        <v>295</v>
      </c>
      <c r="B301" s="22">
        <v>104</v>
      </c>
      <c r="C301" s="23">
        <v>2.2000000000000002</v>
      </c>
      <c r="D301" s="23">
        <v>22.56</v>
      </c>
      <c r="E301" s="24">
        <v>0.247</v>
      </c>
    </row>
    <row r="302" spans="1:5" x14ac:dyDescent="0.25">
      <c r="A302" s="18" t="s">
        <v>296</v>
      </c>
      <c r="B302" s="22">
        <v>106</v>
      </c>
      <c r="C302" s="23">
        <v>2.6</v>
      </c>
      <c r="D302" s="23">
        <v>23.28</v>
      </c>
      <c r="E302" s="24">
        <v>0.11899999999999999</v>
      </c>
    </row>
    <row r="303" spans="1:5" x14ac:dyDescent="0.25">
      <c r="A303" s="18" t="s">
        <v>297</v>
      </c>
      <c r="B303" s="22">
        <v>100</v>
      </c>
      <c r="C303" s="23">
        <v>5</v>
      </c>
      <c r="D303" s="23">
        <v>24</v>
      </c>
      <c r="E303" s="24">
        <v>0.13300000000000001</v>
      </c>
    </row>
    <row r="304" spans="1:5" x14ac:dyDescent="0.25">
      <c r="A304" s="18" t="s">
        <v>298</v>
      </c>
      <c r="B304" s="22">
        <v>102</v>
      </c>
      <c r="C304" s="23">
        <v>5.6</v>
      </c>
      <c r="D304" s="23">
        <v>24.88</v>
      </c>
      <c r="E304" s="24">
        <v>3.1E-2</v>
      </c>
    </row>
    <row r="305" spans="1:5" x14ac:dyDescent="0.25">
      <c r="A305" s="18" t="s">
        <v>299</v>
      </c>
      <c r="B305" s="22">
        <v>104</v>
      </c>
      <c r="C305" s="23">
        <v>0.6</v>
      </c>
      <c r="D305" s="23">
        <v>21.28</v>
      </c>
      <c r="E305" s="24">
        <v>1.7000000000000001E-2</v>
      </c>
    </row>
    <row r="306" spans="1:5" x14ac:dyDescent="0.25">
      <c r="A306" s="18" t="s">
        <v>300</v>
      </c>
      <c r="B306" s="22">
        <v>98</v>
      </c>
      <c r="C306" s="23">
        <v>1</v>
      </c>
      <c r="D306" s="23">
        <v>20.399999999999999</v>
      </c>
      <c r="E306" s="24">
        <v>0.13900000000000001</v>
      </c>
    </row>
    <row r="307" spans="1:5" x14ac:dyDescent="0.25">
      <c r="A307" s="18" t="s">
        <v>301</v>
      </c>
      <c r="B307" s="22">
        <v>109</v>
      </c>
      <c r="C307" s="23">
        <v>0.2</v>
      </c>
      <c r="D307" s="23">
        <v>21.96</v>
      </c>
      <c r="E307" s="24">
        <v>0.215</v>
      </c>
    </row>
    <row r="308" spans="1:5" x14ac:dyDescent="0.25">
      <c r="A308" s="18" t="s">
        <v>302</v>
      </c>
      <c r="B308" s="22">
        <v>101</v>
      </c>
      <c r="C308" s="23">
        <v>1.8</v>
      </c>
      <c r="D308" s="23">
        <v>21.64</v>
      </c>
      <c r="E308" s="24">
        <v>5.7000000000000002E-2</v>
      </c>
    </row>
    <row r="309" spans="1:5" x14ac:dyDescent="0.25">
      <c r="A309" s="18" t="s">
        <v>303</v>
      </c>
      <c r="B309" s="22">
        <v>98</v>
      </c>
      <c r="C309" s="23">
        <v>1.8</v>
      </c>
      <c r="D309" s="23">
        <v>21.04</v>
      </c>
      <c r="E309" s="24">
        <v>8.2000000000000003E-2</v>
      </c>
    </row>
    <row r="310" spans="1:5" x14ac:dyDescent="0.25">
      <c r="A310" s="18" t="s">
        <v>304</v>
      </c>
      <c r="B310" s="22">
        <v>105</v>
      </c>
      <c r="C310" s="23">
        <v>1</v>
      </c>
      <c r="D310" s="23">
        <v>21.8</v>
      </c>
      <c r="E310" s="24">
        <v>3.1E-2</v>
      </c>
    </row>
    <row r="311" spans="1:5" x14ac:dyDescent="0.25">
      <c r="A311" s="18" t="s">
        <v>305</v>
      </c>
      <c r="B311" s="22">
        <v>105</v>
      </c>
      <c r="C311" s="23">
        <v>6.4</v>
      </c>
      <c r="D311" s="23">
        <v>26.12</v>
      </c>
      <c r="E311" s="24">
        <v>0.11899999999999999</v>
      </c>
    </row>
    <row r="312" spans="1:5" x14ac:dyDescent="0.25">
      <c r="A312" s="18" t="s">
        <v>306</v>
      </c>
      <c r="B312" s="22">
        <v>96</v>
      </c>
      <c r="C312" s="23">
        <v>0.8</v>
      </c>
      <c r="D312" s="23">
        <v>19.84</v>
      </c>
      <c r="E312" s="24">
        <v>0.438</v>
      </c>
    </row>
    <row r="313" spans="1:5" x14ac:dyDescent="0.25">
      <c r="A313" s="18" t="s">
        <v>307</v>
      </c>
      <c r="B313" s="22">
        <v>99</v>
      </c>
      <c r="C313" s="23">
        <v>2</v>
      </c>
      <c r="D313" s="23">
        <v>21.4</v>
      </c>
      <c r="E313" s="24">
        <v>0.32200000000000001</v>
      </c>
    </row>
    <row r="314" spans="1:5" x14ac:dyDescent="0.25">
      <c r="A314" s="18" t="s">
        <v>308</v>
      </c>
      <c r="B314" s="22">
        <v>104</v>
      </c>
      <c r="C314" s="23">
        <v>3.4</v>
      </c>
      <c r="D314" s="23">
        <v>23.52</v>
      </c>
      <c r="E314" s="24">
        <v>0.23699999999999999</v>
      </c>
    </row>
    <row r="315" spans="1:5" x14ac:dyDescent="0.25">
      <c r="A315" s="18" t="s">
        <v>309</v>
      </c>
      <c r="B315" s="22">
        <v>98</v>
      </c>
      <c r="C315" s="23">
        <v>2</v>
      </c>
      <c r="D315" s="23">
        <v>21.2</v>
      </c>
      <c r="E315" s="24">
        <v>8.8999999999999996E-2</v>
      </c>
    </row>
    <row r="316" spans="1:5" x14ac:dyDescent="0.25">
      <c r="A316" s="18" t="s">
        <v>310</v>
      </c>
      <c r="B316" s="22">
        <v>97</v>
      </c>
      <c r="C316" s="23">
        <v>1</v>
      </c>
      <c r="D316" s="23">
        <v>20.2</v>
      </c>
      <c r="E316" s="24">
        <v>9.0999999999999998E-2</v>
      </c>
    </row>
    <row r="317" spans="1:5" x14ac:dyDescent="0.25">
      <c r="A317" s="18" t="s">
        <v>311</v>
      </c>
      <c r="B317" s="22">
        <v>98</v>
      </c>
      <c r="C317" s="23">
        <v>5.6</v>
      </c>
      <c r="D317" s="23">
        <v>24.08</v>
      </c>
      <c r="E317" s="24">
        <v>9.8000000000000004E-2</v>
      </c>
    </row>
    <row r="318" spans="1:5" x14ac:dyDescent="0.25">
      <c r="A318" s="18" t="s">
        <v>312</v>
      </c>
      <c r="B318" s="22">
        <v>104</v>
      </c>
      <c r="C318" s="23">
        <v>10</v>
      </c>
      <c r="D318" s="23">
        <v>28.8</v>
      </c>
      <c r="E318" s="24">
        <v>3.7999999999999999E-2</v>
      </c>
    </row>
    <row r="319" spans="1:5" x14ac:dyDescent="0.25">
      <c r="A319" s="18" t="s">
        <v>313</v>
      </c>
      <c r="B319" s="22">
        <v>104</v>
      </c>
      <c r="C319" s="23">
        <v>3.2</v>
      </c>
      <c r="D319" s="23">
        <v>23.36</v>
      </c>
      <c r="E319" s="24">
        <v>9.4E-2</v>
      </c>
    </row>
    <row r="320" spans="1:5" x14ac:dyDescent="0.25">
      <c r="A320" s="18" t="s">
        <v>314</v>
      </c>
      <c r="B320" s="22">
        <v>100</v>
      </c>
      <c r="C320" s="23">
        <v>7.4</v>
      </c>
      <c r="D320" s="23">
        <v>25.92</v>
      </c>
      <c r="E320" s="24">
        <v>6.3E-2</v>
      </c>
    </row>
    <row r="321" spans="1:5" x14ac:dyDescent="0.25">
      <c r="A321" s="18" t="s">
        <v>315</v>
      </c>
      <c r="B321" s="22">
        <v>92</v>
      </c>
      <c r="C321" s="23">
        <v>0.4</v>
      </c>
      <c r="D321" s="23">
        <v>18.72</v>
      </c>
      <c r="E321" s="24">
        <v>0.159</v>
      </c>
    </row>
    <row r="322" spans="1:5" x14ac:dyDescent="0.25">
      <c r="A322" s="18" t="s">
        <v>316</v>
      </c>
      <c r="B322" s="22">
        <v>113</v>
      </c>
      <c r="C322" s="23">
        <v>0.2</v>
      </c>
      <c r="D322" s="23">
        <v>22.76</v>
      </c>
      <c r="E322" s="24">
        <v>0.127</v>
      </c>
    </row>
    <row r="323" spans="1:5" x14ac:dyDescent="0.25">
      <c r="A323" s="18" t="s">
        <v>317</v>
      </c>
      <c r="B323" s="22">
        <v>98</v>
      </c>
      <c r="C323" s="23">
        <v>6.2</v>
      </c>
      <c r="D323" s="23">
        <v>24.56</v>
      </c>
      <c r="E323" s="24">
        <v>1.4999999999999999E-2</v>
      </c>
    </row>
    <row r="324" spans="1:5" x14ac:dyDescent="0.25">
      <c r="A324" s="18" t="s">
        <v>318</v>
      </c>
      <c r="B324" s="22">
        <v>107</v>
      </c>
      <c r="C324" s="23">
        <v>3</v>
      </c>
      <c r="D324" s="23">
        <v>23.8</v>
      </c>
      <c r="E324" s="24">
        <v>5.3999999999999999E-2</v>
      </c>
    </row>
    <row r="325" spans="1:5" x14ac:dyDescent="0.25">
      <c r="A325" s="18" t="s">
        <v>319</v>
      </c>
      <c r="B325" s="22">
        <v>103</v>
      </c>
      <c r="C325" s="23">
        <v>3.2</v>
      </c>
      <c r="D325" s="23">
        <v>23.16</v>
      </c>
      <c r="E325" s="24">
        <v>0.11</v>
      </c>
    </row>
    <row r="326" spans="1:5" x14ac:dyDescent="0.25">
      <c r="A326" s="18" t="s">
        <v>320</v>
      </c>
      <c r="B326" s="22">
        <v>102</v>
      </c>
      <c r="C326" s="23">
        <v>2.4</v>
      </c>
      <c r="D326" s="23">
        <v>22.32</v>
      </c>
      <c r="E326" s="24">
        <v>2.9000000000000001E-2</v>
      </c>
    </row>
    <row r="327" spans="1:5" x14ac:dyDescent="0.25">
      <c r="A327" s="18" t="s">
        <v>321</v>
      </c>
      <c r="B327" s="22">
        <v>102</v>
      </c>
      <c r="C327" s="23">
        <v>5.6</v>
      </c>
      <c r="D327" s="23">
        <v>24.88</v>
      </c>
      <c r="E327" s="24">
        <v>0.13600000000000001</v>
      </c>
    </row>
    <row r="328" spans="1:5" x14ac:dyDescent="0.25">
      <c r="A328" s="18" t="s">
        <v>322</v>
      </c>
      <c r="B328" s="22">
        <v>96</v>
      </c>
      <c r="C328" s="23">
        <v>9.1999999999999993</v>
      </c>
      <c r="D328" s="23">
        <v>26.56</v>
      </c>
      <c r="E328" s="24">
        <v>0.17599999999999999</v>
      </c>
    </row>
    <row r="329" spans="1:5" x14ac:dyDescent="0.25">
      <c r="A329" s="18" t="s">
        <v>323</v>
      </c>
      <c r="B329" s="22">
        <v>108</v>
      </c>
      <c r="C329" s="23">
        <v>6.8</v>
      </c>
      <c r="D329" s="23">
        <v>27.04</v>
      </c>
      <c r="E329" s="24">
        <v>0.19900000000000001</v>
      </c>
    </row>
    <row r="330" spans="1:5" x14ac:dyDescent="0.25">
      <c r="A330" s="18" t="s">
        <v>324</v>
      </c>
      <c r="B330" s="22">
        <v>104</v>
      </c>
      <c r="C330" s="23">
        <v>6.6</v>
      </c>
      <c r="D330" s="23">
        <v>26.08</v>
      </c>
      <c r="E330" s="24">
        <v>2.3E-2</v>
      </c>
    </row>
    <row r="331" spans="1:5" x14ac:dyDescent="0.25">
      <c r="A331" s="18" t="s">
        <v>325</v>
      </c>
      <c r="B331" s="22">
        <v>111</v>
      </c>
      <c r="C331" s="23">
        <v>6</v>
      </c>
      <c r="D331" s="23">
        <v>27</v>
      </c>
      <c r="E331" s="24">
        <v>6.5000000000000002E-2</v>
      </c>
    </row>
    <row r="332" spans="1:5" x14ac:dyDescent="0.25">
      <c r="A332" s="18" t="s">
        <v>326</v>
      </c>
      <c r="B332" s="22">
        <v>100</v>
      </c>
      <c r="C332" s="23">
        <v>5.4</v>
      </c>
      <c r="D332" s="23">
        <v>24.32</v>
      </c>
      <c r="E332" s="24">
        <v>0.2</v>
      </c>
    </row>
    <row r="333" spans="1:5" x14ac:dyDescent="0.25">
      <c r="A333" s="18" t="s">
        <v>327</v>
      </c>
      <c r="B333" s="22">
        <v>100</v>
      </c>
      <c r="C333" s="23">
        <v>10.199999999999999</v>
      </c>
      <c r="D333" s="23">
        <v>28.16</v>
      </c>
      <c r="E333" s="24">
        <v>0.251</v>
      </c>
    </row>
    <row r="334" spans="1:5" x14ac:dyDescent="0.25">
      <c r="A334" s="18" t="s">
        <v>328</v>
      </c>
      <c r="B334" s="22">
        <v>101</v>
      </c>
      <c r="C334" s="23">
        <v>7.8</v>
      </c>
      <c r="D334" s="23">
        <v>26.44</v>
      </c>
      <c r="E334" s="24">
        <v>0.19400000000000001</v>
      </c>
    </row>
    <row r="335" spans="1:5" x14ac:dyDescent="0.25">
      <c r="A335" s="18" t="s">
        <v>329</v>
      </c>
      <c r="B335" s="22">
        <v>107</v>
      </c>
      <c r="C335" s="23">
        <v>6</v>
      </c>
      <c r="D335" s="23">
        <v>26.2</v>
      </c>
      <c r="E335" s="24">
        <v>0.18099999999999999</v>
      </c>
    </row>
    <row r="336" spans="1:5" x14ac:dyDescent="0.25">
      <c r="A336" s="18" t="s">
        <v>330</v>
      </c>
      <c r="B336" s="22">
        <v>101</v>
      </c>
      <c r="C336" s="23">
        <v>2.6</v>
      </c>
      <c r="D336" s="23">
        <v>22.28</v>
      </c>
      <c r="E336" s="24">
        <v>0.314</v>
      </c>
    </row>
    <row r="337" spans="1:5" x14ac:dyDescent="0.25">
      <c r="A337" s="18" t="s">
        <v>331</v>
      </c>
      <c r="B337" s="22">
        <v>94</v>
      </c>
      <c r="C337" s="23">
        <v>4.5999999999999996</v>
      </c>
      <c r="D337" s="23">
        <v>22.48</v>
      </c>
      <c r="E337" s="24">
        <v>0.151</v>
      </c>
    </row>
    <row r="338" spans="1:5" x14ac:dyDescent="0.25">
      <c r="A338" s="18" t="s">
        <v>332</v>
      </c>
      <c r="B338" s="22">
        <v>102</v>
      </c>
      <c r="C338" s="23">
        <v>4.8</v>
      </c>
      <c r="D338" s="23">
        <v>24.24</v>
      </c>
      <c r="E338" s="24">
        <v>0.18099999999999999</v>
      </c>
    </row>
    <row r="339" spans="1:5" x14ac:dyDescent="0.25">
      <c r="A339" s="18" t="s">
        <v>333</v>
      </c>
      <c r="B339" s="22">
        <v>102</v>
      </c>
      <c r="C339" s="23">
        <v>1.8</v>
      </c>
      <c r="D339" s="23">
        <v>21.84</v>
      </c>
      <c r="E339" s="24">
        <v>0.10299999999999999</v>
      </c>
    </row>
    <row r="340" spans="1:5" x14ac:dyDescent="0.25">
      <c r="A340" s="18" t="s">
        <v>334</v>
      </c>
      <c r="B340" s="22">
        <v>103</v>
      </c>
      <c r="C340" s="23">
        <v>2.4</v>
      </c>
      <c r="D340" s="23">
        <v>22.52</v>
      </c>
      <c r="E340" s="24">
        <v>5.8999999999999997E-2</v>
      </c>
    </row>
    <row r="341" spans="1:5" x14ac:dyDescent="0.25">
      <c r="A341" s="18" t="s">
        <v>335</v>
      </c>
      <c r="B341" s="22">
        <v>103</v>
      </c>
      <c r="C341" s="23">
        <v>3.8</v>
      </c>
      <c r="D341" s="23">
        <v>23.64</v>
      </c>
      <c r="E341" s="24">
        <v>0.16800000000000001</v>
      </c>
    </row>
    <row r="342" spans="1:5" x14ac:dyDescent="0.25">
      <c r="A342" s="18" t="s">
        <v>336</v>
      </c>
      <c r="B342" s="22">
        <v>100</v>
      </c>
      <c r="C342" s="23">
        <v>5</v>
      </c>
      <c r="D342" s="23">
        <v>24</v>
      </c>
      <c r="E342" s="24">
        <v>4.9000000000000002E-2</v>
      </c>
    </row>
    <row r="343" spans="1:5" x14ac:dyDescent="0.25">
      <c r="A343" s="18" t="s">
        <v>337</v>
      </c>
      <c r="B343" s="22">
        <v>103</v>
      </c>
      <c r="C343" s="23">
        <v>7.2</v>
      </c>
      <c r="D343" s="23">
        <v>26.36</v>
      </c>
      <c r="E343" s="24">
        <v>9.1999999999999998E-2</v>
      </c>
    </row>
    <row r="344" spans="1:5" x14ac:dyDescent="0.25">
      <c r="A344" s="18" t="s">
        <v>338</v>
      </c>
      <c r="B344" s="22">
        <v>110</v>
      </c>
      <c r="C344" s="23">
        <v>8</v>
      </c>
      <c r="D344" s="23">
        <v>28.4</v>
      </c>
      <c r="E344" s="24">
        <v>4.1000000000000002E-2</v>
      </c>
    </row>
    <row r="345" spans="1:5" x14ac:dyDescent="0.25">
      <c r="A345" s="18" t="s">
        <v>339</v>
      </c>
      <c r="B345" s="22">
        <v>103</v>
      </c>
      <c r="C345" s="23">
        <v>5.8</v>
      </c>
      <c r="D345" s="23">
        <v>25.24</v>
      </c>
      <c r="E345" s="24">
        <v>0.19800000000000001</v>
      </c>
    </row>
    <row r="346" spans="1:5" x14ac:dyDescent="0.25">
      <c r="A346" s="18" t="s">
        <v>340</v>
      </c>
      <c r="B346" s="22">
        <v>107</v>
      </c>
      <c r="C346" s="23">
        <v>3</v>
      </c>
      <c r="D346" s="23">
        <v>23.8</v>
      </c>
      <c r="E346" s="24">
        <v>0.254</v>
      </c>
    </row>
    <row r="347" spans="1:5" x14ac:dyDescent="0.25">
      <c r="A347" s="18" t="s">
        <v>341</v>
      </c>
      <c r="B347" s="22">
        <v>108</v>
      </c>
      <c r="C347" s="23">
        <v>11.6</v>
      </c>
      <c r="D347" s="23">
        <v>30.88</v>
      </c>
      <c r="E347" s="24">
        <v>9.0999999999999998E-2</v>
      </c>
    </row>
    <row r="348" spans="1:5" x14ac:dyDescent="0.25">
      <c r="A348" s="18" t="s">
        <v>342</v>
      </c>
      <c r="B348" s="22">
        <v>104</v>
      </c>
      <c r="C348" s="23">
        <v>3</v>
      </c>
      <c r="D348" s="23">
        <v>23.2</v>
      </c>
      <c r="E348" s="24">
        <v>0.16900000000000001</v>
      </c>
    </row>
    <row r="349" spans="1:5" x14ac:dyDescent="0.25">
      <c r="A349" s="18" t="s">
        <v>343</v>
      </c>
      <c r="B349" s="22">
        <v>102</v>
      </c>
      <c r="C349" s="23">
        <v>2.2000000000000002</v>
      </c>
      <c r="D349" s="23">
        <v>22.16</v>
      </c>
      <c r="E349" s="24">
        <v>0.14299999999999999</v>
      </c>
    </row>
    <row r="350" spans="1:5" x14ac:dyDescent="0.25">
      <c r="A350" s="18" t="s">
        <v>344</v>
      </c>
      <c r="B350" s="22">
        <v>103</v>
      </c>
      <c r="C350" s="23">
        <v>0.2</v>
      </c>
      <c r="D350" s="23">
        <v>20.76</v>
      </c>
      <c r="E350" s="24">
        <v>0.19700000000000001</v>
      </c>
    </row>
    <row r="351" spans="1:5" x14ac:dyDescent="0.25">
      <c r="A351" s="18" t="s">
        <v>345</v>
      </c>
      <c r="B351" s="22">
        <v>104</v>
      </c>
      <c r="C351" s="23">
        <v>9.8000000000000007</v>
      </c>
      <c r="D351" s="23">
        <v>28.64</v>
      </c>
      <c r="E351" s="24">
        <v>7.6999999999999999E-2</v>
      </c>
    </row>
    <row r="352" spans="1:5" x14ac:dyDescent="0.25">
      <c r="A352" s="18" t="s">
        <v>346</v>
      </c>
      <c r="B352" s="22">
        <v>95</v>
      </c>
      <c r="C352" s="23">
        <v>8.4</v>
      </c>
      <c r="D352" s="23">
        <v>25.72</v>
      </c>
      <c r="E352" s="24">
        <v>2.1000000000000001E-2</v>
      </c>
    </row>
    <row r="353" spans="1:5" x14ac:dyDescent="0.25">
      <c r="A353" s="18" t="s">
        <v>347</v>
      </c>
      <c r="B353" s="22">
        <v>99</v>
      </c>
      <c r="C353" s="23">
        <v>3.6</v>
      </c>
      <c r="D353" s="23">
        <v>22.68</v>
      </c>
      <c r="E353" s="24">
        <v>0.123</v>
      </c>
    </row>
    <row r="354" spans="1:5" x14ac:dyDescent="0.25">
      <c r="A354" s="18" t="s">
        <v>348</v>
      </c>
      <c r="B354" s="22">
        <v>102</v>
      </c>
      <c r="C354" s="23">
        <v>7.4</v>
      </c>
      <c r="D354" s="23">
        <v>26.32</v>
      </c>
      <c r="E354" s="24">
        <v>4.2999999999999997E-2</v>
      </c>
    </row>
    <row r="355" spans="1:5" x14ac:dyDescent="0.25">
      <c r="A355" s="18" t="s">
        <v>349</v>
      </c>
      <c r="B355" s="22">
        <v>100</v>
      </c>
      <c r="C355" s="23">
        <v>0.6</v>
      </c>
      <c r="D355" s="23">
        <v>20.48</v>
      </c>
      <c r="E355" s="24">
        <v>0.193</v>
      </c>
    </row>
    <row r="356" spans="1:5" x14ac:dyDescent="0.25">
      <c r="A356" s="18" t="s">
        <v>350</v>
      </c>
      <c r="B356" s="22">
        <v>106</v>
      </c>
      <c r="C356" s="23">
        <v>1.6</v>
      </c>
      <c r="D356" s="23">
        <v>22.48</v>
      </c>
      <c r="E356" s="24">
        <v>4.5999999999999999E-2</v>
      </c>
    </row>
    <row r="357" spans="1:5" x14ac:dyDescent="0.25">
      <c r="A357" s="18" t="s">
        <v>351</v>
      </c>
      <c r="B357" s="22">
        <v>101</v>
      </c>
      <c r="C357" s="23">
        <v>2.4</v>
      </c>
      <c r="D357" s="23">
        <v>22.12</v>
      </c>
      <c r="E357" s="24">
        <v>6.8000000000000005E-2</v>
      </c>
    </row>
    <row r="358" spans="1:5" x14ac:dyDescent="0.25">
      <c r="A358" s="18" t="s">
        <v>352</v>
      </c>
      <c r="B358" s="22">
        <v>105</v>
      </c>
      <c r="C358" s="23">
        <v>4.2</v>
      </c>
      <c r="D358" s="23">
        <v>24.36</v>
      </c>
      <c r="E358" s="24">
        <v>0.216</v>
      </c>
    </row>
    <row r="359" spans="1:5" x14ac:dyDescent="0.25">
      <c r="A359" s="18" t="s">
        <v>353</v>
      </c>
      <c r="B359" s="22">
        <v>103</v>
      </c>
      <c r="C359" s="23">
        <v>4.5999999999999996</v>
      </c>
      <c r="D359" s="23">
        <v>24.28</v>
      </c>
      <c r="E359" s="24">
        <v>8.4000000000000005E-2</v>
      </c>
    </row>
    <row r="360" spans="1:5" x14ac:dyDescent="0.25">
      <c r="A360" s="18" t="s">
        <v>354</v>
      </c>
      <c r="B360" s="22">
        <v>100</v>
      </c>
      <c r="C360" s="23">
        <v>0</v>
      </c>
      <c r="D360" s="23">
        <v>20</v>
      </c>
      <c r="E360" s="24">
        <v>0.156</v>
      </c>
    </row>
    <row r="361" spans="1:5" x14ac:dyDescent="0.25">
      <c r="A361" s="18" t="s">
        <v>355</v>
      </c>
      <c r="B361" s="22">
        <v>106</v>
      </c>
      <c r="C361" s="23">
        <v>3.6</v>
      </c>
      <c r="D361" s="23">
        <v>24.08</v>
      </c>
      <c r="E361" s="24">
        <v>0.17699999999999999</v>
      </c>
    </row>
    <row r="362" spans="1:5" x14ac:dyDescent="0.25">
      <c r="A362" s="18" t="s">
        <v>356</v>
      </c>
      <c r="B362" s="22">
        <v>104</v>
      </c>
      <c r="C362" s="23">
        <v>0.6</v>
      </c>
      <c r="D362" s="23">
        <v>21.28</v>
      </c>
      <c r="E362" s="24">
        <v>0.188</v>
      </c>
    </row>
    <row r="363" spans="1:5" x14ac:dyDescent="0.25">
      <c r="A363" s="18" t="s">
        <v>357</v>
      </c>
      <c r="B363" s="22">
        <v>108</v>
      </c>
      <c r="C363" s="23">
        <v>9.6</v>
      </c>
      <c r="D363" s="23">
        <v>29.28</v>
      </c>
      <c r="E363" s="24">
        <v>0.18099999999999999</v>
      </c>
    </row>
    <row r="364" spans="1:5" x14ac:dyDescent="0.25">
      <c r="A364" s="18" t="s">
        <v>358</v>
      </c>
      <c r="B364" s="22">
        <v>104</v>
      </c>
      <c r="C364" s="23">
        <v>9.4</v>
      </c>
      <c r="D364" s="23">
        <v>28.32</v>
      </c>
      <c r="E364" s="24">
        <v>2.4E-2</v>
      </c>
    </row>
    <row r="365" spans="1:5" x14ac:dyDescent="0.25">
      <c r="A365" s="18" t="s">
        <v>359</v>
      </c>
      <c r="B365" s="22">
        <v>96</v>
      </c>
      <c r="C365" s="23">
        <v>1.8</v>
      </c>
      <c r="D365" s="23">
        <v>20.64</v>
      </c>
      <c r="E365" s="24">
        <v>0.248</v>
      </c>
    </row>
    <row r="366" spans="1:5" x14ac:dyDescent="0.25">
      <c r="A366" s="18" t="s">
        <v>360</v>
      </c>
      <c r="B366" s="22">
        <v>106</v>
      </c>
      <c r="C366" s="23">
        <v>4.2</v>
      </c>
      <c r="D366" s="23">
        <v>24.56</v>
      </c>
      <c r="E366" s="24">
        <v>8.8999999999999996E-2</v>
      </c>
    </row>
    <row r="367" spans="1:5" x14ac:dyDescent="0.25">
      <c r="A367" s="18" t="s">
        <v>361</v>
      </c>
      <c r="B367" s="22">
        <v>100</v>
      </c>
      <c r="C367" s="23">
        <v>3.4</v>
      </c>
      <c r="D367" s="23">
        <v>22.72</v>
      </c>
      <c r="E367" s="24">
        <v>0.03</v>
      </c>
    </row>
    <row r="368" spans="1:5" x14ac:dyDescent="0.25">
      <c r="A368" s="18" t="s">
        <v>362</v>
      </c>
      <c r="B368" s="22">
        <v>100</v>
      </c>
      <c r="C368" s="23">
        <v>5.4</v>
      </c>
      <c r="D368" s="23">
        <v>24.32</v>
      </c>
      <c r="E368" s="24">
        <v>0.14199999999999999</v>
      </c>
    </row>
    <row r="369" spans="1:5" x14ac:dyDescent="0.25">
      <c r="A369" s="18" t="s">
        <v>363</v>
      </c>
      <c r="B369" s="22">
        <v>106</v>
      </c>
      <c r="C369" s="23">
        <v>3.4</v>
      </c>
      <c r="D369" s="23">
        <v>23.92</v>
      </c>
      <c r="E369" s="24">
        <v>0.11899999999999999</v>
      </c>
    </row>
    <row r="370" spans="1:5" x14ac:dyDescent="0.25">
      <c r="A370" s="18" t="s">
        <v>364</v>
      </c>
      <c r="B370" s="22">
        <v>111</v>
      </c>
      <c r="C370" s="23">
        <v>11.8</v>
      </c>
      <c r="D370" s="23">
        <v>31.64</v>
      </c>
      <c r="E370" s="24">
        <v>4.1000000000000002E-2</v>
      </c>
    </row>
    <row r="371" spans="1:5" x14ac:dyDescent="0.25">
      <c r="A371" s="18" t="s">
        <v>365</v>
      </c>
      <c r="B371" s="22">
        <v>104</v>
      </c>
      <c r="C371" s="23">
        <v>0.8</v>
      </c>
      <c r="D371" s="23">
        <v>21.44</v>
      </c>
      <c r="E371" s="24">
        <v>6.3E-2</v>
      </c>
    </row>
    <row r="372" spans="1:5" x14ac:dyDescent="0.25">
      <c r="A372" s="18" t="s">
        <v>366</v>
      </c>
      <c r="B372" s="22">
        <v>111</v>
      </c>
      <c r="C372" s="23">
        <v>2.6</v>
      </c>
      <c r="D372" s="23">
        <v>24.28</v>
      </c>
      <c r="E372" s="24">
        <v>2.7E-2</v>
      </c>
    </row>
    <row r="373" spans="1:5" x14ac:dyDescent="0.25">
      <c r="A373" s="18" t="s">
        <v>367</v>
      </c>
      <c r="B373" s="22">
        <v>104</v>
      </c>
      <c r="C373" s="23">
        <v>4.8</v>
      </c>
      <c r="D373" s="23">
        <v>24.64</v>
      </c>
      <c r="E373" s="24">
        <v>0.223</v>
      </c>
    </row>
    <row r="374" spans="1:5" x14ac:dyDescent="0.25">
      <c r="A374" s="18" t="s">
        <v>368</v>
      </c>
      <c r="B374" s="22">
        <v>101</v>
      </c>
      <c r="C374" s="23">
        <v>10</v>
      </c>
      <c r="D374" s="23">
        <v>28.2</v>
      </c>
      <c r="E374" s="24">
        <v>6.2E-2</v>
      </c>
    </row>
    <row r="375" spans="1:5" x14ac:dyDescent="0.25">
      <c r="A375" s="18" t="s">
        <v>369</v>
      </c>
      <c r="B375" s="22">
        <v>95</v>
      </c>
      <c r="C375" s="23">
        <v>4.5999999999999996</v>
      </c>
      <c r="D375" s="23">
        <v>22.68</v>
      </c>
      <c r="E375" s="24">
        <v>8.7999999999999995E-2</v>
      </c>
    </row>
    <row r="376" spans="1:5" x14ac:dyDescent="0.25">
      <c r="A376" s="18" t="s">
        <v>370</v>
      </c>
      <c r="B376" s="22">
        <v>97</v>
      </c>
      <c r="C376" s="23">
        <v>2</v>
      </c>
      <c r="D376" s="23">
        <v>21</v>
      </c>
      <c r="E376" s="24">
        <v>8.8999999999999996E-2</v>
      </c>
    </row>
    <row r="377" spans="1:5" x14ac:dyDescent="0.25">
      <c r="A377" s="18" t="s">
        <v>371</v>
      </c>
      <c r="B377" s="22">
        <v>105</v>
      </c>
      <c r="C377" s="23">
        <v>2.8</v>
      </c>
      <c r="D377" s="23">
        <v>23.24</v>
      </c>
      <c r="E377" s="24">
        <v>2.5000000000000001E-2</v>
      </c>
    </row>
    <row r="378" spans="1:5" x14ac:dyDescent="0.25">
      <c r="A378" s="18" t="s">
        <v>372</v>
      </c>
      <c r="B378" s="22">
        <v>102</v>
      </c>
      <c r="C378" s="23">
        <v>0.8</v>
      </c>
      <c r="D378" s="23">
        <v>21.04</v>
      </c>
      <c r="E378" s="24">
        <v>0.126</v>
      </c>
    </row>
    <row r="379" spans="1:5" x14ac:dyDescent="0.25">
      <c r="A379" s="18" t="s">
        <v>373</v>
      </c>
      <c r="B379" s="22">
        <v>104</v>
      </c>
      <c r="C379" s="23">
        <v>2.4</v>
      </c>
      <c r="D379" s="23">
        <v>22.72</v>
      </c>
      <c r="E379" s="24">
        <v>0.14299999999999999</v>
      </c>
    </row>
    <row r="380" spans="1:5" x14ac:dyDescent="0.25">
      <c r="A380" s="18" t="s">
        <v>374</v>
      </c>
      <c r="B380" s="22">
        <v>109</v>
      </c>
      <c r="C380" s="23">
        <v>3.2</v>
      </c>
      <c r="D380" s="23">
        <v>24.36</v>
      </c>
      <c r="E380" s="24">
        <v>6.3E-2</v>
      </c>
    </row>
    <row r="381" spans="1:5" x14ac:dyDescent="0.25">
      <c r="A381" s="18" t="s">
        <v>375</v>
      </c>
      <c r="B381" s="22">
        <v>101</v>
      </c>
      <c r="C381" s="23">
        <v>8.1999999999999993</v>
      </c>
      <c r="D381" s="23">
        <v>26.76</v>
      </c>
      <c r="E381" s="24">
        <v>0.17499999999999999</v>
      </c>
    </row>
    <row r="382" spans="1:5" x14ac:dyDescent="0.25">
      <c r="A382" s="18" t="s">
        <v>376</v>
      </c>
      <c r="B382" s="22">
        <v>92</v>
      </c>
      <c r="C382" s="23">
        <v>10</v>
      </c>
      <c r="D382" s="23">
        <v>26.4</v>
      </c>
      <c r="E382" s="24">
        <v>0.158</v>
      </c>
    </row>
    <row r="383" spans="1:5" x14ac:dyDescent="0.25">
      <c r="A383" s="18" t="s">
        <v>377</v>
      </c>
      <c r="B383" s="22">
        <v>103</v>
      </c>
      <c r="C383" s="23">
        <v>12.8</v>
      </c>
      <c r="D383" s="23">
        <v>30.84</v>
      </c>
      <c r="E383" s="24">
        <v>0.14000000000000001</v>
      </c>
    </row>
    <row r="384" spans="1:5" x14ac:dyDescent="0.25">
      <c r="A384" s="18" t="s">
        <v>378</v>
      </c>
      <c r="B384" s="22">
        <v>103</v>
      </c>
      <c r="C384" s="23">
        <v>3.4</v>
      </c>
      <c r="D384" s="23">
        <v>23.32</v>
      </c>
      <c r="E384" s="24">
        <v>0.16200000000000001</v>
      </c>
    </row>
    <row r="385" spans="1:5" x14ac:dyDescent="0.25">
      <c r="A385" s="18" t="s">
        <v>379</v>
      </c>
      <c r="B385" s="22">
        <v>106</v>
      </c>
      <c r="C385" s="23">
        <v>4</v>
      </c>
      <c r="D385" s="23">
        <v>24.4</v>
      </c>
      <c r="E385" s="24">
        <v>0.14199999999999999</v>
      </c>
    </row>
    <row r="386" spans="1:5" x14ac:dyDescent="0.25">
      <c r="A386" s="18" t="s">
        <v>380</v>
      </c>
      <c r="B386" s="22">
        <v>103</v>
      </c>
      <c r="C386" s="23">
        <v>3</v>
      </c>
      <c r="D386" s="23">
        <v>23</v>
      </c>
      <c r="E386" s="24">
        <v>0.30299999999999999</v>
      </c>
    </row>
    <row r="387" spans="1:5" x14ac:dyDescent="0.25">
      <c r="A387" s="18" t="s">
        <v>381</v>
      </c>
      <c r="B387" s="22">
        <v>99</v>
      </c>
      <c r="C387" s="23">
        <v>8.8000000000000007</v>
      </c>
      <c r="D387" s="23">
        <v>26.84</v>
      </c>
      <c r="E387" s="24">
        <v>0.17199999999999999</v>
      </c>
    </row>
    <row r="388" spans="1:5" x14ac:dyDescent="0.25">
      <c r="A388" s="18" t="s">
        <v>382</v>
      </c>
      <c r="B388" s="22">
        <v>116</v>
      </c>
      <c r="C388" s="23">
        <v>6.4</v>
      </c>
      <c r="D388" s="23">
        <v>28.32</v>
      </c>
      <c r="E388" s="24">
        <v>0.16400000000000001</v>
      </c>
    </row>
    <row r="389" spans="1:5" x14ac:dyDescent="0.25">
      <c r="A389" s="18" t="s">
        <v>383</v>
      </c>
      <c r="B389" s="22">
        <v>104</v>
      </c>
      <c r="C389" s="23">
        <v>7.4</v>
      </c>
      <c r="D389" s="23">
        <v>26.72</v>
      </c>
      <c r="E389" s="24">
        <v>9.0999999999999998E-2</v>
      </c>
    </row>
    <row r="390" spans="1:5" x14ac:dyDescent="0.25">
      <c r="A390" s="18" t="s">
        <v>384</v>
      </c>
      <c r="B390" s="22">
        <v>89</v>
      </c>
      <c r="C390" s="23">
        <v>3.8</v>
      </c>
      <c r="D390" s="23">
        <v>20.84</v>
      </c>
      <c r="E390" s="24">
        <v>0.13700000000000001</v>
      </c>
    </row>
    <row r="391" spans="1:5" x14ac:dyDescent="0.25">
      <c r="A391" s="18" t="s">
        <v>385</v>
      </c>
      <c r="B391" s="22">
        <v>101</v>
      </c>
      <c r="C391" s="23">
        <v>3.6</v>
      </c>
      <c r="D391" s="23">
        <v>23.08</v>
      </c>
      <c r="E391" s="24">
        <v>0.127</v>
      </c>
    </row>
    <row r="392" spans="1:5" x14ac:dyDescent="0.25">
      <c r="A392" s="18" t="s">
        <v>386</v>
      </c>
      <c r="B392" s="22">
        <v>93</v>
      </c>
      <c r="C392" s="23">
        <v>7.2</v>
      </c>
      <c r="D392" s="23">
        <v>24.36</v>
      </c>
      <c r="E392" s="24">
        <v>8.1000000000000003E-2</v>
      </c>
    </row>
    <row r="393" spans="1:5" x14ac:dyDescent="0.25">
      <c r="A393" s="18" t="s">
        <v>387</v>
      </c>
      <c r="B393" s="22">
        <v>102</v>
      </c>
      <c r="C393" s="23">
        <v>4.4000000000000004</v>
      </c>
      <c r="D393" s="23">
        <v>23.92</v>
      </c>
      <c r="E393" s="24">
        <v>9.8000000000000004E-2</v>
      </c>
    </row>
    <row r="394" spans="1:5" x14ac:dyDescent="0.25">
      <c r="A394" s="18" t="s">
        <v>388</v>
      </c>
      <c r="B394" s="22">
        <v>102</v>
      </c>
      <c r="C394" s="23">
        <v>0.2</v>
      </c>
      <c r="D394" s="23">
        <v>20.56</v>
      </c>
      <c r="E394" s="24">
        <v>8.3000000000000004E-2</v>
      </c>
    </row>
    <row r="395" spans="1:5" x14ac:dyDescent="0.25">
      <c r="A395" s="18" t="s">
        <v>389</v>
      </c>
      <c r="B395" s="22">
        <v>105</v>
      </c>
      <c r="C395" s="23">
        <v>0.4</v>
      </c>
      <c r="D395" s="23">
        <v>21.32</v>
      </c>
      <c r="E395" s="24">
        <v>0.16900000000000001</v>
      </c>
    </row>
    <row r="396" spans="1:5" x14ac:dyDescent="0.25">
      <c r="A396" s="18" t="s">
        <v>390</v>
      </c>
      <c r="B396" s="22">
        <v>107</v>
      </c>
      <c r="C396" s="23">
        <v>1.4</v>
      </c>
      <c r="D396" s="23">
        <v>22.52</v>
      </c>
      <c r="E396" s="24">
        <v>5.2999999999999999E-2</v>
      </c>
    </row>
    <row r="397" spans="1:5" x14ac:dyDescent="0.25">
      <c r="A397" s="18" t="s">
        <v>391</v>
      </c>
      <c r="B397" s="22">
        <v>97</v>
      </c>
      <c r="C397" s="23">
        <v>2.8</v>
      </c>
      <c r="D397" s="23">
        <v>21.64</v>
      </c>
      <c r="E397" s="24">
        <v>0.13900000000000001</v>
      </c>
    </row>
    <row r="398" spans="1:5" x14ac:dyDescent="0.25">
      <c r="A398" s="18" t="s">
        <v>392</v>
      </c>
      <c r="B398" s="22">
        <v>95</v>
      </c>
      <c r="C398" s="23">
        <v>3.4</v>
      </c>
      <c r="D398" s="23">
        <v>21.72</v>
      </c>
      <c r="E398" s="24">
        <v>0.14699999999999999</v>
      </c>
    </row>
    <row r="399" spans="1:5" x14ac:dyDescent="0.25">
      <c r="A399" s="18" t="s">
        <v>393</v>
      </c>
      <c r="B399" s="22">
        <v>99</v>
      </c>
      <c r="C399" s="23">
        <v>5.6</v>
      </c>
      <c r="D399" s="23">
        <v>24.28</v>
      </c>
      <c r="E399" s="24">
        <v>0.20100000000000001</v>
      </c>
    </row>
    <row r="400" spans="1:5" x14ac:dyDescent="0.25">
      <c r="A400" s="18" t="s">
        <v>394</v>
      </c>
      <c r="B400" s="22">
        <v>104</v>
      </c>
      <c r="C400" s="23">
        <v>12.2</v>
      </c>
      <c r="D400" s="23">
        <v>30.56</v>
      </c>
      <c r="E400" s="24">
        <v>0.11899999999999999</v>
      </c>
    </row>
    <row r="401" spans="1:5" x14ac:dyDescent="0.25">
      <c r="A401" s="18" t="s">
        <v>395</v>
      </c>
      <c r="B401" s="22">
        <v>101</v>
      </c>
      <c r="C401" s="23">
        <v>9.4</v>
      </c>
      <c r="D401" s="23">
        <v>27.72</v>
      </c>
      <c r="E401" s="24">
        <v>0.111</v>
      </c>
    </row>
    <row r="402" spans="1:5" x14ac:dyDescent="0.25">
      <c r="A402" s="18" t="s">
        <v>396</v>
      </c>
      <c r="B402" s="22">
        <v>101</v>
      </c>
      <c r="C402" s="23">
        <v>7.4</v>
      </c>
      <c r="D402" s="23">
        <v>26.12</v>
      </c>
      <c r="E402" s="24">
        <v>0.17799999999999999</v>
      </c>
    </row>
    <row r="403" spans="1:5" x14ac:dyDescent="0.25">
      <c r="A403" s="18" t="s">
        <v>397</v>
      </c>
      <c r="B403" s="22">
        <v>103</v>
      </c>
      <c r="C403" s="23">
        <v>11.6</v>
      </c>
      <c r="D403" s="23">
        <v>29.88</v>
      </c>
      <c r="E403" s="24">
        <v>0.114</v>
      </c>
    </row>
    <row r="404" spans="1:5" x14ac:dyDescent="0.25">
      <c r="A404" s="18" t="s">
        <v>398</v>
      </c>
      <c r="B404" s="22">
        <v>103</v>
      </c>
      <c r="C404" s="23">
        <v>1.8</v>
      </c>
      <c r="D404" s="23">
        <v>22.04</v>
      </c>
      <c r="E404" s="24">
        <v>0.13100000000000001</v>
      </c>
    </row>
    <row r="405" spans="1:5" x14ac:dyDescent="0.25">
      <c r="A405" s="18" t="s">
        <v>399</v>
      </c>
      <c r="B405" s="22">
        <v>98</v>
      </c>
      <c r="C405" s="23">
        <v>6.8</v>
      </c>
      <c r="D405" s="23">
        <v>25.04</v>
      </c>
      <c r="E405" s="24">
        <v>4.1000000000000002E-2</v>
      </c>
    </row>
    <row r="406" spans="1:5" x14ac:dyDescent="0.25">
      <c r="A406" s="18" t="s">
        <v>400</v>
      </c>
      <c r="B406" s="22">
        <v>105</v>
      </c>
      <c r="C406" s="23">
        <v>4.2</v>
      </c>
      <c r="D406" s="23">
        <v>24.36</v>
      </c>
      <c r="E406" s="24">
        <v>2.4E-2</v>
      </c>
    </row>
    <row r="407" spans="1:5" x14ac:dyDescent="0.25">
      <c r="A407" s="18" t="s">
        <v>401</v>
      </c>
      <c r="B407" s="22">
        <v>104</v>
      </c>
      <c r="C407" s="23">
        <v>4.5999999999999996</v>
      </c>
      <c r="D407" s="23">
        <v>24.48</v>
      </c>
      <c r="E407" s="24">
        <v>9.8000000000000004E-2</v>
      </c>
    </row>
    <row r="408" spans="1:5" x14ac:dyDescent="0.25">
      <c r="A408" s="18" t="s">
        <v>402</v>
      </c>
      <c r="B408" s="22">
        <v>100</v>
      </c>
      <c r="C408" s="23">
        <v>3.6</v>
      </c>
      <c r="D408" s="23">
        <v>22.88</v>
      </c>
      <c r="E408" s="24">
        <v>0.247</v>
      </c>
    </row>
    <row r="409" spans="1:5" x14ac:dyDescent="0.25">
      <c r="A409" s="18" t="s">
        <v>403</v>
      </c>
      <c r="B409" s="22">
        <v>107</v>
      </c>
      <c r="C409" s="23">
        <v>3.8</v>
      </c>
      <c r="D409" s="23">
        <v>24.44</v>
      </c>
      <c r="E409" s="24">
        <v>0.14199999999999999</v>
      </c>
    </row>
    <row r="410" spans="1:5" x14ac:dyDescent="0.25">
      <c r="A410" s="18" t="s">
        <v>404</v>
      </c>
      <c r="B410" s="22">
        <v>99</v>
      </c>
      <c r="C410" s="23">
        <v>4</v>
      </c>
      <c r="D410" s="23">
        <v>23</v>
      </c>
      <c r="E410" s="24">
        <v>0.14199999999999999</v>
      </c>
    </row>
    <row r="411" spans="1:5" x14ac:dyDescent="0.25">
      <c r="A411" s="18" t="s">
        <v>405</v>
      </c>
      <c r="B411" s="22">
        <v>102</v>
      </c>
      <c r="C411" s="23">
        <v>2.6</v>
      </c>
      <c r="D411" s="23">
        <v>22.48</v>
      </c>
      <c r="E411" s="24">
        <v>0.249</v>
      </c>
    </row>
    <row r="412" spans="1:5" x14ac:dyDescent="0.25">
      <c r="A412" s="18" t="s">
        <v>406</v>
      </c>
      <c r="B412" s="22">
        <v>95</v>
      </c>
      <c r="C412" s="23">
        <v>0.2</v>
      </c>
      <c r="D412" s="23">
        <v>19.16</v>
      </c>
      <c r="E412" s="24">
        <v>0.27200000000000002</v>
      </c>
    </row>
    <row r="413" spans="1:5" x14ac:dyDescent="0.25">
      <c r="A413" s="18" t="s">
        <v>407</v>
      </c>
      <c r="B413" s="22">
        <v>110</v>
      </c>
      <c r="C413" s="23">
        <v>4.2</v>
      </c>
      <c r="D413" s="23">
        <v>25.36</v>
      </c>
      <c r="E413" s="24">
        <v>0.16900000000000001</v>
      </c>
    </row>
    <row r="414" spans="1:5" x14ac:dyDescent="0.25">
      <c r="A414" s="18" t="s">
        <v>408</v>
      </c>
      <c r="B414" s="22">
        <v>104</v>
      </c>
      <c r="C414" s="23">
        <v>1.6</v>
      </c>
      <c r="D414" s="23">
        <v>22.08</v>
      </c>
      <c r="E414" s="24">
        <v>0.13600000000000001</v>
      </c>
    </row>
    <row r="415" spans="1:5" x14ac:dyDescent="0.25">
      <c r="A415" s="18" t="s">
        <v>409</v>
      </c>
      <c r="B415" s="22">
        <v>99</v>
      </c>
      <c r="C415" s="23">
        <v>4.8</v>
      </c>
      <c r="D415" s="23">
        <v>23.64</v>
      </c>
      <c r="E415" s="24">
        <v>0.152</v>
      </c>
    </row>
    <row r="416" spans="1:5" x14ac:dyDescent="0.25">
      <c r="A416" s="18" t="s">
        <v>410</v>
      </c>
      <c r="B416" s="22">
        <v>96</v>
      </c>
      <c r="C416" s="23">
        <v>7</v>
      </c>
      <c r="D416" s="23">
        <v>24.8</v>
      </c>
      <c r="E416" s="24">
        <v>0.19500000000000001</v>
      </c>
    </row>
    <row r="417" spans="1:5" x14ac:dyDescent="0.25">
      <c r="A417" s="18" t="s">
        <v>411</v>
      </c>
      <c r="B417" s="22">
        <v>104</v>
      </c>
      <c r="C417" s="23">
        <v>4.4000000000000004</v>
      </c>
      <c r="D417" s="23">
        <v>24.32</v>
      </c>
      <c r="E417" s="24">
        <v>0.2</v>
      </c>
    </row>
    <row r="418" spans="1:5" x14ac:dyDescent="0.25">
      <c r="A418" s="18" t="s">
        <v>412</v>
      </c>
      <c r="B418" s="22">
        <v>96</v>
      </c>
      <c r="C418" s="23">
        <v>6.6</v>
      </c>
      <c r="D418" s="23">
        <v>24.48</v>
      </c>
      <c r="E418" s="24">
        <v>0.20599999999999999</v>
      </c>
    </row>
    <row r="419" spans="1:5" x14ac:dyDescent="0.25">
      <c r="A419" s="18" t="s">
        <v>413</v>
      </c>
      <c r="B419" s="22">
        <v>103</v>
      </c>
      <c r="C419" s="23">
        <v>10.6</v>
      </c>
      <c r="D419" s="23">
        <v>29.08</v>
      </c>
      <c r="E419" s="24">
        <v>0.16900000000000001</v>
      </c>
    </row>
    <row r="420" spans="1:5" x14ac:dyDescent="0.25">
      <c r="A420" s="18" t="s">
        <v>414</v>
      </c>
      <c r="B420" s="22">
        <v>24</v>
      </c>
      <c r="C420" s="23">
        <v>9.6</v>
      </c>
      <c r="D420" s="23">
        <v>12.48</v>
      </c>
      <c r="E420" s="24">
        <v>1E-3</v>
      </c>
    </row>
    <row r="421" spans="1:5" x14ac:dyDescent="0.25">
      <c r="A421" s="18" t="s">
        <v>415</v>
      </c>
      <c r="B421" s="22">
        <v>25</v>
      </c>
      <c r="C421" s="23">
        <v>9</v>
      </c>
      <c r="D421" s="23">
        <v>12.2</v>
      </c>
      <c r="E421" s="24">
        <v>1E-3</v>
      </c>
    </row>
    <row r="422" spans="1:5" x14ac:dyDescent="0.25">
      <c r="A422" s="18" t="s">
        <v>416</v>
      </c>
      <c r="B422" s="22">
        <v>23</v>
      </c>
      <c r="C422" s="23">
        <v>8.4</v>
      </c>
      <c r="D422" s="23">
        <v>11.32</v>
      </c>
      <c r="E422" s="24">
        <v>1E-3</v>
      </c>
    </row>
    <row r="423" spans="1:5" x14ac:dyDescent="0.25">
      <c r="A423" s="18" t="s">
        <v>417</v>
      </c>
      <c r="B423" s="22">
        <v>27</v>
      </c>
      <c r="C423" s="23">
        <v>8.1999999999999993</v>
      </c>
      <c r="D423" s="23">
        <v>11.96</v>
      </c>
      <c r="E423" s="24">
        <v>0</v>
      </c>
    </row>
    <row r="424" spans="1:5" x14ac:dyDescent="0.25">
      <c r="A424" s="18" t="s">
        <v>418</v>
      </c>
      <c r="B424" s="22">
        <v>26</v>
      </c>
      <c r="C424" s="23">
        <v>3</v>
      </c>
      <c r="D424" s="23">
        <v>7.6</v>
      </c>
      <c r="E424" s="24">
        <v>1E-3</v>
      </c>
    </row>
    <row r="425" spans="1:5" x14ac:dyDescent="0.25">
      <c r="A425" s="18" t="s">
        <v>419</v>
      </c>
      <c r="B425" s="22">
        <v>31</v>
      </c>
      <c r="C425" s="23">
        <v>2.8</v>
      </c>
      <c r="D425" s="23">
        <v>8.44</v>
      </c>
      <c r="E425" s="24">
        <v>1E-3</v>
      </c>
    </row>
    <row r="426" spans="1:5" x14ac:dyDescent="0.25">
      <c r="A426" s="18" t="s">
        <v>420</v>
      </c>
      <c r="B426" s="22">
        <v>25</v>
      </c>
      <c r="C426" s="23">
        <v>3.8</v>
      </c>
      <c r="D426" s="23">
        <v>8.0399999999999991</v>
      </c>
      <c r="E426" s="24">
        <v>1E-3</v>
      </c>
    </row>
    <row r="427" spans="1:5" x14ac:dyDescent="0.25">
      <c r="A427" s="18" t="s">
        <v>421</v>
      </c>
      <c r="B427" s="22">
        <v>27</v>
      </c>
      <c r="C427" s="23">
        <v>2</v>
      </c>
      <c r="D427" s="23">
        <v>7</v>
      </c>
      <c r="E427" s="24">
        <v>1E-3</v>
      </c>
    </row>
    <row r="428" spans="1:5" x14ac:dyDescent="0.25">
      <c r="A428" s="18" t="s">
        <v>422</v>
      </c>
      <c r="B428" s="22">
        <v>21</v>
      </c>
      <c r="C428" s="23">
        <v>2.4</v>
      </c>
      <c r="D428" s="23">
        <v>6.12</v>
      </c>
      <c r="E428" s="24">
        <v>1E-3</v>
      </c>
    </row>
    <row r="429" spans="1:5" x14ac:dyDescent="0.25">
      <c r="A429" s="18" t="s">
        <v>423</v>
      </c>
      <c r="B429" s="22">
        <v>24</v>
      </c>
      <c r="C429" s="23">
        <v>2.4</v>
      </c>
      <c r="D429" s="23">
        <v>6.72</v>
      </c>
      <c r="E429" s="24">
        <v>2E-3</v>
      </c>
    </row>
    <row r="430" spans="1:5" x14ac:dyDescent="0.25">
      <c r="A430" s="18" t="s">
        <v>424</v>
      </c>
      <c r="B430" s="22">
        <v>31</v>
      </c>
      <c r="C430" s="23">
        <v>0.2</v>
      </c>
      <c r="D430" s="23">
        <v>6.36</v>
      </c>
      <c r="E430" s="24">
        <v>1E-3</v>
      </c>
    </row>
    <row r="431" spans="1:5" x14ac:dyDescent="0.25">
      <c r="A431" s="18" t="s">
        <v>425</v>
      </c>
      <c r="B431" s="22">
        <v>28</v>
      </c>
      <c r="C431" s="23">
        <v>0.6</v>
      </c>
      <c r="D431" s="23">
        <v>6.08</v>
      </c>
      <c r="E431" s="24">
        <v>1E-3</v>
      </c>
    </row>
    <row r="432" spans="1:5" x14ac:dyDescent="0.25">
      <c r="A432" s="18" t="s">
        <v>426</v>
      </c>
      <c r="B432" s="22">
        <v>26</v>
      </c>
      <c r="C432" s="23">
        <v>0.8</v>
      </c>
      <c r="D432" s="23">
        <v>5.84</v>
      </c>
      <c r="E432" s="24">
        <v>1E-3</v>
      </c>
    </row>
    <row r="433" spans="1:5" x14ac:dyDescent="0.25">
      <c r="A433" s="18" t="s">
        <v>427</v>
      </c>
      <c r="B433" s="22">
        <v>22</v>
      </c>
      <c r="C433" s="23">
        <v>1</v>
      </c>
      <c r="D433" s="23">
        <v>5.2</v>
      </c>
      <c r="E433" s="24">
        <v>1E-3</v>
      </c>
    </row>
    <row r="434" spans="1:5" x14ac:dyDescent="0.25">
      <c r="A434" s="18" t="s">
        <v>428</v>
      </c>
      <c r="B434" s="22">
        <v>27</v>
      </c>
      <c r="C434" s="23">
        <v>0.2</v>
      </c>
      <c r="D434" s="23">
        <v>5.56</v>
      </c>
      <c r="E434" s="24">
        <v>1E-3</v>
      </c>
    </row>
    <row r="435" spans="1:5" x14ac:dyDescent="0.25">
      <c r="A435" s="18" t="s">
        <v>429</v>
      </c>
      <c r="B435" s="22">
        <v>25</v>
      </c>
      <c r="C435" s="23">
        <v>1.2</v>
      </c>
      <c r="D435" s="23">
        <v>5.96</v>
      </c>
      <c r="E435" s="24">
        <v>2E-3</v>
      </c>
    </row>
    <row r="436" spans="1:5" x14ac:dyDescent="0.25">
      <c r="A436" s="18" t="s">
        <v>430</v>
      </c>
      <c r="B436" s="22">
        <v>27</v>
      </c>
      <c r="C436" s="23">
        <v>0.8</v>
      </c>
      <c r="D436" s="23">
        <v>6.04</v>
      </c>
      <c r="E436" s="24">
        <v>2E-3</v>
      </c>
    </row>
    <row r="437" spans="1:5" x14ac:dyDescent="0.25">
      <c r="A437" s="18" t="s">
        <v>431</v>
      </c>
      <c r="B437" s="22">
        <v>26</v>
      </c>
      <c r="C437" s="23">
        <v>3.6</v>
      </c>
      <c r="D437" s="23">
        <v>8.08</v>
      </c>
      <c r="E437" s="24">
        <v>1E-3</v>
      </c>
    </row>
    <row r="438" spans="1:5" x14ac:dyDescent="0.25">
      <c r="A438" s="18" t="s">
        <v>432</v>
      </c>
      <c r="B438" s="22">
        <v>23</v>
      </c>
      <c r="C438" s="23">
        <v>1.2</v>
      </c>
      <c r="D438" s="23">
        <v>5.56</v>
      </c>
      <c r="E438" s="24">
        <v>0</v>
      </c>
    </row>
    <row r="439" spans="1:5" x14ac:dyDescent="0.25">
      <c r="A439" s="18" t="s">
        <v>433</v>
      </c>
      <c r="B439" s="22">
        <v>26</v>
      </c>
      <c r="C439" s="23">
        <v>1.4</v>
      </c>
      <c r="D439" s="23">
        <v>6.32</v>
      </c>
      <c r="E439" s="24">
        <v>1E-3</v>
      </c>
    </row>
    <row r="440" spans="1:5" x14ac:dyDescent="0.25">
      <c r="A440" s="18" t="s">
        <v>434</v>
      </c>
      <c r="B440" s="22">
        <v>27</v>
      </c>
      <c r="C440" s="23">
        <v>1</v>
      </c>
      <c r="D440" s="23">
        <v>6.2</v>
      </c>
      <c r="E440" s="24">
        <v>2E-3</v>
      </c>
    </row>
    <row r="441" spans="1:5" x14ac:dyDescent="0.25">
      <c r="A441" s="18" t="s">
        <v>435</v>
      </c>
      <c r="B441" s="22">
        <v>22</v>
      </c>
      <c r="C441" s="23">
        <v>0.4</v>
      </c>
      <c r="D441" s="23">
        <v>4.72</v>
      </c>
      <c r="E441" s="24">
        <v>1E-3</v>
      </c>
    </row>
    <row r="442" spans="1:5" x14ac:dyDescent="0.25">
      <c r="A442" s="18" t="s">
        <v>436</v>
      </c>
      <c r="B442" s="22">
        <v>27</v>
      </c>
      <c r="C442" s="23">
        <v>3</v>
      </c>
      <c r="D442" s="23">
        <v>7.8</v>
      </c>
      <c r="E442" s="24">
        <v>1E-3</v>
      </c>
    </row>
    <row r="443" spans="1:5" x14ac:dyDescent="0.25">
      <c r="A443" s="18" t="s">
        <v>437</v>
      </c>
      <c r="B443" s="22">
        <v>23</v>
      </c>
      <c r="C443" s="23">
        <v>1.4</v>
      </c>
      <c r="D443" s="23">
        <v>5.72</v>
      </c>
      <c r="E443" s="24">
        <v>2E-3</v>
      </c>
    </row>
    <row r="444" spans="1:5" x14ac:dyDescent="0.25">
      <c r="A444" s="18" t="s">
        <v>438</v>
      </c>
      <c r="B444" s="22">
        <v>28</v>
      </c>
      <c r="C444" s="23">
        <v>6.2</v>
      </c>
      <c r="D444" s="23">
        <v>10.56</v>
      </c>
      <c r="E444" s="24">
        <v>1E-3</v>
      </c>
    </row>
    <row r="445" spans="1:5" x14ac:dyDescent="0.25">
      <c r="A445" s="18" t="s">
        <v>439</v>
      </c>
      <c r="B445" s="22">
        <v>25</v>
      </c>
      <c r="C445" s="23">
        <v>0.6</v>
      </c>
      <c r="D445" s="23">
        <v>5.48</v>
      </c>
      <c r="E445" s="24">
        <v>1E-3</v>
      </c>
    </row>
    <row r="446" spans="1:5" x14ac:dyDescent="0.25">
      <c r="A446" s="18" t="s">
        <v>440</v>
      </c>
      <c r="B446" s="22">
        <v>23</v>
      </c>
      <c r="C446" s="23">
        <v>3.8</v>
      </c>
      <c r="D446" s="23">
        <v>7.64</v>
      </c>
      <c r="E446" s="24">
        <v>2E-3</v>
      </c>
    </row>
    <row r="447" spans="1:5" x14ac:dyDescent="0.25">
      <c r="A447" s="18" t="s">
        <v>441</v>
      </c>
      <c r="B447" s="22">
        <v>24</v>
      </c>
      <c r="C447" s="23">
        <v>6.4</v>
      </c>
      <c r="D447" s="23">
        <v>9.92</v>
      </c>
      <c r="E447" s="24">
        <v>1E-3</v>
      </c>
    </row>
    <row r="448" spans="1:5" x14ac:dyDescent="0.25">
      <c r="A448" s="18" t="s">
        <v>442</v>
      </c>
      <c r="B448" s="22">
        <v>25</v>
      </c>
      <c r="C448" s="23">
        <v>3</v>
      </c>
      <c r="D448" s="23">
        <v>7.4</v>
      </c>
      <c r="E448" s="24">
        <v>0</v>
      </c>
    </row>
    <row r="449" spans="1:5" x14ac:dyDescent="0.25">
      <c r="A449" s="18" t="s">
        <v>443</v>
      </c>
      <c r="B449" s="22">
        <v>24</v>
      </c>
      <c r="C449" s="23">
        <v>5.2</v>
      </c>
      <c r="D449" s="23">
        <v>8.9600000000000009</v>
      </c>
      <c r="E449" s="24">
        <v>1E-3</v>
      </c>
    </row>
    <row r="450" spans="1:5" x14ac:dyDescent="0.25">
      <c r="A450" s="18" t="s">
        <v>444</v>
      </c>
      <c r="B450" s="22">
        <v>28</v>
      </c>
      <c r="C450" s="23">
        <v>1.2</v>
      </c>
      <c r="D450" s="23">
        <v>6.56</v>
      </c>
      <c r="E450" s="24">
        <v>1E-3</v>
      </c>
    </row>
    <row r="451" spans="1:5" x14ac:dyDescent="0.25">
      <c r="A451" s="18" t="s">
        <v>445</v>
      </c>
      <c r="B451" s="22">
        <v>26</v>
      </c>
      <c r="C451" s="23">
        <v>1</v>
      </c>
      <c r="D451" s="23">
        <v>6</v>
      </c>
      <c r="E451" s="24">
        <v>2E-3</v>
      </c>
    </row>
    <row r="452" spans="1:5" x14ac:dyDescent="0.25">
      <c r="A452" s="18" t="s">
        <v>446</v>
      </c>
      <c r="B452" s="22">
        <v>23</v>
      </c>
      <c r="C452" s="23">
        <v>2</v>
      </c>
      <c r="D452" s="23">
        <v>6.2</v>
      </c>
      <c r="E452" s="24">
        <v>1E-3</v>
      </c>
    </row>
    <row r="453" spans="1:5" x14ac:dyDescent="0.25">
      <c r="A453" s="18" t="s">
        <v>447</v>
      </c>
      <c r="B453" s="22">
        <v>30</v>
      </c>
      <c r="C453" s="23">
        <v>3.6</v>
      </c>
      <c r="D453" s="23">
        <v>8.8800000000000008</v>
      </c>
      <c r="E453" s="24">
        <v>1E-3</v>
      </c>
    </row>
    <row r="454" spans="1:5" x14ac:dyDescent="0.25">
      <c r="A454" s="18" t="s">
        <v>448</v>
      </c>
      <c r="B454" s="22">
        <v>27</v>
      </c>
      <c r="C454" s="23">
        <v>3.8</v>
      </c>
      <c r="D454" s="23">
        <v>8.44</v>
      </c>
      <c r="E454" s="24">
        <v>0</v>
      </c>
    </row>
    <row r="455" spans="1:5" x14ac:dyDescent="0.25">
      <c r="A455" s="18" t="s">
        <v>449</v>
      </c>
      <c r="B455" s="22">
        <v>32</v>
      </c>
      <c r="C455" s="23">
        <v>3.6</v>
      </c>
      <c r="D455" s="23">
        <v>9.2799999999999994</v>
      </c>
      <c r="E455" s="24">
        <v>1E-3</v>
      </c>
    </row>
    <row r="456" spans="1:5" x14ac:dyDescent="0.25">
      <c r="A456" s="18" t="s">
        <v>450</v>
      </c>
      <c r="B456" s="22">
        <v>27</v>
      </c>
      <c r="C456" s="23">
        <v>2.4</v>
      </c>
      <c r="D456" s="23">
        <v>7.32</v>
      </c>
      <c r="E456" s="24">
        <v>1E-3</v>
      </c>
    </row>
    <row r="457" spans="1:5" x14ac:dyDescent="0.25">
      <c r="A457" s="18" t="s">
        <v>451</v>
      </c>
      <c r="B457" s="22">
        <v>30</v>
      </c>
      <c r="C457" s="23">
        <v>5.4</v>
      </c>
      <c r="D457" s="23">
        <v>10.32</v>
      </c>
      <c r="E457" s="24">
        <v>1E-3</v>
      </c>
    </row>
    <row r="458" spans="1:5" x14ac:dyDescent="0.25">
      <c r="A458" s="18" t="s">
        <v>452</v>
      </c>
      <c r="B458" s="22">
        <v>23</v>
      </c>
      <c r="C458" s="23">
        <v>5</v>
      </c>
      <c r="D458" s="23">
        <v>8.6</v>
      </c>
      <c r="E458" s="24">
        <v>1E-3</v>
      </c>
    </row>
    <row r="459" spans="1:5" x14ac:dyDescent="0.25">
      <c r="A459" s="18" t="s">
        <v>453</v>
      </c>
      <c r="B459" s="22">
        <v>26</v>
      </c>
      <c r="C459" s="23">
        <v>4.5999999999999996</v>
      </c>
      <c r="D459" s="23">
        <v>8.8800000000000008</v>
      </c>
      <c r="E459" s="24">
        <v>1E-3</v>
      </c>
    </row>
    <row r="460" spans="1:5" x14ac:dyDescent="0.25">
      <c r="A460" s="18" t="s">
        <v>454</v>
      </c>
      <c r="B460" s="22">
        <v>24</v>
      </c>
      <c r="C460" s="23">
        <v>0.4</v>
      </c>
      <c r="D460" s="23">
        <v>5.12</v>
      </c>
      <c r="E460" s="24">
        <v>1E-3</v>
      </c>
    </row>
    <row r="461" spans="1:5" x14ac:dyDescent="0.25">
      <c r="A461" s="18" t="s">
        <v>455</v>
      </c>
      <c r="B461" s="22">
        <v>29</v>
      </c>
      <c r="C461" s="23">
        <v>1.4</v>
      </c>
      <c r="D461" s="23">
        <v>6.92</v>
      </c>
      <c r="E461" s="24">
        <v>3.0000000000000001E-3</v>
      </c>
    </row>
    <row r="462" spans="1:5" x14ac:dyDescent="0.25">
      <c r="A462" s="18" t="s">
        <v>456</v>
      </c>
      <c r="B462" s="22">
        <v>26</v>
      </c>
      <c r="C462" s="23">
        <v>5</v>
      </c>
      <c r="D462" s="23">
        <v>9.1999999999999993</v>
      </c>
      <c r="E462" s="24">
        <v>0</v>
      </c>
    </row>
    <row r="463" spans="1:5" x14ac:dyDescent="0.25">
      <c r="A463" s="18" t="s">
        <v>457</v>
      </c>
      <c r="B463" s="22">
        <v>27</v>
      </c>
      <c r="C463" s="23">
        <v>4.5999999999999996</v>
      </c>
      <c r="D463" s="23">
        <v>9.08</v>
      </c>
      <c r="E463" s="24">
        <v>1E-3</v>
      </c>
    </row>
    <row r="464" spans="1:5" x14ac:dyDescent="0.25">
      <c r="A464" s="18" t="s">
        <v>458</v>
      </c>
      <c r="B464" s="22">
        <v>22</v>
      </c>
      <c r="C464" s="23">
        <v>2</v>
      </c>
      <c r="D464" s="23">
        <v>6</v>
      </c>
      <c r="E464" s="24">
        <v>0</v>
      </c>
    </row>
    <row r="465" spans="1:5" x14ac:dyDescent="0.25">
      <c r="A465" s="18" t="s">
        <v>459</v>
      </c>
      <c r="B465" s="22">
        <v>26</v>
      </c>
      <c r="C465" s="23">
        <v>1.8</v>
      </c>
      <c r="D465" s="23">
        <v>6.64</v>
      </c>
      <c r="E465" s="24">
        <v>1E-3</v>
      </c>
    </row>
    <row r="466" spans="1:5" x14ac:dyDescent="0.25">
      <c r="A466" s="18" t="s">
        <v>460</v>
      </c>
      <c r="B466" s="22">
        <v>24</v>
      </c>
      <c r="C466" s="23">
        <v>2.4</v>
      </c>
      <c r="D466" s="23">
        <v>6.72</v>
      </c>
      <c r="E466" s="24">
        <v>0</v>
      </c>
    </row>
    <row r="467" spans="1:5" x14ac:dyDescent="0.25">
      <c r="A467" s="18" t="s">
        <v>461</v>
      </c>
      <c r="B467" s="22">
        <v>25</v>
      </c>
      <c r="C467" s="23">
        <v>1.6</v>
      </c>
      <c r="D467" s="23">
        <v>6.28</v>
      </c>
      <c r="E467" s="24">
        <v>1E-3</v>
      </c>
    </row>
    <row r="468" spans="1:5" x14ac:dyDescent="0.25">
      <c r="A468" s="18" t="s">
        <v>462</v>
      </c>
      <c r="B468" s="22">
        <v>26</v>
      </c>
      <c r="C468" s="23">
        <v>0.8</v>
      </c>
      <c r="D468" s="23">
        <v>5.84</v>
      </c>
      <c r="E468" s="24">
        <v>1E-3</v>
      </c>
    </row>
    <row r="469" spans="1:5" x14ac:dyDescent="0.25">
      <c r="A469" s="18" t="s">
        <v>463</v>
      </c>
      <c r="B469" s="22">
        <v>24</v>
      </c>
      <c r="C469" s="23">
        <v>1.6</v>
      </c>
      <c r="D469" s="23">
        <v>6.08</v>
      </c>
      <c r="E469" s="24">
        <v>1E-3</v>
      </c>
    </row>
    <row r="470" spans="1:5" x14ac:dyDescent="0.25">
      <c r="A470" s="18" t="s">
        <v>464</v>
      </c>
      <c r="B470" s="22">
        <v>26</v>
      </c>
      <c r="C470" s="23">
        <v>4.2</v>
      </c>
      <c r="D470" s="23">
        <v>8.56</v>
      </c>
      <c r="E470" s="24">
        <v>1E-3</v>
      </c>
    </row>
    <row r="471" spans="1:5" x14ac:dyDescent="0.25">
      <c r="A471" s="18" t="s">
        <v>465</v>
      </c>
      <c r="B471" s="22">
        <v>26</v>
      </c>
      <c r="C471" s="23">
        <v>1</v>
      </c>
      <c r="D471" s="23">
        <v>6</v>
      </c>
      <c r="E471" s="24">
        <v>1E-3</v>
      </c>
    </row>
    <row r="472" spans="1:5" x14ac:dyDescent="0.25">
      <c r="A472" s="18" t="s">
        <v>466</v>
      </c>
      <c r="B472" s="22">
        <v>24</v>
      </c>
      <c r="C472" s="23">
        <v>1</v>
      </c>
      <c r="D472" s="23">
        <v>5.6</v>
      </c>
      <c r="E472" s="24">
        <v>1E-3</v>
      </c>
    </row>
    <row r="473" spans="1:5" x14ac:dyDescent="0.25">
      <c r="A473" s="18" t="s">
        <v>467</v>
      </c>
      <c r="B473" s="22">
        <v>25</v>
      </c>
      <c r="C473" s="23">
        <v>1.2</v>
      </c>
      <c r="D473" s="23">
        <v>5.96</v>
      </c>
      <c r="E473" s="24">
        <v>1E-3</v>
      </c>
    </row>
    <row r="474" spans="1:5" x14ac:dyDescent="0.25">
      <c r="A474" s="18" t="s">
        <v>468</v>
      </c>
      <c r="B474" s="22">
        <v>27</v>
      </c>
      <c r="C474" s="23">
        <v>1</v>
      </c>
      <c r="D474" s="23">
        <v>6.2</v>
      </c>
      <c r="E474" s="24">
        <v>2E-3</v>
      </c>
    </row>
    <row r="475" spans="1:5" x14ac:dyDescent="0.25">
      <c r="A475" s="18" t="s">
        <v>469</v>
      </c>
      <c r="B475" s="22">
        <v>32</v>
      </c>
      <c r="C475" s="23">
        <v>1.6</v>
      </c>
      <c r="D475" s="23">
        <v>7.68</v>
      </c>
      <c r="E475" s="24">
        <v>1E-3</v>
      </c>
    </row>
    <row r="476" spans="1:5" x14ac:dyDescent="0.25">
      <c r="A476" s="18" t="s">
        <v>470</v>
      </c>
      <c r="B476" s="22">
        <v>25</v>
      </c>
      <c r="C476" s="23">
        <v>1</v>
      </c>
      <c r="D476" s="23">
        <v>5.8</v>
      </c>
      <c r="E476" s="24">
        <v>1E-3</v>
      </c>
    </row>
    <row r="477" spans="1:5" x14ac:dyDescent="0.25">
      <c r="A477" s="18" t="s">
        <v>471</v>
      </c>
      <c r="B477" s="22">
        <v>24</v>
      </c>
      <c r="C477" s="23">
        <v>4.5999999999999996</v>
      </c>
      <c r="D477" s="23">
        <v>8.48</v>
      </c>
      <c r="E477" s="24">
        <v>0</v>
      </c>
    </row>
    <row r="478" spans="1:5" x14ac:dyDescent="0.25">
      <c r="A478" s="18" t="s">
        <v>472</v>
      </c>
      <c r="B478" s="22">
        <v>27</v>
      </c>
      <c r="C478" s="23">
        <v>0.8</v>
      </c>
      <c r="D478" s="23">
        <v>6.04</v>
      </c>
      <c r="E478" s="24">
        <v>2E-3</v>
      </c>
    </row>
    <row r="479" spans="1:5" x14ac:dyDescent="0.25">
      <c r="A479" s="18" t="s">
        <v>473</v>
      </c>
      <c r="B479" s="22">
        <v>24</v>
      </c>
      <c r="C479" s="23">
        <v>4.8</v>
      </c>
      <c r="D479" s="23">
        <v>8.64</v>
      </c>
      <c r="E479" s="24">
        <v>1E-3</v>
      </c>
    </row>
    <row r="480" spans="1:5" x14ac:dyDescent="0.25">
      <c r="A480" s="18" t="s">
        <v>474</v>
      </c>
      <c r="B480" s="22">
        <v>26</v>
      </c>
      <c r="C480" s="23">
        <v>2.8</v>
      </c>
      <c r="D480" s="23">
        <v>7.44</v>
      </c>
      <c r="E480" s="24">
        <v>0</v>
      </c>
    </row>
    <row r="481" spans="1:5" x14ac:dyDescent="0.25">
      <c r="A481" s="18" t="s">
        <v>475</v>
      </c>
      <c r="B481" s="22">
        <v>26</v>
      </c>
      <c r="C481" s="23">
        <v>3</v>
      </c>
      <c r="D481" s="23">
        <v>7.6</v>
      </c>
      <c r="E481" s="24">
        <v>1E-3</v>
      </c>
    </row>
    <row r="482" spans="1:5" x14ac:dyDescent="0.25">
      <c r="A482" s="18" t="s">
        <v>476</v>
      </c>
      <c r="B482" s="22">
        <v>28</v>
      </c>
      <c r="C482" s="23">
        <v>4.8</v>
      </c>
      <c r="D482" s="23">
        <v>9.44</v>
      </c>
      <c r="E482" s="24">
        <v>1E-3</v>
      </c>
    </row>
    <row r="483" spans="1:5" x14ac:dyDescent="0.25">
      <c r="A483" s="18" t="s">
        <v>477</v>
      </c>
      <c r="B483" s="22">
        <v>28</v>
      </c>
      <c r="C483" s="23">
        <v>3.6</v>
      </c>
      <c r="D483" s="23">
        <v>8.48</v>
      </c>
      <c r="E483" s="24">
        <v>1E-3</v>
      </c>
    </row>
    <row r="484" spans="1:5" x14ac:dyDescent="0.25">
      <c r="A484" s="18" t="s">
        <v>478</v>
      </c>
      <c r="B484" s="22">
        <v>30</v>
      </c>
      <c r="C484" s="23">
        <v>5</v>
      </c>
      <c r="D484" s="23">
        <v>10</v>
      </c>
      <c r="E484" s="24">
        <v>1E-3</v>
      </c>
    </row>
    <row r="485" spans="1:5" x14ac:dyDescent="0.25">
      <c r="A485" s="18" t="s">
        <v>479</v>
      </c>
      <c r="B485" s="22">
        <v>25</v>
      </c>
      <c r="C485" s="23">
        <v>4.8</v>
      </c>
      <c r="D485" s="23">
        <v>8.84</v>
      </c>
      <c r="E485" s="24">
        <v>1E-3</v>
      </c>
    </row>
    <row r="486" spans="1:5" x14ac:dyDescent="0.25">
      <c r="A486" s="18" t="s">
        <v>480</v>
      </c>
      <c r="B486" s="22">
        <v>22</v>
      </c>
      <c r="C486" s="23">
        <v>4</v>
      </c>
      <c r="D486" s="23">
        <v>7.6</v>
      </c>
      <c r="E486" s="24">
        <v>1E-3</v>
      </c>
    </row>
    <row r="487" spans="1:5" x14ac:dyDescent="0.25">
      <c r="A487" s="18" t="s">
        <v>481</v>
      </c>
      <c r="B487" s="22">
        <v>30</v>
      </c>
      <c r="C487" s="23">
        <v>3.6</v>
      </c>
      <c r="D487" s="23">
        <v>8.8800000000000008</v>
      </c>
      <c r="E487" s="24">
        <v>1E-3</v>
      </c>
    </row>
    <row r="488" spans="1:5" x14ac:dyDescent="0.25">
      <c r="A488" s="18" t="s">
        <v>482</v>
      </c>
      <c r="B488" s="22">
        <v>30</v>
      </c>
      <c r="C488" s="23">
        <v>3.4</v>
      </c>
      <c r="D488" s="23">
        <v>8.7200000000000006</v>
      </c>
      <c r="E488" s="24">
        <v>1E-3</v>
      </c>
    </row>
    <row r="489" spans="1:5" x14ac:dyDescent="0.25">
      <c r="A489" s="18" t="s">
        <v>483</v>
      </c>
      <c r="B489" s="22">
        <v>30</v>
      </c>
      <c r="C489" s="23">
        <v>3.6</v>
      </c>
      <c r="D489" s="23">
        <v>8.8800000000000008</v>
      </c>
      <c r="E489" s="24">
        <v>1E-3</v>
      </c>
    </row>
    <row r="490" spans="1:5" x14ac:dyDescent="0.25">
      <c r="A490" s="18" t="s">
        <v>484</v>
      </c>
      <c r="B490" s="22">
        <v>23</v>
      </c>
      <c r="C490" s="23">
        <v>0.8</v>
      </c>
      <c r="D490" s="23">
        <v>5.24</v>
      </c>
      <c r="E490" s="24">
        <v>1E-3</v>
      </c>
    </row>
    <row r="491" spans="1:5" x14ac:dyDescent="0.25">
      <c r="A491" s="18" t="s">
        <v>485</v>
      </c>
      <c r="B491" s="22">
        <v>30</v>
      </c>
      <c r="C491" s="23">
        <v>0.2</v>
      </c>
      <c r="D491" s="23">
        <v>6.16</v>
      </c>
      <c r="E491" s="24">
        <v>1E-3</v>
      </c>
    </row>
    <row r="492" spans="1:5" x14ac:dyDescent="0.25">
      <c r="A492" s="18" t="s">
        <v>486</v>
      </c>
      <c r="B492" s="22">
        <v>24</v>
      </c>
      <c r="C492" s="23">
        <v>1.6</v>
      </c>
      <c r="D492" s="23">
        <v>6.08</v>
      </c>
      <c r="E492" s="24">
        <v>3.0000000000000001E-3</v>
      </c>
    </row>
    <row r="493" spans="1:5" x14ac:dyDescent="0.25">
      <c r="A493" s="18" t="s">
        <v>487</v>
      </c>
      <c r="B493" s="22">
        <v>26</v>
      </c>
      <c r="C493" s="23">
        <v>4.4000000000000004</v>
      </c>
      <c r="D493" s="23">
        <v>8.7200000000000006</v>
      </c>
      <c r="E493" s="24">
        <v>0</v>
      </c>
    </row>
    <row r="494" spans="1:5" x14ac:dyDescent="0.25">
      <c r="A494" s="18" t="s">
        <v>488</v>
      </c>
      <c r="B494" s="22">
        <v>23</v>
      </c>
      <c r="C494" s="23">
        <v>2.2000000000000002</v>
      </c>
      <c r="D494" s="23">
        <v>6.36</v>
      </c>
      <c r="E494" s="24">
        <v>1E-3</v>
      </c>
    </row>
    <row r="495" spans="1:5" x14ac:dyDescent="0.25">
      <c r="A495" s="18" t="s">
        <v>489</v>
      </c>
      <c r="B495" s="22">
        <v>29</v>
      </c>
      <c r="C495" s="23">
        <v>3.6</v>
      </c>
      <c r="D495" s="23">
        <v>8.68</v>
      </c>
      <c r="E495" s="24">
        <v>1E-3</v>
      </c>
    </row>
    <row r="496" spans="1:5" x14ac:dyDescent="0.25">
      <c r="A496" s="18" t="s">
        <v>490</v>
      </c>
      <c r="B496" s="22">
        <v>27</v>
      </c>
      <c r="C496" s="23">
        <v>8.4</v>
      </c>
      <c r="D496" s="23">
        <v>12.12</v>
      </c>
      <c r="E496" s="24">
        <v>1E-3</v>
      </c>
    </row>
    <row r="497" spans="1:5" x14ac:dyDescent="0.25">
      <c r="A497" s="18" t="s">
        <v>491</v>
      </c>
      <c r="B497" s="22">
        <v>25</v>
      </c>
      <c r="C497" s="23">
        <v>1.4</v>
      </c>
      <c r="D497" s="23">
        <v>6.12</v>
      </c>
      <c r="E497" s="24">
        <v>3.0000000000000001E-3</v>
      </c>
    </row>
    <row r="498" spans="1:5" x14ac:dyDescent="0.25">
      <c r="A498" s="18" t="s">
        <v>492</v>
      </c>
      <c r="B498" s="22">
        <v>32</v>
      </c>
      <c r="C498" s="23">
        <v>7</v>
      </c>
      <c r="D498" s="23">
        <v>12</v>
      </c>
      <c r="E498" s="24">
        <v>2E-3</v>
      </c>
    </row>
    <row r="499" spans="1:5" x14ac:dyDescent="0.25">
      <c r="A499" s="18" t="s">
        <v>493</v>
      </c>
      <c r="B499" s="22">
        <v>27</v>
      </c>
      <c r="C499" s="23">
        <v>7</v>
      </c>
      <c r="D499" s="23">
        <v>11</v>
      </c>
      <c r="E499" s="24">
        <v>1E-3</v>
      </c>
    </row>
    <row r="500" spans="1:5" x14ac:dyDescent="0.25">
      <c r="A500" s="18" t="s">
        <v>494</v>
      </c>
      <c r="B500" s="22">
        <v>27</v>
      </c>
      <c r="C500" s="23">
        <v>2.8</v>
      </c>
      <c r="D500" s="23">
        <v>7.64</v>
      </c>
      <c r="E500" s="24">
        <v>2E-3</v>
      </c>
    </row>
    <row r="501" spans="1:5" x14ac:dyDescent="0.25">
      <c r="A501" s="18" t="s">
        <v>495</v>
      </c>
      <c r="B501" s="22">
        <v>27</v>
      </c>
      <c r="C501" s="23">
        <v>0.8</v>
      </c>
      <c r="D501" s="23">
        <v>6.04</v>
      </c>
      <c r="E501" s="24">
        <v>3.0000000000000001E-3</v>
      </c>
    </row>
    <row r="502" spans="1:5" x14ac:dyDescent="0.25">
      <c r="A502" s="18" t="s">
        <v>496</v>
      </c>
      <c r="B502" s="22">
        <v>27</v>
      </c>
      <c r="C502" s="23">
        <v>1.2</v>
      </c>
      <c r="D502" s="23">
        <v>6.36</v>
      </c>
      <c r="E502" s="24">
        <v>0</v>
      </c>
    </row>
    <row r="503" spans="1:5" x14ac:dyDescent="0.25">
      <c r="A503" s="18" t="s">
        <v>497</v>
      </c>
      <c r="B503" s="22">
        <v>26</v>
      </c>
      <c r="C503" s="23">
        <v>4.4000000000000004</v>
      </c>
      <c r="D503" s="23">
        <v>8.7200000000000006</v>
      </c>
      <c r="E503" s="24">
        <v>2E-3</v>
      </c>
    </row>
    <row r="504" spans="1:5" x14ac:dyDescent="0.25">
      <c r="A504" s="18" t="s">
        <v>498</v>
      </c>
      <c r="B504" s="22">
        <v>23</v>
      </c>
      <c r="C504" s="23">
        <v>2</v>
      </c>
      <c r="D504" s="23">
        <v>6.2</v>
      </c>
      <c r="E504" s="24">
        <v>0</v>
      </c>
    </row>
    <row r="505" spans="1:5" x14ac:dyDescent="0.25">
      <c r="A505" s="18" t="s">
        <v>499</v>
      </c>
      <c r="B505" s="22">
        <v>28</v>
      </c>
      <c r="C505" s="23">
        <v>2.8</v>
      </c>
      <c r="D505" s="23">
        <v>7.84</v>
      </c>
      <c r="E505" s="24">
        <v>1E-3</v>
      </c>
    </row>
    <row r="506" spans="1:5" x14ac:dyDescent="0.25">
      <c r="A506" s="18" t="s">
        <v>500</v>
      </c>
      <c r="B506" s="22">
        <v>24</v>
      </c>
      <c r="C506" s="23">
        <v>0.8</v>
      </c>
      <c r="D506" s="23">
        <v>5.44</v>
      </c>
      <c r="E506" s="24">
        <v>2E-3</v>
      </c>
    </row>
    <row r="507" spans="1:5" x14ac:dyDescent="0.25">
      <c r="A507" s="18" t="s">
        <v>501</v>
      </c>
      <c r="B507" s="22">
        <v>29</v>
      </c>
      <c r="C507" s="23">
        <v>2.8</v>
      </c>
      <c r="D507" s="23">
        <v>8.0399999999999991</v>
      </c>
      <c r="E507" s="24">
        <v>1E-3</v>
      </c>
    </row>
    <row r="508" spans="1:5" x14ac:dyDescent="0.25">
      <c r="A508" s="18" t="s">
        <v>502</v>
      </c>
      <c r="B508" s="22">
        <v>29</v>
      </c>
      <c r="C508" s="23">
        <v>2</v>
      </c>
      <c r="D508" s="23">
        <v>7.4</v>
      </c>
      <c r="E508" s="24">
        <v>1E-3</v>
      </c>
    </row>
    <row r="509" spans="1:5" x14ac:dyDescent="0.25">
      <c r="A509" s="18" t="s">
        <v>503</v>
      </c>
      <c r="B509" s="22">
        <v>28</v>
      </c>
      <c r="C509" s="23">
        <v>0.8</v>
      </c>
      <c r="D509" s="23">
        <v>6.24</v>
      </c>
      <c r="E509" s="24">
        <v>0</v>
      </c>
    </row>
    <row r="510" spans="1:5" x14ac:dyDescent="0.25">
      <c r="A510" s="18" t="s">
        <v>504</v>
      </c>
      <c r="B510" s="22">
        <v>26</v>
      </c>
      <c r="C510" s="23">
        <v>3.4</v>
      </c>
      <c r="D510" s="23">
        <v>7.92</v>
      </c>
      <c r="E510" s="24">
        <v>1E-3</v>
      </c>
    </row>
    <row r="511" spans="1:5" x14ac:dyDescent="0.25">
      <c r="A511" s="18" t="s">
        <v>505</v>
      </c>
      <c r="B511" s="22">
        <v>30</v>
      </c>
      <c r="C511" s="23">
        <v>1</v>
      </c>
      <c r="D511" s="23">
        <v>6.8</v>
      </c>
      <c r="E511" s="24">
        <v>1E-3</v>
      </c>
    </row>
    <row r="512" spans="1:5" x14ac:dyDescent="0.25">
      <c r="A512" s="18" t="s">
        <v>506</v>
      </c>
      <c r="B512" s="22">
        <v>28</v>
      </c>
      <c r="C512" s="23">
        <v>3</v>
      </c>
      <c r="D512" s="23">
        <v>8</v>
      </c>
      <c r="E512" s="24">
        <v>0</v>
      </c>
    </row>
    <row r="513" spans="1:5" x14ac:dyDescent="0.25">
      <c r="A513" s="18" t="s">
        <v>507</v>
      </c>
      <c r="B513" s="22">
        <v>22</v>
      </c>
      <c r="C513" s="23">
        <v>1.6</v>
      </c>
      <c r="D513" s="23">
        <v>5.68</v>
      </c>
      <c r="E513" s="24">
        <v>1E-3</v>
      </c>
    </row>
    <row r="514" spans="1:5" x14ac:dyDescent="0.25">
      <c r="A514" s="18" t="s">
        <v>508</v>
      </c>
      <c r="B514" s="22">
        <v>27</v>
      </c>
      <c r="C514" s="23">
        <v>3.8</v>
      </c>
      <c r="D514" s="23">
        <v>8.44</v>
      </c>
      <c r="E514" s="24">
        <v>1E-3</v>
      </c>
    </row>
    <row r="515" spans="1:5" x14ac:dyDescent="0.25">
      <c r="A515" s="18" t="s">
        <v>509</v>
      </c>
      <c r="B515" s="22">
        <v>26</v>
      </c>
      <c r="C515" s="23">
        <v>2.8</v>
      </c>
      <c r="D515" s="23">
        <v>7.44</v>
      </c>
      <c r="E515" s="24">
        <v>2E-3</v>
      </c>
    </row>
    <row r="516" spans="1:5" x14ac:dyDescent="0.25">
      <c r="A516" s="18" t="s">
        <v>510</v>
      </c>
      <c r="B516" s="22">
        <v>26</v>
      </c>
      <c r="C516" s="23">
        <v>4.2</v>
      </c>
      <c r="D516" s="23">
        <v>8.56</v>
      </c>
      <c r="E516" s="24">
        <v>1E-3</v>
      </c>
    </row>
    <row r="517" spans="1:5" x14ac:dyDescent="0.25">
      <c r="A517" s="18" t="s">
        <v>511</v>
      </c>
      <c r="B517" s="22">
        <v>27</v>
      </c>
      <c r="C517" s="23">
        <v>5.2</v>
      </c>
      <c r="D517" s="23">
        <v>9.56</v>
      </c>
      <c r="E517" s="24">
        <v>0</v>
      </c>
    </row>
    <row r="518" spans="1:5" x14ac:dyDescent="0.25">
      <c r="A518" s="18" t="s">
        <v>512</v>
      </c>
      <c r="B518" s="22">
        <v>25</v>
      </c>
      <c r="C518" s="23">
        <v>4</v>
      </c>
      <c r="D518" s="23">
        <v>8.1999999999999993</v>
      </c>
      <c r="E518" s="24">
        <v>1E-3</v>
      </c>
    </row>
    <row r="519" spans="1:5" x14ac:dyDescent="0.25">
      <c r="A519" s="18" t="s">
        <v>513</v>
      </c>
      <c r="B519" s="22">
        <v>27</v>
      </c>
      <c r="C519" s="23">
        <v>6</v>
      </c>
      <c r="D519" s="23">
        <v>10.199999999999999</v>
      </c>
      <c r="E519" s="24">
        <v>1E-3</v>
      </c>
    </row>
    <row r="520" spans="1:5" x14ac:dyDescent="0.25">
      <c r="A520" s="18" t="s">
        <v>514</v>
      </c>
      <c r="B520" s="22">
        <v>32</v>
      </c>
      <c r="C520" s="23">
        <v>5</v>
      </c>
      <c r="D520" s="23">
        <v>10.4</v>
      </c>
      <c r="E520" s="24">
        <v>1E-3</v>
      </c>
    </row>
    <row r="521" spans="1:5" x14ac:dyDescent="0.25">
      <c r="A521" s="18" t="s">
        <v>515</v>
      </c>
      <c r="B521" s="22">
        <v>25</v>
      </c>
      <c r="C521" s="23">
        <v>7.2</v>
      </c>
      <c r="D521" s="23">
        <v>10.76</v>
      </c>
      <c r="E521" s="24">
        <v>0</v>
      </c>
    </row>
    <row r="522" spans="1:5" x14ac:dyDescent="0.25">
      <c r="A522" s="18" t="s">
        <v>516</v>
      </c>
      <c r="B522" s="22">
        <v>28</v>
      </c>
      <c r="C522" s="23">
        <v>0</v>
      </c>
      <c r="D522" s="23">
        <v>5.6</v>
      </c>
      <c r="E522" s="24">
        <v>1E-3</v>
      </c>
    </row>
    <row r="523" spans="1:5" x14ac:dyDescent="0.25">
      <c r="A523" s="18" t="s">
        <v>517</v>
      </c>
      <c r="B523" s="22">
        <v>27</v>
      </c>
      <c r="C523" s="23">
        <v>0</v>
      </c>
      <c r="D523" s="23">
        <v>5.4</v>
      </c>
      <c r="E523" s="24">
        <v>1E-3</v>
      </c>
    </row>
    <row r="524" spans="1:5" x14ac:dyDescent="0.25">
      <c r="A524" s="18" t="s">
        <v>518</v>
      </c>
      <c r="B524" s="22">
        <v>26</v>
      </c>
      <c r="C524" s="23">
        <v>0</v>
      </c>
      <c r="D524" s="23">
        <v>5.2</v>
      </c>
      <c r="E524" s="24">
        <v>2E-3</v>
      </c>
    </row>
    <row r="525" spans="1:5" x14ac:dyDescent="0.25">
      <c r="A525" s="18" t="s">
        <v>519</v>
      </c>
      <c r="B525" s="22">
        <v>28</v>
      </c>
      <c r="C525" s="23">
        <v>0</v>
      </c>
      <c r="D525" s="23">
        <v>5.6</v>
      </c>
      <c r="E525" s="24">
        <v>2E-3</v>
      </c>
    </row>
    <row r="526" spans="1:5" x14ac:dyDescent="0.25">
      <c r="A526" s="18" t="s">
        <v>520</v>
      </c>
      <c r="B526" s="22">
        <v>27</v>
      </c>
      <c r="C526" s="23">
        <v>0</v>
      </c>
      <c r="D526" s="23">
        <v>5.4</v>
      </c>
      <c r="E526" s="24">
        <v>1E-3</v>
      </c>
    </row>
    <row r="527" spans="1:5" x14ac:dyDescent="0.25">
      <c r="A527" s="18" t="s">
        <v>521</v>
      </c>
      <c r="B527" s="22">
        <v>29</v>
      </c>
      <c r="C527" s="23">
        <v>2.8</v>
      </c>
      <c r="D527" s="23">
        <v>8.0399999999999991</v>
      </c>
      <c r="E527" s="24">
        <v>1E-3</v>
      </c>
    </row>
    <row r="528" spans="1:5" x14ac:dyDescent="0.25">
      <c r="A528" s="18" t="s">
        <v>522</v>
      </c>
      <c r="B528" s="22">
        <v>27</v>
      </c>
      <c r="C528" s="23">
        <v>0.4</v>
      </c>
      <c r="D528" s="23">
        <v>5.72</v>
      </c>
      <c r="E528" s="24">
        <v>1E-3</v>
      </c>
    </row>
    <row r="529" spans="1:5" x14ac:dyDescent="0.25">
      <c r="A529" s="18" t="s">
        <v>523</v>
      </c>
      <c r="B529" s="22">
        <v>22</v>
      </c>
      <c r="C529" s="23">
        <v>0.2</v>
      </c>
      <c r="D529" s="23">
        <v>4.5599999999999996</v>
      </c>
      <c r="E529" s="24">
        <v>1E-3</v>
      </c>
    </row>
    <row r="530" spans="1:5" x14ac:dyDescent="0.25">
      <c r="A530" s="18" t="s">
        <v>524</v>
      </c>
      <c r="B530" s="22">
        <v>28</v>
      </c>
      <c r="C530" s="23">
        <v>0.4</v>
      </c>
      <c r="D530" s="23">
        <v>5.92</v>
      </c>
      <c r="E530" s="24">
        <v>0</v>
      </c>
    </row>
    <row r="531" spans="1:5" x14ac:dyDescent="0.25">
      <c r="A531" s="18" t="s">
        <v>525</v>
      </c>
      <c r="B531" s="22">
        <v>31</v>
      </c>
      <c r="C531" s="23">
        <v>2.6</v>
      </c>
      <c r="D531" s="23">
        <v>8.2799999999999994</v>
      </c>
      <c r="E531" s="24">
        <v>1E-3</v>
      </c>
    </row>
    <row r="532" spans="1:5" x14ac:dyDescent="0.25">
      <c r="A532" s="18" t="s">
        <v>526</v>
      </c>
      <c r="B532" s="22">
        <v>25</v>
      </c>
      <c r="C532" s="23">
        <v>3.2</v>
      </c>
      <c r="D532" s="23">
        <v>7.56</v>
      </c>
      <c r="E532" s="24">
        <v>1E-3</v>
      </c>
    </row>
    <row r="533" spans="1:5" x14ac:dyDescent="0.25">
      <c r="A533" s="18" t="s">
        <v>527</v>
      </c>
      <c r="B533" s="22">
        <v>24</v>
      </c>
      <c r="C533" s="23">
        <v>6.6</v>
      </c>
      <c r="D533" s="23">
        <v>10.08</v>
      </c>
      <c r="E533" s="24">
        <v>3.0000000000000001E-3</v>
      </c>
    </row>
    <row r="534" spans="1:5" x14ac:dyDescent="0.25">
      <c r="A534" s="18" t="s">
        <v>528</v>
      </c>
      <c r="B534" s="22">
        <v>30</v>
      </c>
      <c r="C534" s="23">
        <v>6.8</v>
      </c>
      <c r="D534" s="23">
        <v>11.44</v>
      </c>
      <c r="E534" s="24">
        <v>1E-3</v>
      </c>
    </row>
    <row r="535" spans="1:5" x14ac:dyDescent="0.25">
      <c r="A535" s="18" t="s">
        <v>529</v>
      </c>
      <c r="B535" s="22">
        <v>28</v>
      </c>
      <c r="C535" s="23">
        <v>1.8</v>
      </c>
      <c r="D535" s="23">
        <v>7.04</v>
      </c>
      <c r="E535" s="24">
        <v>1E-3</v>
      </c>
    </row>
    <row r="536" spans="1:5" x14ac:dyDescent="0.25">
      <c r="A536" s="18" t="s">
        <v>530</v>
      </c>
      <c r="B536" s="22">
        <v>23</v>
      </c>
      <c r="C536" s="23">
        <v>2.4</v>
      </c>
      <c r="D536" s="23">
        <v>6.52</v>
      </c>
      <c r="E536" s="24">
        <v>1E-3</v>
      </c>
    </row>
    <row r="537" spans="1:5" x14ac:dyDescent="0.25">
      <c r="A537" s="18" t="s">
        <v>531</v>
      </c>
      <c r="B537" s="22">
        <v>24</v>
      </c>
      <c r="C537" s="23">
        <v>1.6</v>
      </c>
      <c r="D537" s="23">
        <v>6.08</v>
      </c>
      <c r="E537" s="24">
        <v>1E-3</v>
      </c>
    </row>
    <row r="538" spans="1:5" x14ac:dyDescent="0.25">
      <c r="A538" s="18" t="s">
        <v>532</v>
      </c>
      <c r="B538" s="22">
        <v>22</v>
      </c>
      <c r="C538" s="23">
        <v>0.6</v>
      </c>
      <c r="D538" s="23">
        <v>4.88</v>
      </c>
      <c r="E538" s="24">
        <v>1E-3</v>
      </c>
    </row>
    <row r="539" spans="1:5" ht="15.75" thickBot="1" x14ac:dyDescent="0.3">
      <c r="A539" s="18" t="s">
        <v>533</v>
      </c>
      <c r="B539" s="25">
        <v>29</v>
      </c>
      <c r="C539" s="26">
        <v>2.2000000000000002</v>
      </c>
      <c r="D539" s="26">
        <v>7.56</v>
      </c>
      <c r="E539" s="27">
        <v>0</v>
      </c>
    </row>
  </sheetData>
  <mergeCells count="1">
    <mergeCell ref="B5:E5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39"/>
  <sheetViews>
    <sheetView workbookViewId="0"/>
  </sheetViews>
  <sheetFormatPr defaultRowHeight="15" x14ac:dyDescent="0.25"/>
  <cols>
    <col min="1" max="1" width="24.7109375" bestFit="1" customWidth="1"/>
    <col min="2" max="10" width="9.85546875" bestFit="1" customWidth="1"/>
    <col min="11" max="11" width="10.85546875" bestFit="1" customWidth="1"/>
    <col min="12" max="12" width="10.140625" bestFit="1" customWidth="1"/>
    <col min="13" max="13" width="10.7109375" bestFit="1" customWidth="1"/>
    <col min="14" max="14" width="22.85546875" bestFit="1" customWidth="1"/>
    <col min="15" max="15" width="24" bestFit="1" customWidth="1"/>
  </cols>
  <sheetData>
    <row r="1" spans="1:15" ht="15.75" thickBot="1" x14ac:dyDescent="0.3">
      <c r="A1" s="3" t="s">
        <v>549</v>
      </c>
    </row>
    <row r="2" spans="1:15" x14ac:dyDescent="0.25">
      <c r="A2" s="2" t="s">
        <v>550</v>
      </c>
    </row>
    <row r="3" spans="1:15" x14ac:dyDescent="0.25">
      <c r="A3" s="1" t="s">
        <v>551</v>
      </c>
    </row>
    <row r="4" spans="1:15" ht="15.75" thickBot="1" x14ac:dyDescent="0.3">
      <c r="A4" s="1" t="s">
        <v>552</v>
      </c>
    </row>
    <row r="5" spans="1:15" ht="15.75" thickBot="1" x14ac:dyDescent="0.3">
      <c r="A5" s="4" t="s">
        <v>553</v>
      </c>
      <c r="B5" s="90" t="s">
        <v>554</v>
      </c>
      <c r="C5" s="91"/>
      <c r="D5" s="91"/>
      <c r="E5" s="91"/>
      <c r="F5" s="91"/>
      <c r="G5" s="91"/>
      <c r="H5" s="91"/>
      <c r="I5" s="91"/>
      <c r="J5" s="91"/>
      <c r="K5" s="91"/>
      <c r="L5" s="91"/>
      <c r="M5" s="91"/>
      <c r="N5" s="91"/>
      <c r="O5" s="92"/>
    </row>
    <row r="6" spans="1:15" ht="15.75" thickBot="1" x14ac:dyDescent="0.3">
      <c r="A6" s="5" t="s">
        <v>0</v>
      </c>
      <c r="B6" s="6" t="s">
        <v>534</v>
      </c>
      <c r="C6" s="6" t="s">
        <v>535</v>
      </c>
      <c r="D6" s="6" t="s">
        <v>536</v>
      </c>
      <c r="E6" s="6" t="s">
        <v>537</v>
      </c>
      <c r="F6" s="6" t="s">
        <v>538</v>
      </c>
      <c r="G6" s="6" t="s">
        <v>539</v>
      </c>
      <c r="H6" s="6" t="s">
        <v>540</v>
      </c>
      <c r="I6" s="6" t="s">
        <v>541</v>
      </c>
      <c r="J6" s="6" t="s">
        <v>542</v>
      </c>
      <c r="K6" s="6" t="s">
        <v>543</v>
      </c>
      <c r="L6" s="6" t="s">
        <v>548</v>
      </c>
      <c r="M6" s="6" t="s">
        <v>544</v>
      </c>
      <c r="N6" s="6" t="s">
        <v>545</v>
      </c>
      <c r="O6" s="7" t="s">
        <v>547</v>
      </c>
    </row>
    <row r="7" spans="1:15" x14ac:dyDescent="0.25">
      <c r="A7" s="16" t="s">
        <v>1</v>
      </c>
      <c r="B7" s="34">
        <v>5.8</v>
      </c>
      <c r="C7" s="31">
        <v>5.8</v>
      </c>
      <c r="D7" s="31">
        <v>5.8</v>
      </c>
      <c r="E7" s="31">
        <v>5.8</v>
      </c>
      <c r="F7" s="31">
        <v>5.8</v>
      </c>
      <c r="G7" s="31">
        <v>5.8</v>
      </c>
      <c r="H7" s="31">
        <v>5.8</v>
      </c>
      <c r="I7" s="31">
        <v>5.8</v>
      </c>
      <c r="J7" s="31">
        <v>5.8</v>
      </c>
      <c r="K7" s="31">
        <v>5.8</v>
      </c>
      <c r="L7" s="31">
        <v>5.8</v>
      </c>
      <c r="M7" s="20">
        <v>13</v>
      </c>
      <c r="N7" s="20">
        <v>4</v>
      </c>
      <c r="O7" s="21">
        <v>1.06E-2</v>
      </c>
    </row>
    <row r="8" spans="1:15" x14ac:dyDescent="0.25">
      <c r="A8" s="16" t="s">
        <v>2</v>
      </c>
      <c r="B8" s="35">
        <v>2.6</v>
      </c>
      <c r="C8" s="32">
        <v>2.6</v>
      </c>
      <c r="D8" s="32">
        <v>2.6</v>
      </c>
      <c r="E8" s="32">
        <v>2.6</v>
      </c>
      <c r="F8" s="32">
        <v>2.6</v>
      </c>
      <c r="G8" s="32">
        <v>2.6</v>
      </c>
      <c r="H8" s="32">
        <v>2.6</v>
      </c>
      <c r="I8" s="32">
        <v>2.6</v>
      </c>
      <c r="J8" s="32">
        <v>2.6</v>
      </c>
      <c r="K8" s="32">
        <v>2.6</v>
      </c>
      <c r="L8" s="32">
        <v>2.6</v>
      </c>
      <c r="M8" s="23">
        <v>9</v>
      </c>
      <c r="N8" s="23">
        <v>1</v>
      </c>
      <c r="O8" s="24">
        <v>9.1000000000000004E-3</v>
      </c>
    </row>
    <row r="9" spans="1:15" x14ac:dyDescent="0.25">
      <c r="A9" s="16" t="s">
        <v>3</v>
      </c>
      <c r="B9" s="35">
        <v>4.4400000000000004</v>
      </c>
      <c r="C9" s="32">
        <v>4.4400000000000004</v>
      </c>
      <c r="D9" s="32">
        <v>4.4400000000000004</v>
      </c>
      <c r="E9" s="32">
        <v>4.4400000000000004</v>
      </c>
      <c r="F9" s="32">
        <v>4.76</v>
      </c>
      <c r="G9" s="32">
        <v>4.4400000000000004</v>
      </c>
      <c r="H9" s="32">
        <v>4.76</v>
      </c>
      <c r="I9" s="32">
        <v>4.28</v>
      </c>
      <c r="J9" s="32">
        <v>4.4400000000000004</v>
      </c>
      <c r="K9" s="32">
        <v>4.4400000000000004</v>
      </c>
      <c r="L9" s="32">
        <v>4.28</v>
      </c>
      <c r="M9" s="23">
        <v>11</v>
      </c>
      <c r="N9" s="23">
        <v>2.6</v>
      </c>
      <c r="O9" s="24">
        <v>1.0999999999999999E-2</v>
      </c>
    </row>
    <row r="10" spans="1:15" x14ac:dyDescent="0.25">
      <c r="A10" s="16" t="s">
        <v>4</v>
      </c>
      <c r="B10" s="35">
        <v>6.6</v>
      </c>
      <c r="C10" s="32">
        <v>6.6</v>
      </c>
      <c r="D10" s="32">
        <v>6.6</v>
      </c>
      <c r="E10" s="32">
        <v>6.6</v>
      </c>
      <c r="F10" s="32">
        <v>6.6</v>
      </c>
      <c r="G10" s="32">
        <v>6.6</v>
      </c>
      <c r="H10" s="32">
        <v>6.6</v>
      </c>
      <c r="I10" s="32">
        <v>6.6</v>
      </c>
      <c r="J10" s="32">
        <v>6.6</v>
      </c>
      <c r="K10" s="32">
        <v>6.6</v>
      </c>
      <c r="L10" s="32">
        <v>6.6</v>
      </c>
      <c r="M10" s="23">
        <v>13</v>
      </c>
      <c r="N10" s="23">
        <v>5</v>
      </c>
      <c r="O10" s="24">
        <v>1.0999999999999999E-2</v>
      </c>
    </row>
    <row r="11" spans="1:15" x14ac:dyDescent="0.25">
      <c r="A11" s="16" t="s">
        <v>5</v>
      </c>
      <c r="B11" s="35">
        <v>3.52</v>
      </c>
      <c r="C11" s="32">
        <v>3.52</v>
      </c>
      <c r="D11" s="32">
        <v>3.52</v>
      </c>
      <c r="E11" s="32">
        <v>3.52</v>
      </c>
      <c r="F11" s="32">
        <v>3.52</v>
      </c>
      <c r="G11" s="32">
        <v>3.52</v>
      </c>
      <c r="H11" s="32">
        <v>3.52</v>
      </c>
      <c r="I11" s="32">
        <v>3.52</v>
      </c>
      <c r="J11" s="32">
        <v>3.52</v>
      </c>
      <c r="K11" s="32">
        <v>3.52</v>
      </c>
      <c r="L11" s="32">
        <v>3.52</v>
      </c>
      <c r="M11" s="23">
        <v>8</v>
      </c>
      <c r="N11" s="23">
        <v>2.4</v>
      </c>
      <c r="O11" s="24">
        <v>9.1000000000000004E-3</v>
      </c>
    </row>
    <row r="12" spans="1:15" x14ac:dyDescent="0.25">
      <c r="A12" s="16" t="s">
        <v>6</v>
      </c>
      <c r="B12" s="35">
        <v>3.12</v>
      </c>
      <c r="C12" s="32">
        <v>3.12</v>
      </c>
      <c r="D12" s="32">
        <v>3.16</v>
      </c>
      <c r="E12" s="32">
        <v>3.44</v>
      </c>
      <c r="F12" s="32">
        <v>3.16</v>
      </c>
      <c r="G12" s="32">
        <v>3.44</v>
      </c>
      <c r="H12" s="32">
        <v>3.12</v>
      </c>
      <c r="I12" s="32">
        <v>3.12</v>
      </c>
      <c r="J12" s="32">
        <v>3.12</v>
      </c>
      <c r="K12" s="32">
        <v>3.12</v>
      </c>
      <c r="L12" s="32">
        <v>3.12</v>
      </c>
      <c r="M12" s="23">
        <v>10</v>
      </c>
      <c r="N12" s="23">
        <v>1.4</v>
      </c>
      <c r="O12" s="24">
        <v>1.06E-2</v>
      </c>
    </row>
    <row r="13" spans="1:15" x14ac:dyDescent="0.25">
      <c r="A13" s="16" t="s">
        <v>7</v>
      </c>
      <c r="B13" s="35">
        <v>3.64</v>
      </c>
      <c r="C13" s="32">
        <v>3.64</v>
      </c>
      <c r="D13" s="32">
        <v>3.44</v>
      </c>
      <c r="E13" s="32">
        <v>3.12</v>
      </c>
      <c r="F13" s="32">
        <v>3.12</v>
      </c>
      <c r="G13" s="32">
        <v>3.12</v>
      </c>
      <c r="H13" s="32">
        <v>3.16</v>
      </c>
      <c r="I13" s="32">
        <v>3.12</v>
      </c>
      <c r="J13" s="32">
        <v>3.12</v>
      </c>
      <c r="K13" s="32">
        <v>3.12</v>
      </c>
      <c r="L13" s="32">
        <v>3.12</v>
      </c>
      <c r="M13" s="23">
        <v>10</v>
      </c>
      <c r="N13" s="23">
        <v>1.4</v>
      </c>
      <c r="O13" s="24">
        <v>0.01</v>
      </c>
    </row>
    <row r="14" spans="1:15" x14ac:dyDescent="0.25">
      <c r="A14" s="16" t="s">
        <v>8</v>
      </c>
      <c r="B14" s="35">
        <v>2.8</v>
      </c>
      <c r="C14" s="32">
        <v>2.8</v>
      </c>
      <c r="D14" s="32">
        <v>2.8</v>
      </c>
      <c r="E14" s="32">
        <v>2.8</v>
      </c>
      <c r="F14" s="32">
        <v>2.8</v>
      </c>
      <c r="G14" s="32">
        <v>2.8</v>
      </c>
      <c r="H14" s="32">
        <v>2.8</v>
      </c>
      <c r="I14" s="32">
        <v>2.8</v>
      </c>
      <c r="J14" s="32">
        <v>2.8</v>
      </c>
      <c r="K14" s="32">
        <v>2.8</v>
      </c>
      <c r="L14" s="32">
        <v>2.8</v>
      </c>
      <c r="M14" s="23">
        <v>10</v>
      </c>
      <c r="N14" s="23">
        <v>1</v>
      </c>
      <c r="O14" s="24">
        <v>9.4999999999999998E-3</v>
      </c>
    </row>
    <row r="15" spans="1:15" x14ac:dyDescent="0.25">
      <c r="A15" s="16" t="s">
        <v>9</v>
      </c>
      <c r="B15" s="35">
        <v>5.16</v>
      </c>
      <c r="C15" s="32">
        <v>4.84</v>
      </c>
      <c r="D15" s="32">
        <v>5.2</v>
      </c>
      <c r="E15" s="32">
        <v>5.2</v>
      </c>
      <c r="F15" s="32">
        <v>5.2</v>
      </c>
      <c r="G15" s="32">
        <v>5.2</v>
      </c>
      <c r="H15" s="32">
        <v>5.2</v>
      </c>
      <c r="I15" s="32">
        <v>4.84</v>
      </c>
      <c r="J15" s="32">
        <v>5</v>
      </c>
      <c r="K15" s="32">
        <v>5</v>
      </c>
      <c r="L15" s="32">
        <v>4.84</v>
      </c>
      <c r="M15" s="23">
        <v>9</v>
      </c>
      <c r="N15" s="23">
        <v>3.8</v>
      </c>
      <c r="O15" s="24">
        <v>0.01</v>
      </c>
    </row>
    <row r="16" spans="1:15" x14ac:dyDescent="0.25">
      <c r="A16" s="16" t="s">
        <v>10</v>
      </c>
      <c r="B16" s="35">
        <v>5</v>
      </c>
      <c r="C16" s="32">
        <v>5</v>
      </c>
      <c r="D16" s="32">
        <v>5</v>
      </c>
      <c r="E16" s="32">
        <v>5</v>
      </c>
      <c r="F16" s="32">
        <v>5</v>
      </c>
      <c r="G16" s="32">
        <v>5</v>
      </c>
      <c r="H16" s="32">
        <v>5</v>
      </c>
      <c r="I16" s="32">
        <v>5</v>
      </c>
      <c r="J16" s="32">
        <v>5</v>
      </c>
      <c r="K16" s="32">
        <v>5</v>
      </c>
      <c r="L16" s="32">
        <v>5</v>
      </c>
      <c r="M16" s="23">
        <v>13</v>
      </c>
      <c r="N16" s="23">
        <v>3</v>
      </c>
      <c r="O16" s="24">
        <v>1.1900000000000001E-2</v>
      </c>
    </row>
    <row r="17" spans="1:15" x14ac:dyDescent="0.25">
      <c r="A17" s="16" t="s">
        <v>11</v>
      </c>
      <c r="B17" s="35">
        <v>5.08</v>
      </c>
      <c r="C17" s="32">
        <v>5.08</v>
      </c>
      <c r="D17" s="32">
        <v>5.56</v>
      </c>
      <c r="E17" s="32">
        <v>5.08</v>
      </c>
      <c r="F17" s="32">
        <v>5.08</v>
      </c>
      <c r="G17" s="32">
        <v>5.24</v>
      </c>
      <c r="H17" s="32">
        <v>5.08</v>
      </c>
      <c r="I17" s="32">
        <v>5.08</v>
      </c>
      <c r="J17" s="32">
        <v>5.08</v>
      </c>
      <c r="K17" s="32">
        <v>5.08</v>
      </c>
      <c r="L17" s="32">
        <v>5.08</v>
      </c>
      <c r="M17" s="23">
        <v>11</v>
      </c>
      <c r="N17" s="23">
        <v>3.6</v>
      </c>
      <c r="O17" s="24">
        <v>1.15E-2</v>
      </c>
    </row>
    <row r="18" spans="1:15" x14ac:dyDescent="0.25">
      <c r="A18" s="16" t="s">
        <v>12</v>
      </c>
      <c r="B18" s="35">
        <v>3.72</v>
      </c>
      <c r="C18" s="32">
        <v>3.72</v>
      </c>
      <c r="D18" s="32">
        <v>3.72</v>
      </c>
      <c r="E18" s="32">
        <v>3.72</v>
      </c>
      <c r="F18" s="32">
        <v>3.72</v>
      </c>
      <c r="G18" s="32">
        <v>3.72</v>
      </c>
      <c r="H18" s="32">
        <v>3.72</v>
      </c>
      <c r="I18" s="32">
        <v>3.72</v>
      </c>
      <c r="J18" s="32">
        <v>3.72</v>
      </c>
      <c r="K18" s="32">
        <v>3.72</v>
      </c>
      <c r="L18" s="32">
        <v>3.72</v>
      </c>
      <c r="M18" s="23">
        <v>9</v>
      </c>
      <c r="N18" s="23">
        <v>2.4</v>
      </c>
      <c r="O18" s="24">
        <v>9.9000000000000008E-3</v>
      </c>
    </row>
    <row r="19" spans="1:15" x14ac:dyDescent="0.25">
      <c r="A19" s="16" t="s">
        <v>13</v>
      </c>
      <c r="B19" s="35">
        <v>5</v>
      </c>
      <c r="C19" s="32">
        <v>5</v>
      </c>
      <c r="D19" s="32">
        <v>5</v>
      </c>
      <c r="E19" s="32">
        <v>5</v>
      </c>
      <c r="F19" s="32">
        <v>5</v>
      </c>
      <c r="G19" s="32">
        <v>5</v>
      </c>
      <c r="H19" s="32">
        <v>5</v>
      </c>
      <c r="I19" s="32">
        <v>5</v>
      </c>
      <c r="J19" s="32">
        <v>5</v>
      </c>
      <c r="K19" s="32">
        <v>5</v>
      </c>
      <c r="L19" s="32">
        <v>5</v>
      </c>
      <c r="M19" s="23">
        <v>13</v>
      </c>
      <c r="N19" s="23">
        <v>3</v>
      </c>
      <c r="O19" s="24">
        <v>1.15E-2</v>
      </c>
    </row>
    <row r="20" spans="1:15" x14ac:dyDescent="0.25">
      <c r="A20" s="16" t="s">
        <v>14</v>
      </c>
      <c r="B20" s="35">
        <v>1.76</v>
      </c>
      <c r="C20" s="32">
        <v>1.76</v>
      </c>
      <c r="D20" s="32">
        <v>1.76</v>
      </c>
      <c r="E20" s="32">
        <v>1.76</v>
      </c>
      <c r="F20" s="32">
        <v>1.76</v>
      </c>
      <c r="G20" s="32">
        <v>1.76</v>
      </c>
      <c r="H20" s="32">
        <v>1.76</v>
      </c>
      <c r="I20" s="32">
        <v>1.76</v>
      </c>
      <c r="J20" s="32">
        <v>1.76</v>
      </c>
      <c r="K20" s="32">
        <v>1.76</v>
      </c>
      <c r="L20" s="32">
        <v>1.76</v>
      </c>
      <c r="M20" s="23">
        <v>8</v>
      </c>
      <c r="N20" s="23">
        <v>0.2</v>
      </c>
      <c r="O20" s="24">
        <v>8.0999999999999996E-3</v>
      </c>
    </row>
    <row r="21" spans="1:15" x14ac:dyDescent="0.25">
      <c r="A21" s="16" t="s">
        <v>15</v>
      </c>
      <c r="B21" s="35">
        <v>3.76</v>
      </c>
      <c r="C21" s="32">
        <v>3.76</v>
      </c>
      <c r="D21" s="32">
        <v>3.76</v>
      </c>
      <c r="E21" s="32">
        <v>3.76</v>
      </c>
      <c r="F21" s="32">
        <v>3.76</v>
      </c>
      <c r="G21" s="32">
        <v>3.76</v>
      </c>
      <c r="H21" s="32">
        <v>3.76</v>
      </c>
      <c r="I21" s="32">
        <v>3.76</v>
      </c>
      <c r="J21" s="32">
        <v>3.76</v>
      </c>
      <c r="K21" s="32">
        <v>3.76</v>
      </c>
      <c r="L21" s="32">
        <v>3.76</v>
      </c>
      <c r="M21" s="23">
        <v>10</v>
      </c>
      <c r="N21" s="23">
        <v>2.2000000000000002</v>
      </c>
      <c r="O21" s="24">
        <v>1.03E-2</v>
      </c>
    </row>
    <row r="22" spans="1:15" x14ac:dyDescent="0.25">
      <c r="A22" s="16" t="s">
        <v>16</v>
      </c>
      <c r="B22" s="35">
        <v>4.12</v>
      </c>
      <c r="C22" s="32">
        <v>4.12</v>
      </c>
      <c r="D22" s="32">
        <v>4.12</v>
      </c>
      <c r="E22" s="32">
        <v>4.12</v>
      </c>
      <c r="F22" s="32">
        <v>4.12</v>
      </c>
      <c r="G22" s="32">
        <v>4.12</v>
      </c>
      <c r="H22" s="32">
        <v>4.12</v>
      </c>
      <c r="I22" s="32">
        <v>4.12</v>
      </c>
      <c r="J22" s="32">
        <v>4.12</v>
      </c>
      <c r="K22" s="32">
        <v>4.12</v>
      </c>
      <c r="L22" s="32">
        <v>4.12</v>
      </c>
      <c r="M22" s="23">
        <v>11</v>
      </c>
      <c r="N22" s="23">
        <v>2.4</v>
      </c>
      <c r="O22" s="24">
        <v>1.2E-2</v>
      </c>
    </row>
    <row r="23" spans="1:15" x14ac:dyDescent="0.25">
      <c r="A23" s="16" t="s">
        <v>17</v>
      </c>
      <c r="B23" s="35">
        <v>2.88</v>
      </c>
      <c r="C23" s="32">
        <v>2.88</v>
      </c>
      <c r="D23" s="32">
        <v>2.88</v>
      </c>
      <c r="E23" s="32">
        <v>2.88</v>
      </c>
      <c r="F23" s="32">
        <v>2.88</v>
      </c>
      <c r="G23" s="32">
        <v>2.88</v>
      </c>
      <c r="H23" s="32">
        <v>2.88</v>
      </c>
      <c r="I23" s="32">
        <v>2.88</v>
      </c>
      <c r="J23" s="32">
        <v>2.88</v>
      </c>
      <c r="K23" s="32">
        <v>2.88</v>
      </c>
      <c r="L23" s="32">
        <v>2.88</v>
      </c>
      <c r="M23" s="23">
        <v>8</v>
      </c>
      <c r="N23" s="23">
        <v>1.6</v>
      </c>
      <c r="O23" s="24">
        <v>8.9999999999999993E-3</v>
      </c>
    </row>
    <row r="24" spans="1:15" x14ac:dyDescent="0.25">
      <c r="A24" s="16" t="s">
        <v>18</v>
      </c>
      <c r="B24" s="35">
        <v>2.2400000000000002</v>
      </c>
      <c r="C24" s="32">
        <v>2.2400000000000002</v>
      </c>
      <c r="D24" s="32">
        <v>2.4</v>
      </c>
      <c r="E24" s="32">
        <v>2.2400000000000002</v>
      </c>
      <c r="F24" s="32">
        <v>2.2400000000000002</v>
      </c>
      <c r="G24" s="32">
        <v>2.2400000000000002</v>
      </c>
      <c r="H24" s="32">
        <v>2.2400000000000002</v>
      </c>
      <c r="I24" s="32">
        <v>2.2400000000000002</v>
      </c>
      <c r="J24" s="32">
        <v>2.2400000000000002</v>
      </c>
      <c r="K24" s="32">
        <v>2.2400000000000002</v>
      </c>
      <c r="L24" s="32">
        <v>2.2400000000000002</v>
      </c>
      <c r="M24" s="23">
        <v>8</v>
      </c>
      <c r="N24" s="23">
        <v>0.8</v>
      </c>
      <c r="O24" s="24">
        <v>9.1000000000000004E-3</v>
      </c>
    </row>
    <row r="25" spans="1:15" x14ac:dyDescent="0.25">
      <c r="A25" s="16" t="s">
        <v>19</v>
      </c>
      <c r="B25" s="35">
        <v>4.76</v>
      </c>
      <c r="C25" s="32">
        <v>4.76</v>
      </c>
      <c r="D25" s="32">
        <v>4.76</v>
      </c>
      <c r="E25" s="32">
        <v>4.76</v>
      </c>
      <c r="F25" s="32">
        <v>4.76</v>
      </c>
      <c r="G25" s="32">
        <v>4.76</v>
      </c>
      <c r="H25" s="32">
        <v>4.76</v>
      </c>
      <c r="I25" s="32">
        <v>4.76</v>
      </c>
      <c r="J25" s="32">
        <v>4.76</v>
      </c>
      <c r="K25" s="32">
        <v>4.76</v>
      </c>
      <c r="L25" s="32">
        <v>4.76</v>
      </c>
      <c r="M25" s="23">
        <v>11</v>
      </c>
      <c r="N25" s="23">
        <v>3.2</v>
      </c>
      <c r="O25" s="24">
        <v>1.12E-2</v>
      </c>
    </row>
    <row r="26" spans="1:15" x14ac:dyDescent="0.25">
      <c r="A26" s="16" t="s">
        <v>20</v>
      </c>
      <c r="B26" s="35">
        <v>5.2</v>
      </c>
      <c r="C26" s="32">
        <v>5.2</v>
      </c>
      <c r="D26" s="32">
        <v>5.2</v>
      </c>
      <c r="E26" s="32">
        <v>5.2</v>
      </c>
      <c r="F26" s="32">
        <v>5.2</v>
      </c>
      <c r="G26" s="32">
        <v>5.2</v>
      </c>
      <c r="H26" s="32">
        <v>5.2</v>
      </c>
      <c r="I26" s="32">
        <v>5.2</v>
      </c>
      <c r="J26" s="32">
        <v>5.2</v>
      </c>
      <c r="K26" s="32">
        <v>5.2</v>
      </c>
      <c r="L26" s="32">
        <v>5.2</v>
      </c>
      <c r="M26" s="23">
        <v>14</v>
      </c>
      <c r="N26" s="23">
        <v>3</v>
      </c>
      <c r="O26" s="24">
        <v>1.2500000000000001E-2</v>
      </c>
    </row>
    <row r="27" spans="1:15" x14ac:dyDescent="0.25">
      <c r="A27" s="16" t="s">
        <v>21</v>
      </c>
      <c r="B27" s="35">
        <v>3.44</v>
      </c>
      <c r="C27" s="32">
        <v>3.44</v>
      </c>
      <c r="D27" s="32">
        <v>3.48</v>
      </c>
      <c r="E27" s="32">
        <v>3.44</v>
      </c>
      <c r="F27" s="32">
        <v>3.32</v>
      </c>
      <c r="G27" s="32">
        <v>3.48</v>
      </c>
      <c r="H27" s="32">
        <v>3.32</v>
      </c>
      <c r="I27" s="32">
        <v>3.44</v>
      </c>
      <c r="J27" s="32">
        <v>3.32</v>
      </c>
      <c r="K27" s="32">
        <v>3.44</v>
      </c>
      <c r="L27" s="32">
        <v>3.32</v>
      </c>
      <c r="M27" s="23">
        <v>11</v>
      </c>
      <c r="N27" s="23">
        <v>1.4</v>
      </c>
      <c r="O27" s="24">
        <v>1.01E-2</v>
      </c>
    </row>
    <row r="28" spans="1:15" x14ac:dyDescent="0.25">
      <c r="A28" s="16" t="s">
        <v>22</v>
      </c>
      <c r="B28" s="35">
        <v>6.36</v>
      </c>
      <c r="C28" s="32">
        <v>6.36</v>
      </c>
      <c r="D28" s="32">
        <v>6.36</v>
      </c>
      <c r="E28" s="32">
        <v>6.36</v>
      </c>
      <c r="F28" s="32">
        <v>6.36</v>
      </c>
      <c r="G28" s="32">
        <v>6.36</v>
      </c>
      <c r="H28" s="32">
        <v>6.36</v>
      </c>
      <c r="I28" s="32">
        <v>6.36</v>
      </c>
      <c r="J28" s="32">
        <v>6.36</v>
      </c>
      <c r="K28" s="32">
        <v>6.36</v>
      </c>
      <c r="L28" s="32">
        <v>6.36</v>
      </c>
      <c r="M28" s="23">
        <v>15</v>
      </c>
      <c r="N28" s="23">
        <v>4.2</v>
      </c>
      <c r="O28" s="24">
        <v>1.2500000000000001E-2</v>
      </c>
    </row>
    <row r="29" spans="1:15" x14ac:dyDescent="0.25">
      <c r="A29" s="16" t="s">
        <v>23</v>
      </c>
      <c r="B29" s="35">
        <v>4.4000000000000004</v>
      </c>
      <c r="C29" s="32">
        <v>4.4000000000000004</v>
      </c>
      <c r="D29" s="32">
        <v>4.24</v>
      </c>
      <c r="E29" s="32">
        <v>4.24</v>
      </c>
      <c r="F29" s="32">
        <v>4.4000000000000004</v>
      </c>
      <c r="G29" s="32">
        <v>4.4000000000000004</v>
      </c>
      <c r="H29" s="32">
        <v>4.4000000000000004</v>
      </c>
      <c r="I29" s="32">
        <v>4.4000000000000004</v>
      </c>
      <c r="J29" s="32">
        <v>4.4000000000000004</v>
      </c>
      <c r="K29" s="32">
        <v>4.24</v>
      </c>
      <c r="L29" s="32">
        <v>4.24</v>
      </c>
      <c r="M29" s="23">
        <v>10</v>
      </c>
      <c r="N29" s="23">
        <v>2.8</v>
      </c>
      <c r="O29" s="24">
        <v>1.03E-2</v>
      </c>
    </row>
    <row r="30" spans="1:15" x14ac:dyDescent="0.25">
      <c r="A30" s="16" t="s">
        <v>24</v>
      </c>
      <c r="B30" s="35">
        <v>5.08</v>
      </c>
      <c r="C30" s="32">
        <v>4.5999999999999996</v>
      </c>
      <c r="D30" s="32">
        <v>4.5999999999999996</v>
      </c>
      <c r="E30" s="32">
        <v>4.8</v>
      </c>
      <c r="F30" s="32">
        <v>5.24</v>
      </c>
      <c r="G30" s="32">
        <v>5.24</v>
      </c>
      <c r="H30" s="32">
        <v>5.08</v>
      </c>
      <c r="I30" s="32">
        <v>4.4400000000000004</v>
      </c>
      <c r="J30" s="32">
        <v>5.08</v>
      </c>
      <c r="K30" s="32">
        <v>5.24</v>
      </c>
      <c r="L30" s="32">
        <v>4.4400000000000004</v>
      </c>
      <c r="M30" s="23">
        <v>11</v>
      </c>
      <c r="N30" s="23">
        <v>2.8</v>
      </c>
      <c r="O30" s="24">
        <v>1.11E-2</v>
      </c>
    </row>
    <row r="31" spans="1:15" x14ac:dyDescent="0.25">
      <c r="A31" s="16" t="s">
        <v>25</v>
      </c>
      <c r="B31" s="35">
        <v>4.28</v>
      </c>
      <c r="C31" s="32">
        <v>4.28</v>
      </c>
      <c r="D31" s="32">
        <v>4.28</v>
      </c>
      <c r="E31" s="32">
        <v>4.28</v>
      </c>
      <c r="F31" s="32">
        <v>4.28</v>
      </c>
      <c r="G31" s="32">
        <v>4.28</v>
      </c>
      <c r="H31" s="32">
        <v>4.28</v>
      </c>
      <c r="I31" s="32">
        <v>4.28</v>
      </c>
      <c r="J31" s="32">
        <v>4.28</v>
      </c>
      <c r="K31" s="32">
        <v>4.28</v>
      </c>
      <c r="L31" s="32">
        <v>4.28</v>
      </c>
      <c r="M31" s="23">
        <v>11</v>
      </c>
      <c r="N31" s="23">
        <v>2.6</v>
      </c>
      <c r="O31" s="24">
        <v>1.11E-2</v>
      </c>
    </row>
    <row r="32" spans="1:15" x14ac:dyDescent="0.25">
      <c r="A32" s="16" t="s">
        <v>26</v>
      </c>
      <c r="B32" s="35">
        <v>3.8</v>
      </c>
      <c r="C32" s="32">
        <v>3.8</v>
      </c>
      <c r="D32" s="32">
        <v>3.8</v>
      </c>
      <c r="E32" s="32">
        <v>3.8</v>
      </c>
      <c r="F32" s="32">
        <v>3.8</v>
      </c>
      <c r="G32" s="32">
        <v>3.8</v>
      </c>
      <c r="H32" s="32">
        <v>3.8</v>
      </c>
      <c r="I32" s="32">
        <v>3.8</v>
      </c>
      <c r="J32" s="32">
        <v>3.8</v>
      </c>
      <c r="K32" s="32">
        <v>3.8</v>
      </c>
      <c r="L32" s="32">
        <v>3.8</v>
      </c>
      <c r="M32" s="23">
        <v>11</v>
      </c>
      <c r="N32" s="23">
        <v>2</v>
      </c>
      <c r="O32" s="24">
        <v>1.11E-2</v>
      </c>
    </row>
    <row r="33" spans="1:15" x14ac:dyDescent="0.25">
      <c r="A33" s="16" t="s">
        <v>27</v>
      </c>
      <c r="B33" s="35">
        <v>2.44</v>
      </c>
      <c r="C33" s="32">
        <v>2.44</v>
      </c>
      <c r="D33" s="32">
        <v>2.44</v>
      </c>
      <c r="E33" s="32">
        <v>2.44</v>
      </c>
      <c r="F33" s="32">
        <v>2.44</v>
      </c>
      <c r="G33" s="32">
        <v>2.44</v>
      </c>
      <c r="H33" s="32">
        <v>2.44</v>
      </c>
      <c r="I33" s="32">
        <v>2.44</v>
      </c>
      <c r="J33" s="32">
        <v>2.44</v>
      </c>
      <c r="K33" s="32">
        <v>2.44</v>
      </c>
      <c r="L33" s="32">
        <v>2.44</v>
      </c>
      <c r="M33" s="23">
        <v>9</v>
      </c>
      <c r="N33" s="23">
        <v>0.8</v>
      </c>
      <c r="O33" s="24">
        <v>8.7999999999999988E-3</v>
      </c>
    </row>
    <row r="34" spans="1:15" x14ac:dyDescent="0.25">
      <c r="A34" s="16" t="s">
        <v>28</v>
      </c>
      <c r="B34" s="35">
        <v>3</v>
      </c>
      <c r="C34" s="32">
        <v>3</v>
      </c>
      <c r="D34" s="32">
        <v>3</v>
      </c>
      <c r="E34" s="32">
        <v>2.48</v>
      </c>
      <c r="F34" s="32">
        <v>2.64</v>
      </c>
      <c r="G34" s="32">
        <v>3</v>
      </c>
      <c r="H34" s="32">
        <v>2.64</v>
      </c>
      <c r="I34" s="32">
        <v>3</v>
      </c>
      <c r="J34" s="32">
        <v>2.64</v>
      </c>
      <c r="K34" s="32">
        <v>3</v>
      </c>
      <c r="L34" s="32">
        <v>2.48</v>
      </c>
      <c r="M34" s="23">
        <v>10</v>
      </c>
      <c r="N34" s="23">
        <v>0.6</v>
      </c>
      <c r="O34" s="24">
        <v>0.01</v>
      </c>
    </row>
    <row r="35" spans="1:15" x14ac:dyDescent="0.25">
      <c r="A35" s="16" t="s">
        <v>29</v>
      </c>
      <c r="B35" s="35">
        <v>6.2</v>
      </c>
      <c r="C35" s="32">
        <v>6.2</v>
      </c>
      <c r="D35" s="32">
        <v>6.2</v>
      </c>
      <c r="E35" s="32">
        <v>6.2</v>
      </c>
      <c r="F35" s="32">
        <v>6.2</v>
      </c>
      <c r="G35" s="32">
        <v>6.2</v>
      </c>
      <c r="H35" s="32">
        <v>6.2</v>
      </c>
      <c r="I35" s="32">
        <v>6.2</v>
      </c>
      <c r="J35" s="32">
        <v>6.2</v>
      </c>
      <c r="K35" s="32">
        <v>6.2</v>
      </c>
      <c r="L35" s="32">
        <v>6.2</v>
      </c>
      <c r="M35" s="23">
        <v>11</v>
      </c>
      <c r="N35" s="23">
        <v>5</v>
      </c>
      <c r="O35" s="24">
        <v>1.0999999999999999E-2</v>
      </c>
    </row>
    <row r="36" spans="1:15" x14ac:dyDescent="0.25">
      <c r="A36" s="16" t="s">
        <v>30</v>
      </c>
      <c r="B36" s="35">
        <v>4.5199999999999996</v>
      </c>
      <c r="C36" s="32">
        <v>4.5199999999999996</v>
      </c>
      <c r="D36" s="32">
        <v>4.68</v>
      </c>
      <c r="E36" s="32">
        <v>4.5199999999999996</v>
      </c>
      <c r="F36" s="32">
        <v>4.5199999999999996</v>
      </c>
      <c r="G36" s="32">
        <v>4.5199999999999996</v>
      </c>
      <c r="H36" s="32">
        <v>4.5199999999999996</v>
      </c>
      <c r="I36" s="32">
        <v>4.5199999999999996</v>
      </c>
      <c r="J36" s="32">
        <v>4.5199999999999996</v>
      </c>
      <c r="K36" s="32">
        <v>4.5199999999999996</v>
      </c>
      <c r="L36" s="32">
        <v>4.5199999999999996</v>
      </c>
      <c r="M36" s="23">
        <v>13</v>
      </c>
      <c r="N36" s="23">
        <v>2.4</v>
      </c>
      <c r="O36" s="24">
        <v>1.21E-2</v>
      </c>
    </row>
    <row r="37" spans="1:15" x14ac:dyDescent="0.25">
      <c r="A37" s="16" t="s">
        <v>31</v>
      </c>
      <c r="B37" s="35">
        <v>6.24</v>
      </c>
      <c r="C37" s="32">
        <v>6.24</v>
      </c>
      <c r="D37" s="32">
        <v>6.24</v>
      </c>
      <c r="E37" s="32">
        <v>6.24</v>
      </c>
      <c r="F37" s="32">
        <v>6.24</v>
      </c>
      <c r="G37" s="32">
        <v>6.24</v>
      </c>
      <c r="H37" s="32">
        <v>6.24</v>
      </c>
      <c r="I37" s="32">
        <v>6.24</v>
      </c>
      <c r="J37" s="32">
        <v>6.24</v>
      </c>
      <c r="K37" s="32">
        <v>6.24</v>
      </c>
      <c r="L37" s="32">
        <v>6.24</v>
      </c>
      <c r="M37" s="23">
        <v>12</v>
      </c>
      <c r="N37" s="23">
        <v>4.8</v>
      </c>
      <c r="O37" s="24">
        <v>1.1900000000000001E-2</v>
      </c>
    </row>
    <row r="38" spans="1:15" x14ac:dyDescent="0.25">
      <c r="A38" s="16" t="s">
        <v>32</v>
      </c>
      <c r="B38" s="35">
        <v>2.6</v>
      </c>
      <c r="C38" s="32">
        <v>2.6</v>
      </c>
      <c r="D38" s="32">
        <v>2.8</v>
      </c>
      <c r="E38" s="32">
        <v>2.6</v>
      </c>
      <c r="F38" s="32">
        <v>2.6</v>
      </c>
      <c r="G38" s="32">
        <v>2.8</v>
      </c>
      <c r="H38" s="32">
        <v>2.8</v>
      </c>
      <c r="I38" s="32">
        <v>2.8</v>
      </c>
      <c r="J38" s="32">
        <v>2.6</v>
      </c>
      <c r="K38" s="32">
        <v>2.6</v>
      </c>
      <c r="L38" s="32">
        <v>2.6</v>
      </c>
      <c r="M38" s="23">
        <v>9</v>
      </c>
      <c r="N38" s="23">
        <v>1</v>
      </c>
      <c r="O38" s="24">
        <v>0.01</v>
      </c>
    </row>
    <row r="39" spans="1:15" x14ac:dyDescent="0.25">
      <c r="A39" s="16" t="s">
        <v>33</v>
      </c>
      <c r="B39" s="35">
        <v>3.68</v>
      </c>
      <c r="C39" s="32">
        <v>3.52</v>
      </c>
      <c r="D39" s="32">
        <v>3.52</v>
      </c>
      <c r="E39" s="32">
        <v>3.36</v>
      </c>
      <c r="F39" s="32">
        <v>3.52</v>
      </c>
      <c r="G39" s="32">
        <v>3.36</v>
      </c>
      <c r="H39" s="32">
        <v>3.52</v>
      </c>
      <c r="I39" s="32">
        <v>3.52</v>
      </c>
      <c r="J39" s="32">
        <v>3.52</v>
      </c>
      <c r="K39" s="32">
        <v>3.52</v>
      </c>
      <c r="L39" s="32">
        <v>3.36</v>
      </c>
      <c r="M39" s="23">
        <v>8</v>
      </c>
      <c r="N39" s="23">
        <v>2.2000000000000002</v>
      </c>
      <c r="O39" s="24">
        <v>8.7999999999999988E-3</v>
      </c>
    </row>
    <row r="40" spans="1:15" x14ac:dyDescent="0.25">
      <c r="A40" s="16" t="s">
        <v>34</v>
      </c>
      <c r="B40" s="35">
        <v>2.8</v>
      </c>
      <c r="C40" s="32">
        <v>2.8</v>
      </c>
      <c r="D40" s="32">
        <v>2.8</v>
      </c>
      <c r="E40" s="32">
        <v>2.8</v>
      </c>
      <c r="F40" s="32">
        <v>2.8</v>
      </c>
      <c r="G40" s="32">
        <v>2.8</v>
      </c>
      <c r="H40" s="32">
        <v>2.8</v>
      </c>
      <c r="I40" s="32">
        <v>2.8</v>
      </c>
      <c r="J40" s="32">
        <v>2.8</v>
      </c>
      <c r="K40" s="32">
        <v>2.8</v>
      </c>
      <c r="L40" s="32">
        <v>2.8</v>
      </c>
      <c r="M40" s="23">
        <v>10</v>
      </c>
      <c r="N40" s="23">
        <v>1</v>
      </c>
      <c r="O40" s="24">
        <v>9.9000000000000008E-3</v>
      </c>
    </row>
    <row r="41" spans="1:15" x14ac:dyDescent="0.25">
      <c r="A41" s="16" t="s">
        <v>35</v>
      </c>
      <c r="B41" s="35">
        <v>3.8</v>
      </c>
      <c r="C41" s="32">
        <v>3.8</v>
      </c>
      <c r="D41" s="32">
        <v>3.8</v>
      </c>
      <c r="E41" s="32">
        <v>4.28</v>
      </c>
      <c r="F41" s="32">
        <v>4.12</v>
      </c>
      <c r="G41" s="32">
        <v>3.8</v>
      </c>
      <c r="H41" s="32">
        <v>4.12</v>
      </c>
      <c r="I41" s="32">
        <v>3.96</v>
      </c>
      <c r="J41" s="32">
        <v>3.96</v>
      </c>
      <c r="K41" s="32">
        <v>4.28</v>
      </c>
      <c r="L41" s="32">
        <v>3.8</v>
      </c>
      <c r="M41" s="23">
        <v>11</v>
      </c>
      <c r="N41" s="23">
        <v>2</v>
      </c>
      <c r="O41" s="24">
        <v>1.0999999999999999E-2</v>
      </c>
    </row>
    <row r="42" spans="1:15" x14ac:dyDescent="0.25">
      <c r="A42" s="16" t="s">
        <v>36</v>
      </c>
      <c r="B42" s="35">
        <v>5.8</v>
      </c>
      <c r="C42" s="32">
        <v>5.8</v>
      </c>
      <c r="D42" s="32">
        <v>5.8</v>
      </c>
      <c r="E42" s="32">
        <v>5.8</v>
      </c>
      <c r="F42" s="32">
        <v>5.8</v>
      </c>
      <c r="G42" s="32">
        <v>5.8</v>
      </c>
      <c r="H42" s="32">
        <v>5.8</v>
      </c>
      <c r="I42" s="32">
        <v>5.8</v>
      </c>
      <c r="J42" s="32">
        <v>5.8</v>
      </c>
      <c r="K42" s="32">
        <v>5.8</v>
      </c>
      <c r="L42" s="32">
        <v>5.8</v>
      </c>
      <c r="M42" s="23">
        <v>13</v>
      </c>
      <c r="N42" s="23">
        <v>4</v>
      </c>
      <c r="O42" s="24">
        <v>1.18E-2</v>
      </c>
    </row>
    <row r="43" spans="1:15" x14ac:dyDescent="0.25">
      <c r="A43" s="16" t="s">
        <v>37</v>
      </c>
      <c r="B43" s="35">
        <v>5.88</v>
      </c>
      <c r="C43" s="32">
        <v>5.88</v>
      </c>
      <c r="D43" s="32">
        <v>5.88</v>
      </c>
      <c r="E43" s="32">
        <v>5.88</v>
      </c>
      <c r="F43" s="32">
        <v>5.88</v>
      </c>
      <c r="G43" s="32">
        <v>5.88</v>
      </c>
      <c r="H43" s="32">
        <v>5.88</v>
      </c>
      <c r="I43" s="32">
        <v>5.88</v>
      </c>
      <c r="J43" s="32">
        <v>5.88</v>
      </c>
      <c r="K43" s="32">
        <v>5.88</v>
      </c>
      <c r="L43" s="32">
        <v>5.88</v>
      </c>
      <c r="M43" s="23">
        <v>11</v>
      </c>
      <c r="N43" s="23">
        <v>4.5999999999999996</v>
      </c>
      <c r="O43" s="24">
        <v>1.0999999999999999E-2</v>
      </c>
    </row>
    <row r="44" spans="1:15" x14ac:dyDescent="0.25">
      <c r="A44" s="16" t="s">
        <v>38</v>
      </c>
      <c r="B44" s="35">
        <v>5.4</v>
      </c>
      <c r="C44" s="32">
        <v>5.4</v>
      </c>
      <c r="D44" s="32">
        <v>5.4</v>
      </c>
      <c r="E44" s="32">
        <v>5.4</v>
      </c>
      <c r="F44" s="32">
        <v>5.4</v>
      </c>
      <c r="G44" s="32">
        <v>5.4</v>
      </c>
      <c r="H44" s="32">
        <v>5.4</v>
      </c>
      <c r="I44" s="32">
        <v>5.4</v>
      </c>
      <c r="J44" s="32">
        <v>5.4</v>
      </c>
      <c r="K44" s="32">
        <v>5.4</v>
      </c>
      <c r="L44" s="32">
        <v>5.4</v>
      </c>
      <c r="M44" s="23">
        <v>11</v>
      </c>
      <c r="N44" s="23">
        <v>4</v>
      </c>
      <c r="O44" s="24">
        <v>1.1299999999999999E-2</v>
      </c>
    </row>
    <row r="45" spans="1:15" x14ac:dyDescent="0.25">
      <c r="A45" s="16" t="s">
        <v>39</v>
      </c>
      <c r="B45" s="35">
        <v>4.72</v>
      </c>
      <c r="C45" s="32">
        <v>5.04</v>
      </c>
      <c r="D45" s="32">
        <v>4.72</v>
      </c>
      <c r="E45" s="32">
        <v>5.04</v>
      </c>
      <c r="F45" s="32">
        <v>4.88</v>
      </c>
      <c r="G45" s="32">
        <v>5.04</v>
      </c>
      <c r="H45" s="32">
        <v>5.04</v>
      </c>
      <c r="I45" s="32">
        <v>5.04</v>
      </c>
      <c r="J45" s="32">
        <v>5.24</v>
      </c>
      <c r="K45" s="32">
        <v>5.04</v>
      </c>
      <c r="L45" s="32">
        <v>4.72</v>
      </c>
      <c r="M45" s="23">
        <v>10</v>
      </c>
      <c r="N45" s="23">
        <v>3.4</v>
      </c>
      <c r="O45" s="24">
        <v>1.01E-2</v>
      </c>
    </row>
    <row r="46" spans="1:15" x14ac:dyDescent="0.25">
      <c r="A46" s="16" t="s">
        <v>40</v>
      </c>
      <c r="B46" s="35">
        <v>2.96</v>
      </c>
      <c r="C46" s="32">
        <v>2.96</v>
      </c>
      <c r="D46" s="32">
        <v>2.96</v>
      </c>
      <c r="E46" s="32">
        <v>2.96</v>
      </c>
      <c r="F46" s="32">
        <v>2.96</v>
      </c>
      <c r="G46" s="32">
        <v>2.96</v>
      </c>
      <c r="H46" s="32">
        <v>2.96</v>
      </c>
      <c r="I46" s="32">
        <v>2.96</v>
      </c>
      <c r="J46" s="32">
        <v>2.96</v>
      </c>
      <c r="K46" s="32">
        <v>2.96</v>
      </c>
      <c r="L46" s="32">
        <v>2.96</v>
      </c>
      <c r="M46" s="23">
        <v>10</v>
      </c>
      <c r="N46" s="23">
        <v>1.2</v>
      </c>
      <c r="O46" s="24">
        <v>1.0500000000000001E-2</v>
      </c>
    </row>
    <row r="47" spans="1:15" x14ac:dyDescent="0.25">
      <c r="A47" s="16" t="s">
        <v>41</v>
      </c>
      <c r="B47" s="35">
        <v>1.96</v>
      </c>
      <c r="C47" s="32">
        <v>1.96</v>
      </c>
      <c r="D47" s="32">
        <v>1.96</v>
      </c>
      <c r="E47" s="32">
        <v>1.96</v>
      </c>
      <c r="F47" s="32">
        <v>1.96</v>
      </c>
      <c r="G47" s="32">
        <v>1.96</v>
      </c>
      <c r="H47" s="32">
        <v>2.12</v>
      </c>
      <c r="I47" s="32">
        <v>1.96</v>
      </c>
      <c r="J47" s="32">
        <v>2.12</v>
      </c>
      <c r="K47" s="32">
        <v>1.96</v>
      </c>
      <c r="L47" s="32">
        <v>1.96</v>
      </c>
      <c r="M47" s="23">
        <v>9</v>
      </c>
      <c r="N47" s="23">
        <v>0.2</v>
      </c>
      <c r="O47" s="24">
        <v>8.9999999999999993E-3</v>
      </c>
    </row>
    <row r="48" spans="1:15" x14ac:dyDescent="0.25">
      <c r="A48" s="16" t="s">
        <v>42</v>
      </c>
      <c r="B48" s="35">
        <v>3.44</v>
      </c>
      <c r="C48" s="32">
        <v>3.44</v>
      </c>
      <c r="D48" s="32">
        <v>3.44</v>
      </c>
      <c r="E48" s="32">
        <v>3.44</v>
      </c>
      <c r="F48" s="32">
        <v>3.44</v>
      </c>
      <c r="G48" s="32">
        <v>3.44</v>
      </c>
      <c r="H48" s="32">
        <v>3.44</v>
      </c>
      <c r="I48" s="32">
        <v>3.44</v>
      </c>
      <c r="J48" s="32">
        <v>3.44</v>
      </c>
      <c r="K48" s="32">
        <v>3.44</v>
      </c>
      <c r="L48" s="32">
        <v>3.44</v>
      </c>
      <c r="M48" s="23">
        <v>10</v>
      </c>
      <c r="N48" s="23">
        <v>1.8</v>
      </c>
      <c r="O48" s="24">
        <v>0.01</v>
      </c>
    </row>
    <row r="49" spans="1:15" x14ac:dyDescent="0.25">
      <c r="A49" s="16" t="s">
        <v>43</v>
      </c>
      <c r="B49" s="35">
        <v>3.28</v>
      </c>
      <c r="C49" s="32">
        <v>3.28</v>
      </c>
      <c r="D49" s="32">
        <v>3.12</v>
      </c>
      <c r="E49" s="32">
        <v>3.12</v>
      </c>
      <c r="F49" s="32">
        <v>3.12</v>
      </c>
      <c r="G49" s="32">
        <v>3.12</v>
      </c>
      <c r="H49" s="32">
        <v>3.12</v>
      </c>
      <c r="I49" s="32">
        <v>3.12</v>
      </c>
      <c r="J49" s="32">
        <v>3.12</v>
      </c>
      <c r="K49" s="32">
        <v>3.28</v>
      </c>
      <c r="L49" s="32">
        <v>3.12</v>
      </c>
      <c r="M49" s="23">
        <v>10</v>
      </c>
      <c r="N49" s="23">
        <v>1.4</v>
      </c>
      <c r="O49" s="24">
        <v>0.01</v>
      </c>
    </row>
    <row r="50" spans="1:15" x14ac:dyDescent="0.25">
      <c r="A50" s="16" t="s">
        <v>44</v>
      </c>
      <c r="B50" s="35">
        <v>4.4000000000000004</v>
      </c>
      <c r="C50" s="32">
        <v>4.3600000000000003</v>
      </c>
      <c r="D50" s="32">
        <v>4.3600000000000003</v>
      </c>
      <c r="E50" s="32">
        <v>4.3600000000000003</v>
      </c>
      <c r="F50" s="32">
        <v>4.3600000000000003</v>
      </c>
      <c r="G50" s="32">
        <v>4.3600000000000003</v>
      </c>
      <c r="H50" s="32">
        <v>4.3600000000000003</v>
      </c>
      <c r="I50" s="32">
        <v>4.3600000000000003</v>
      </c>
      <c r="J50" s="32">
        <v>4.3600000000000003</v>
      </c>
      <c r="K50" s="32">
        <v>4.3600000000000003</v>
      </c>
      <c r="L50" s="32">
        <v>4.3600000000000003</v>
      </c>
      <c r="M50" s="23">
        <v>9</v>
      </c>
      <c r="N50" s="23">
        <v>3.2</v>
      </c>
      <c r="O50" s="24">
        <v>0.01</v>
      </c>
    </row>
    <row r="51" spans="1:15" x14ac:dyDescent="0.25">
      <c r="A51" s="16" t="s">
        <v>45</v>
      </c>
      <c r="B51" s="35">
        <v>3.56</v>
      </c>
      <c r="C51" s="32">
        <v>3.56</v>
      </c>
      <c r="D51" s="32">
        <v>3.56</v>
      </c>
      <c r="E51" s="32">
        <v>3.56</v>
      </c>
      <c r="F51" s="32">
        <v>3.56</v>
      </c>
      <c r="G51" s="32">
        <v>3.56</v>
      </c>
      <c r="H51" s="32">
        <v>3.72</v>
      </c>
      <c r="I51" s="32">
        <v>3.56</v>
      </c>
      <c r="J51" s="32">
        <v>3.56</v>
      </c>
      <c r="K51" s="32">
        <v>3.72</v>
      </c>
      <c r="L51" s="32">
        <v>3.56</v>
      </c>
      <c r="M51" s="23">
        <v>9</v>
      </c>
      <c r="N51" s="23">
        <v>2.2000000000000002</v>
      </c>
      <c r="O51" s="24">
        <v>0.01</v>
      </c>
    </row>
    <row r="52" spans="1:15" x14ac:dyDescent="0.25">
      <c r="A52" s="16" t="s">
        <v>46</v>
      </c>
      <c r="B52" s="35">
        <v>3</v>
      </c>
      <c r="C52" s="32">
        <v>3</v>
      </c>
      <c r="D52" s="32">
        <v>3</v>
      </c>
      <c r="E52" s="32">
        <v>3</v>
      </c>
      <c r="F52" s="32">
        <v>3</v>
      </c>
      <c r="G52" s="32">
        <v>3</v>
      </c>
      <c r="H52" s="32">
        <v>3</v>
      </c>
      <c r="I52" s="32">
        <v>3</v>
      </c>
      <c r="J52" s="32">
        <v>3</v>
      </c>
      <c r="K52" s="32">
        <v>3</v>
      </c>
      <c r="L52" s="32">
        <v>3</v>
      </c>
      <c r="M52" s="23">
        <v>11</v>
      </c>
      <c r="N52" s="23">
        <v>1</v>
      </c>
      <c r="O52" s="24">
        <v>1.0999999999999999E-2</v>
      </c>
    </row>
    <row r="53" spans="1:15" x14ac:dyDescent="0.25">
      <c r="A53" s="16" t="s">
        <v>47</v>
      </c>
      <c r="B53" s="35">
        <v>5.2</v>
      </c>
      <c r="C53" s="32">
        <v>5.2</v>
      </c>
      <c r="D53" s="32">
        <v>5.2</v>
      </c>
      <c r="E53" s="32">
        <v>5.2</v>
      </c>
      <c r="F53" s="32">
        <v>5.2</v>
      </c>
      <c r="G53" s="32">
        <v>5.2</v>
      </c>
      <c r="H53" s="32">
        <v>5.2</v>
      </c>
      <c r="I53" s="32">
        <v>5.2</v>
      </c>
      <c r="J53" s="32">
        <v>5.2</v>
      </c>
      <c r="K53" s="32">
        <v>5.2</v>
      </c>
      <c r="L53" s="32">
        <v>5.2</v>
      </c>
      <c r="M53" s="23">
        <v>10</v>
      </c>
      <c r="N53" s="23">
        <v>4</v>
      </c>
      <c r="O53" s="24">
        <v>1.03E-2</v>
      </c>
    </row>
    <row r="54" spans="1:15" x14ac:dyDescent="0.25">
      <c r="A54" s="16" t="s">
        <v>48</v>
      </c>
      <c r="B54" s="35">
        <v>4</v>
      </c>
      <c r="C54" s="32">
        <v>4</v>
      </c>
      <c r="D54" s="32">
        <v>4</v>
      </c>
      <c r="E54" s="32">
        <v>4</v>
      </c>
      <c r="F54" s="32">
        <v>4</v>
      </c>
      <c r="G54" s="32">
        <v>4</v>
      </c>
      <c r="H54" s="32">
        <v>4</v>
      </c>
      <c r="I54" s="32">
        <v>4</v>
      </c>
      <c r="J54" s="32">
        <v>4</v>
      </c>
      <c r="K54" s="32">
        <v>4</v>
      </c>
      <c r="L54" s="32">
        <v>4</v>
      </c>
      <c r="M54" s="23">
        <v>12</v>
      </c>
      <c r="N54" s="23">
        <v>2</v>
      </c>
      <c r="O54" s="24">
        <v>1.15E-2</v>
      </c>
    </row>
    <row r="55" spans="1:15" x14ac:dyDescent="0.25">
      <c r="A55" s="16" t="s">
        <v>49</v>
      </c>
      <c r="B55" s="35">
        <v>4.68</v>
      </c>
      <c r="C55" s="32">
        <v>4.16</v>
      </c>
      <c r="D55" s="32">
        <v>4.16</v>
      </c>
      <c r="E55" s="32">
        <v>4.5199999999999996</v>
      </c>
      <c r="F55" s="32">
        <v>4.68</v>
      </c>
      <c r="G55" s="32">
        <v>4.16</v>
      </c>
      <c r="H55" s="32">
        <v>4.3600000000000003</v>
      </c>
      <c r="I55" s="32">
        <v>4.4800000000000004</v>
      </c>
      <c r="J55" s="32">
        <v>4.32</v>
      </c>
      <c r="K55" s="32">
        <v>4.5199999999999996</v>
      </c>
      <c r="L55" s="32">
        <v>4.16</v>
      </c>
      <c r="M55" s="23">
        <v>8</v>
      </c>
      <c r="N55" s="23">
        <v>3.2</v>
      </c>
      <c r="O55" s="24">
        <v>9.9000000000000008E-3</v>
      </c>
    </row>
    <row r="56" spans="1:15" x14ac:dyDescent="0.25">
      <c r="A56" s="16" t="s">
        <v>50</v>
      </c>
      <c r="B56" s="35">
        <v>5.2</v>
      </c>
      <c r="C56" s="32">
        <v>5.2</v>
      </c>
      <c r="D56" s="32">
        <v>5.2</v>
      </c>
      <c r="E56" s="32">
        <v>5.2</v>
      </c>
      <c r="F56" s="32">
        <v>5.2</v>
      </c>
      <c r="G56" s="32">
        <v>5.2</v>
      </c>
      <c r="H56" s="32">
        <v>5.2</v>
      </c>
      <c r="I56" s="32">
        <v>5.2</v>
      </c>
      <c r="J56" s="32">
        <v>5.2</v>
      </c>
      <c r="K56" s="32">
        <v>5.2</v>
      </c>
      <c r="L56" s="32">
        <v>5.2</v>
      </c>
      <c r="M56" s="23">
        <v>14</v>
      </c>
      <c r="N56" s="23">
        <v>3</v>
      </c>
      <c r="O56" s="24">
        <v>1.2E-2</v>
      </c>
    </row>
    <row r="57" spans="1:15" x14ac:dyDescent="0.25">
      <c r="A57" s="16" t="s">
        <v>51</v>
      </c>
      <c r="B57" s="35">
        <v>3.84</v>
      </c>
      <c r="C57" s="32">
        <v>3.84</v>
      </c>
      <c r="D57" s="32">
        <v>3.84</v>
      </c>
      <c r="E57" s="32">
        <v>3.84</v>
      </c>
      <c r="F57" s="32">
        <v>3.84</v>
      </c>
      <c r="G57" s="32">
        <v>3.84</v>
      </c>
      <c r="H57" s="32">
        <v>3.84</v>
      </c>
      <c r="I57" s="32">
        <v>3.84</v>
      </c>
      <c r="J57" s="32">
        <v>3.84</v>
      </c>
      <c r="K57" s="32">
        <v>3.84</v>
      </c>
      <c r="L57" s="32">
        <v>3.84</v>
      </c>
      <c r="M57" s="23">
        <v>8</v>
      </c>
      <c r="N57" s="23">
        <v>2.8</v>
      </c>
      <c r="O57" s="24">
        <v>8.6E-3</v>
      </c>
    </row>
    <row r="58" spans="1:15" x14ac:dyDescent="0.25">
      <c r="A58" s="16" t="s">
        <v>52</v>
      </c>
      <c r="B58" s="35">
        <v>6.4</v>
      </c>
      <c r="C58" s="32">
        <v>6.4</v>
      </c>
      <c r="D58" s="32">
        <v>6.4</v>
      </c>
      <c r="E58" s="32">
        <v>6.4</v>
      </c>
      <c r="F58" s="32">
        <v>6.4</v>
      </c>
      <c r="G58" s="32">
        <v>6.4</v>
      </c>
      <c r="H58" s="32">
        <v>6.4</v>
      </c>
      <c r="I58" s="32">
        <v>6.4</v>
      </c>
      <c r="J58" s="32">
        <v>6.4</v>
      </c>
      <c r="K58" s="32">
        <v>6.4</v>
      </c>
      <c r="L58" s="32">
        <v>6.4</v>
      </c>
      <c r="M58" s="23">
        <v>12</v>
      </c>
      <c r="N58" s="23">
        <v>5</v>
      </c>
      <c r="O58" s="24">
        <v>1.2E-2</v>
      </c>
    </row>
    <row r="59" spans="1:15" x14ac:dyDescent="0.25">
      <c r="A59" s="16" t="s">
        <v>53</v>
      </c>
      <c r="B59" s="35">
        <v>6.24</v>
      </c>
      <c r="C59" s="32">
        <v>6.24</v>
      </c>
      <c r="D59" s="32">
        <v>6.24</v>
      </c>
      <c r="E59" s="32">
        <v>6.24</v>
      </c>
      <c r="F59" s="32">
        <v>6.24</v>
      </c>
      <c r="G59" s="32">
        <v>6.24</v>
      </c>
      <c r="H59" s="32">
        <v>6.24</v>
      </c>
      <c r="I59" s="32">
        <v>6.24</v>
      </c>
      <c r="J59" s="32">
        <v>6.24</v>
      </c>
      <c r="K59" s="32">
        <v>6.24</v>
      </c>
      <c r="L59" s="32">
        <v>6.24</v>
      </c>
      <c r="M59" s="23">
        <v>12</v>
      </c>
      <c r="N59" s="23">
        <v>4.8</v>
      </c>
      <c r="O59" s="24">
        <v>1.2E-2</v>
      </c>
    </row>
    <row r="60" spans="1:15" x14ac:dyDescent="0.25">
      <c r="A60" s="16" t="s">
        <v>54</v>
      </c>
      <c r="B60" s="35">
        <v>4.2</v>
      </c>
      <c r="C60" s="32">
        <v>4.2</v>
      </c>
      <c r="D60" s="32">
        <v>4.2</v>
      </c>
      <c r="E60" s="32">
        <v>4.2</v>
      </c>
      <c r="F60" s="32">
        <v>4.2</v>
      </c>
      <c r="G60" s="32">
        <v>4.2</v>
      </c>
      <c r="H60" s="32">
        <v>4.2</v>
      </c>
      <c r="I60" s="32">
        <v>4.2</v>
      </c>
      <c r="J60" s="32">
        <v>4.2</v>
      </c>
      <c r="K60" s="32">
        <v>4.2</v>
      </c>
      <c r="L60" s="32">
        <v>4.2</v>
      </c>
      <c r="M60" s="23">
        <v>13</v>
      </c>
      <c r="N60" s="23">
        <v>2</v>
      </c>
      <c r="O60" s="24">
        <v>1.2E-2</v>
      </c>
    </row>
    <row r="61" spans="1:15" x14ac:dyDescent="0.25">
      <c r="A61" s="16" t="s">
        <v>55</v>
      </c>
      <c r="B61" s="35">
        <v>5</v>
      </c>
      <c r="C61" s="32">
        <v>5</v>
      </c>
      <c r="D61" s="32">
        <v>5</v>
      </c>
      <c r="E61" s="32">
        <v>5</v>
      </c>
      <c r="F61" s="32">
        <v>5.16</v>
      </c>
      <c r="G61" s="32">
        <v>5</v>
      </c>
      <c r="H61" s="32">
        <v>5</v>
      </c>
      <c r="I61" s="32">
        <v>5</v>
      </c>
      <c r="J61" s="32">
        <v>5.16</v>
      </c>
      <c r="K61" s="32">
        <v>5</v>
      </c>
      <c r="L61" s="32">
        <v>5</v>
      </c>
      <c r="M61" s="23">
        <v>9</v>
      </c>
      <c r="N61" s="23">
        <v>4</v>
      </c>
      <c r="O61" s="24">
        <v>0.01</v>
      </c>
    </row>
    <row r="62" spans="1:15" x14ac:dyDescent="0.25">
      <c r="A62" s="16" t="s">
        <v>56</v>
      </c>
      <c r="B62" s="35">
        <v>5.4</v>
      </c>
      <c r="C62" s="32">
        <v>5.4</v>
      </c>
      <c r="D62" s="32">
        <v>5.4</v>
      </c>
      <c r="E62" s="32">
        <v>5.4</v>
      </c>
      <c r="F62" s="32">
        <v>5.4</v>
      </c>
      <c r="G62" s="32">
        <v>5.4</v>
      </c>
      <c r="H62" s="32">
        <v>5.4</v>
      </c>
      <c r="I62" s="32">
        <v>5.4</v>
      </c>
      <c r="J62" s="32">
        <v>5.4</v>
      </c>
      <c r="K62" s="32">
        <v>5.4</v>
      </c>
      <c r="L62" s="32">
        <v>5.4</v>
      </c>
      <c r="M62" s="23">
        <v>11</v>
      </c>
      <c r="N62" s="23">
        <v>4</v>
      </c>
      <c r="O62" s="24">
        <v>1.0800000000000001E-2</v>
      </c>
    </row>
    <row r="63" spans="1:15" x14ac:dyDescent="0.25">
      <c r="A63" s="16" t="s">
        <v>57</v>
      </c>
      <c r="B63" s="35">
        <v>4.32</v>
      </c>
      <c r="C63" s="32">
        <v>4.32</v>
      </c>
      <c r="D63" s="32">
        <v>4.32</v>
      </c>
      <c r="E63" s="32">
        <v>4.32</v>
      </c>
      <c r="F63" s="32">
        <v>4.32</v>
      </c>
      <c r="G63" s="32">
        <v>4.32</v>
      </c>
      <c r="H63" s="32">
        <v>4.32</v>
      </c>
      <c r="I63" s="32">
        <v>4.32</v>
      </c>
      <c r="J63" s="32">
        <v>4.32</v>
      </c>
      <c r="K63" s="32">
        <v>4.32</v>
      </c>
      <c r="L63" s="32">
        <v>4.32</v>
      </c>
      <c r="M63" s="23">
        <v>8</v>
      </c>
      <c r="N63" s="23">
        <v>3.4</v>
      </c>
      <c r="O63" s="24">
        <v>9.4000000000000004E-3</v>
      </c>
    </row>
    <row r="64" spans="1:15" x14ac:dyDescent="0.25">
      <c r="A64" s="16" t="s">
        <v>58</v>
      </c>
      <c r="B64" s="35">
        <v>5.12</v>
      </c>
      <c r="C64" s="32">
        <v>5.12</v>
      </c>
      <c r="D64" s="32">
        <v>5.12</v>
      </c>
      <c r="E64" s="32">
        <v>5.12</v>
      </c>
      <c r="F64" s="32">
        <v>5.12</v>
      </c>
      <c r="G64" s="32">
        <v>5.12</v>
      </c>
      <c r="H64" s="32">
        <v>5.12</v>
      </c>
      <c r="I64" s="32">
        <v>5.12</v>
      </c>
      <c r="J64" s="32">
        <v>5.12</v>
      </c>
      <c r="K64" s="32">
        <v>5.12</v>
      </c>
      <c r="L64" s="32">
        <v>5.12</v>
      </c>
      <c r="M64" s="23">
        <v>12</v>
      </c>
      <c r="N64" s="23">
        <v>3.4</v>
      </c>
      <c r="O64" s="24">
        <v>1.11E-2</v>
      </c>
    </row>
    <row r="65" spans="1:15" x14ac:dyDescent="0.25">
      <c r="A65" s="16" t="s">
        <v>59</v>
      </c>
      <c r="B65" s="35">
        <v>4.28</v>
      </c>
      <c r="C65" s="32">
        <v>4.28</v>
      </c>
      <c r="D65" s="32">
        <v>4.28</v>
      </c>
      <c r="E65" s="32">
        <v>4.28</v>
      </c>
      <c r="F65" s="32">
        <v>4.28</v>
      </c>
      <c r="G65" s="32">
        <v>4.28</v>
      </c>
      <c r="H65" s="32">
        <v>4.28</v>
      </c>
      <c r="I65" s="32">
        <v>4.28</v>
      </c>
      <c r="J65" s="32">
        <v>4.28</v>
      </c>
      <c r="K65" s="32">
        <v>4.28</v>
      </c>
      <c r="L65" s="32">
        <v>4.28</v>
      </c>
      <c r="M65" s="23">
        <v>11</v>
      </c>
      <c r="N65" s="23">
        <v>2.6</v>
      </c>
      <c r="O65" s="24">
        <v>1.03E-2</v>
      </c>
    </row>
    <row r="66" spans="1:15" x14ac:dyDescent="0.25">
      <c r="A66" s="16" t="s">
        <v>60</v>
      </c>
      <c r="B66" s="35">
        <v>2.76</v>
      </c>
      <c r="C66" s="32">
        <v>2.76</v>
      </c>
      <c r="D66" s="32">
        <v>2.76</v>
      </c>
      <c r="E66" s="32">
        <v>2.76</v>
      </c>
      <c r="F66" s="32">
        <v>2.76</v>
      </c>
      <c r="G66" s="32">
        <v>2.76</v>
      </c>
      <c r="H66" s="32">
        <v>2.92</v>
      </c>
      <c r="I66" s="32">
        <v>2.76</v>
      </c>
      <c r="J66" s="32">
        <v>2.76</v>
      </c>
      <c r="K66" s="32">
        <v>2.76</v>
      </c>
      <c r="L66" s="32">
        <v>2.76</v>
      </c>
      <c r="M66" s="23">
        <v>9</v>
      </c>
      <c r="N66" s="23">
        <v>1.2</v>
      </c>
      <c r="O66" s="24">
        <v>9.4000000000000004E-3</v>
      </c>
    </row>
    <row r="67" spans="1:15" x14ac:dyDescent="0.25">
      <c r="A67" s="16" t="s">
        <v>61</v>
      </c>
      <c r="B67" s="35">
        <v>3.36</v>
      </c>
      <c r="C67" s="32">
        <v>3.36</v>
      </c>
      <c r="D67" s="32">
        <v>3.2</v>
      </c>
      <c r="E67" s="32">
        <v>3.36</v>
      </c>
      <c r="F67" s="32">
        <v>3.36</v>
      </c>
      <c r="G67" s="32">
        <v>3.2</v>
      </c>
      <c r="H67" s="32">
        <v>3.36</v>
      </c>
      <c r="I67" s="32">
        <v>3.36</v>
      </c>
      <c r="J67" s="32">
        <v>3.2</v>
      </c>
      <c r="K67" s="32">
        <v>3.36</v>
      </c>
      <c r="L67" s="32">
        <v>3.2</v>
      </c>
      <c r="M67" s="23">
        <v>8</v>
      </c>
      <c r="N67" s="23">
        <v>2</v>
      </c>
      <c r="O67" s="24">
        <v>8.9999999999999993E-3</v>
      </c>
    </row>
    <row r="68" spans="1:15" x14ac:dyDescent="0.25">
      <c r="A68" s="16" t="s">
        <v>62</v>
      </c>
      <c r="B68" s="35">
        <v>4.4400000000000004</v>
      </c>
      <c r="C68" s="32">
        <v>4.4400000000000004</v>
      </c>
      <c r="D68" s="32">
        <v>4.4400000000000004</v>
      </c>
      <c r="E68" s="32">
        <v>4.4400000000000004</v>
      </c>
      <c r="F68" s="32">
        <v>4.4400000000000004</v>
      </c>
      <c r="G68" s="32">
        <v>4.4400000000000004</v>
      </c>
      <c r="H68" s="32">
        <v>4.4400000000000004</v>
      </c>
      <c r="I68" s="32">
        <v>4.4400000000000004</v>
      </c>
      <c r="J68" s="32">
        <v>4.4400000000000004</v>
      </c>
      <c r="K68" s="32">
        <v>4.4400000000000004</v>
      </c>
      <c r="L68" s="32">
        <v>4.4400000000000004</v>
      </c>
      <c r="M68" s="23">
        <v>11</v>
      </c>
      <c r="N68" s="23">
        <v>2.8</v>
      </c>
      <c r="O68" s="24">
        <v>0.01</v>
      </c>
    </row>
    <row r="69" spans="1:15" x14ac:dyDescent="0.25">
      <c r="A69" s="16" t="s">
        <v>63</v>
      </c>
      <c r="B69" s="35">
        <v>3.76</v>
      </c>
      <c r="C69" s="32">
        <v>3.76</v>
      </c>
      <c r="D69" s="32">
        <v>3.76</v>
      </c>
      <c r="E69" s="32">
        <v>3.76</v>
      </c>
      <c r="F69" s="32">
        <v>3.76</v>
      </c>
      <c r="G69" s="32">
        <v>3.76</v>
      </c>
      <c r="H69" s="32">
        <v>3.76</v>
      </c>
      <c r="I69" s="32">
        <v>3.76</v>
      </c>
      <c r="J69" s="32">
        <v>3.76</v>
      </c>
      <c r="K69" s="32">
        <v>3.76</v>
      </c>
      <c r="L69" s="32">
        <v>3.76</v>
      </c>
      <c r="M69" s="23">
        <v>10</v>
      </c>
      <c r="N69" s="23">
        <v>2.2000000000000002</v>
      </c>
      <c r="O69" s="24">
        <v>1.01E-2</v>
      </c>
    </row>
    <row r="70" spans="1:15" x14ac:dyDescent="0.25">
      <c r="A70" s="16" t="s">
        <v>64</v>
      </c>
      <c r="B70" s="35">
        <v>5.44</v>
      </c>
      <c r="C70" s="32">
        <v>5.44</v>
      </c>
      <c r="D70" s="32">
        <v>5.44</v>
      </c>
      <c r="E70" s="32">
        <v>5.44</v>
      </c>
      <c r="F70" s="32">
        <v>5.44</v>
      </c>
      <c r="G70" s="32">
        <v>5.44</v>
      </c>
      <c r="H70" s="32">
        <v>5.44</v>
      </c>
      <c r="I70" s="32">
        <v>5.44</v>
      </c>
      <c r="J70" s="32">
        <v>5.44</v>
      </c>
      <c r="K70" s="32">
        <v>5.44</v>
      </c>
      <c r="L70" s="32">
        <v>5.44</v>
      </c>
      <c r="M70" s="23">
        <v>12</v>
      </c>
      <c r="N70" s="23">
        <v>3.8</v>
      </c>
      <c r="O70" s="24">
        <v>1.2E-2</v>
      </c>
    </row>
    <row r="71" spans="1:15" x14ac:dyDescent="0.25">
      <c r="A71" s="16" t="s">
        <v>65</v>
      </c>
      <c r="B71" s="35">
        <v>3.12</v>
      </c>
      <c r="C71" s="32">
        <v>3.12</v>
      </c>
      <c r="D71" s="32">
        <v>3.12</v>
      </c>
      <c r="E71" s="32">
        <v>2.96</v>
      </c>
      <c r="F71" s="32">
        <v>3.12</v>
      </c>
      <c r="G71" s="32">
        <v>2.96</v>
      </c>
      <c r="H71" s="32">
        <v>3.12</v>
      </c>
      <c r="I71" s="32">
        <v>3.12</v>
      </c>
      <c r="J71" s="32">
        <v>2.96</v>
      </c>
      <c r="K71" s="32">
        <v>2.96</v>
      </c>
      <c r="L71" s="32">
        <v>2.96</v>
      </c>
      <c r="M71" s="23">
        <v>10</v>
      </c>
      <c r="N71" s="23">
        <v>1.2</v>
      </c>
      <c r="O71" s="24">
        <v>0.01</v>
      </c>
    </row>
    <row r="72" spans="1:15" x14ac:dyDescent="0.25">
      <c r="A72" s="16" t="s">
        <v>66</v>
      </c>
      <c r="B72" s="35">
        <v>3.72</v>
      </c>
      <c r="C72" s="32">
        <v>3.72</v>
      </c>
      <c r="D72" s="32">
        <v>3.72</v>
      </c>
      <c r="E72" s="32">
        <v>3.72</v>
      </c>
      <c r="F72" s="32">
        <v>3.72</v>
      </c>
      <c r="G72" s="32">
        <v>3.72</v>
      </c>
      <c r="H72" s="32">
        <v>4.2</v>
      </c>
      <c r="I72" s="32">
        <v>4.2</v>
      </c>
      <c r="J72" s="32">
        <v>3.72</v>
      </c>
      <c r="K72" s="32">
        <v>3.56</v>
      </c>
      <c r="L72" s="32">
        <v>3.56</v>
      </c>
      <c r="M72" s="23">
        <v>9</v>
      </c>
      <c r="N72" s="23">
        <v>2.2000000000000002</v>
      </c>
      <c r="O72" s="24">
        <v>9.1000000000000004E-3</v>
      </c>
    </row>
    <row r="73" spans="1:15" x14ac:dyDescent="0.25">
      <c r="A73" s="16" t="s">
        <v>67</v>
      </c>
      <c r="B73" s="35">
        <v>4.4000000000000004</v>
      </c>
      <c r="C73" s="32">
        <v>4.4000000000000004</v>
      </c>
      <c r="D73" s="32">
        <v>4.4000000000000004</v>
      </c>
      <c r="E73" s="32">
        <v>4.4000000000000004</v>
      </c>
      <c r="F73" s="32">
        <v>4.4000000000000004</v>
      </c>
      <c r="G73" s="32">
        <v>4.4000000000000004</v>
      </c>
      <c r="H73" s="32">
        <v>4.4000000000000004</v>
      </c>
      <c r="I73" s="32">
        <v>4.4000000000000004</v>
      </c>
      <c r="J73" s="32">
        <v>4.4000000000000004</v>
      </c>
      <c r="K73" s="32">
        <v>4.4000000000000004</v>
      </c>
      <c r="L73" s="32">
        <v>4.4000000000000004</v>
      </c>
      <c r="M73" s="23">
        <v>10</v>
      </c>
      <c r="N73" s="23">
        <v>3</v>
      </c>
      <c r="O73" s="24">
        <v>0.01</v>
      </c>
    </row>
    <row r="74" spans="1:15" x14ac:dyDescent="0.25">
      <c r="A74" s="16" t="s">
        <v>68</v>
      </c>
      <c r="B74" s="35">
        <v>4</v>
      </c>
      <c r="C74" s="32">
        <v>4</v>
      </c>
      <c r="D74" s="32">
        <v>4</v>
      </c>
      <c r="E74" s="32">
        <v>4</v>
      </c>
      <c r="F74" s="32">
        <v>4</v>
      </c>
      <c r="G74" s="32">
        <v>4</v>
      </c>
      <c r="H74" s="32">
        <v>4</v>
      </c>
      <c r="I74" s="32">
        <v>4</v>
      </c>
      <c r="J74" s="32">
        <v>4</v>
      </c>
      <c r="K74" s="32">
        <v>4</v>
      </c>
      <c r="L74" s="32">
        <v>4</v>
      </c>
      <c r="M74" s="23">
        <v>12</v>
      </c>
      <c r="N74" s="23">
        <v>2</v>
      </c>
      <c r="O74" s="24">
        <v>1.11E-2</v>
      </c>
    </row>
    <row r="75" spans="1:15" x14ac:dyDescent="0.25">
      <c r="A75" s="16" t="s">
        <v>69</v>
      </c>
      <c r="B75" s="35">
        <v>3.4</v>
      </c>
      <c r="C75" s="32">
        <v>3.4</v>
      </c>
      <c r="D75" s="32">
        <v>3.4</v>
      </c>
      <c r="E75" s="32">
        <v>3.4</v>
      </c>
      <c r="F75" s="32">
        <v>3.4</v>
      </c>
      <c r="G75" s="32">
        <v>3.24</v>
      </c>
      <c r="H75" s="32">
        <v>3.4</v>
      </c>
      <c r="I75" s="32">
        <v>3.24</v>
      </c>
      <c r="J75" s="32">
        <v>3.4</v>
      </c>
      <c r="K75" s="32">
        <v>3.4</v>
      </c>
      <c r="L75" s="32">
        <v>3.24</v>
      </c>
      <c r="M75" s="23">
        <v>9</v>
      </c>
      <c r="N75" s="23">
        <v>1.8</v>
      </c>
      <c r="O75" s="24">
        <v>0.01</v>
      </c>
    </row>
    <row r="76" spans="1:15" x14ac:dyDescent="0.25">
      <c r="A76" s="16" t="s">
        <v>70</v>
      </c>
      <c r="B76" s="35">
        <v>3.88</v>
      </c>
      <c r="C76" s="32">
        <v>3.88</v>
      </c>
      <c r="D76" s="32">
        <v>4.04</v>
      </c>
      <c r="E76" s="32">
        <v>3.88</v>
      </c>
      <c r="F76" s="32">
        <v>3.88</v>
      </c>
      <c r="G76" s="32">
        <v>4.04</v>
      </c>
      <c r="H76" s="32">
        <v>3.88</v>
      </c>
      <c r="I76" s="32">
        <v>3.88</v>
      </c>
      <c r="J76" s="32">
        <v>3.88</v>
      </c>
      <c r="K76" s="32">
        <v>3.88</v>
      </c>
      <c r="L76" s="32">
        <v>3.88</v>
      </c>
      <c r="M76" s="23">
        <v>9</v>
      </c>
      <c r="N76" s="23">
        <v>2.6</v>
      </c>
      <c r="O76" s="24">
        <v>0.01</v>
      </c>
    </row>
    <row r="77" spans="1:15" x14ac:dyDescent="0.25">
      <c r="A77" s="16" t="s">
        <v>71</v>
      </c>
      <c r="B77" s="35">
        <v>4.28</v>
      </c>
      <c r="C77" s="32">
        <v>4.28</v>
      </c>
      <c r="D77" s="32">
        <v>4.5999999999999996</v>
      </c>
      <c r="E77" s="32">
        <v>4.5999999999999996</v>
      </c>
      <c r="F77" s="32">
        <v>4.28</v>
      </c>
      <c r="G77" s="32">
        <v>4.28</v>
      </c>
      <c r="H77" s="32">
        <v>4.28</v>
      </c>
      <c r="I77" s="32">
        <v>4.5999999999999996</v>
      </c>
      <c r="J77" s="32">
        <v>4.28</v>
      </c>
      <c r="K77" s="32">
        <v>4.28</v>
      </c>
      <c r="L77" s="32">
        <v>4.28</v>
      </c>
      <c r="M77" s="23">
        <v>11</v>
      </c>
      <c r="N77" s="23">
        <v>2.6</v>
      </c>
      <c r="O77" s="24">
        <v>1.0999999999999999E-2</v>
      </c>
    </row>
    <row r="78" spans="1:15" x14ac:dyDescent="0.25">
      <c r="A78" s="16" t="s">
        <v>72</v>
      </c>
      <c r="B78" s="35">
        <v>3.96</v>
      </c>
      <c r="C78" s="32">
        <v>3.96</v>
      </c>
      <c r="D78" s="32">
        <v>3.96</v>
      </c>
      <c r="E78" s="32">
        <v>3.96</v>
      </c>
      <c r="F78" s="32">
        <v>3.96</v>
      </c>
      <c r="G78" s="32">
        <v>3.96</v>
      </c>
      <c r="H78" s="32">
        <v>3.96</v>
      </c>
      <c r="I78" s="32">
        <v>3.96</v>
      </c>
      <c r="J78" s="32">
        <v>3.96</v>
      </c>
      <c r="K78" s="32">
        <v>3.96</v>
      </c>
      <c r="L78" s="32">
        <v>3.96</v>
      </c>
      <c r="M78" s="23">
        <v>11</v>
      </c>
      <c r="N78" s="23">
        <v>2.2000000000000002</v>
      </c>
      <c r="O78" s="24">
        <v>1.0999999999999999E-2</v>
      </c>
    </row>
    <row r="79" spans="1:15" x14ac:dyDescent="0.25">
      <c r="A79" s="16" t="s">
        <v>73</v>
      </c>
      <c r="B79" s="35">
        <v>3.96</v>
      </c>
      <c r="C79" s="32">
        <v>3.96</v>
      </c>
      <c r="D79" s="32">
        <v>3.96</v>
      </c>
      <c r="E79" s="32">
        <v>3.96</v>
      </c>
      <c r="F79" s="32">
        <v>3.96</v>
      </c>
      <c r="G79" s="32">
        <v>3.96</v>
      </c>
      <c r="H79" s="32">
        <v>3.96</v>
      </c>
      <c r="I79" s="32">
        <v>3.96</v>
      </c>
      <c r="J79" s="32">
        <v>3.96</v>
      </c>
      <c r="K79" s="32">
        <v>3.96</v>
      </c>
      <c r="L79" s="32">
        <v>3.96</v>
      </c>
      <c r="M79" s="23">
        <v>11</v>
      </c>
      <c r="N79" s="23">
        <v>2.2000000000000002</v>
      </c>
      <c r="O79" s="24">
        <v>1.0999999999999999E-2</v>
      </c>
    </row>
    <row r="80" spans="1:15" x14ac:dyDescent="0.25">
      <c r="A80" s="16" t="s">
        <v>74</v>
      </c>
      <c r="B80" s="35">
        <v>3.24</v>
      </c>
      <c r="C80" s="32">
        <v>3.2</v>
      </c>
      <c r="D80" s="32">
        <v>3.24</v>
      </c>
      <c r="E80" s="32">
        <v>3.24</v>
      </c>
      <c r="F80" s="32">
        <v>3.24</v>
      </c>
      <c r="G80" s="32">
        <v>3.24</v>
      </c>
      <c r="H80" s="32">
        <v>3.24</v>
      </c>
      <c r="I80" s="32">
        <v>3.24</v>
      </c>
      <c r="J80" s="32">
        <v>3.24</v>
      </c>
      <c r="K80" s="32">
        <v>3.2</v>
      </c>
      <c r="L80" s="32">
        <v>3.2</v>
      </c>
      <c r="M80" s="23">
        <v>8</v>
      </c>
      <c r="N80" s="23">
        <v>2</v>
      </c>
      <c r="O80" s="24">
        <v>1.01E-2</v>
      </c>
    </row>
    <row r="81" spans="1:15" x14ac:dyDescent="0.25">
      <c r="A81" s="16" t="s">
        <v>75</v>
      </c>
      <c r="B81" s="35">
        <v>3.4</v>
      </c>
      <c r="C81" s="32">
        <v>3.4</v>
      </c>
      <c r="D81" s="32">
        <v>3.4</v>
      </c>
      <c r="E81" s="32">
        <v>3.4</v>
      </c>
      <c r="F81" s="32">
        <v>3.4</v>
      </c>
      <c r="G81" s="32">
        <v>3.4</v>
      </c>
      <c r="H81" s="32">
        <v>3.4</v>
      </c>
      <c r="I81" s="32">
        <v>3.4</v>
      </c>
      <c r="J81" s="32">
        <v>3.4</v>
      </c>
      <c r="K81" s="32">
        <v>3.4</v>
      </c>
      <c r="L81" s="32">
        <v>3.4</v>
      </c>
      <c r="M81" s="23">
        <v>9</v>
      </c>
      <c r="N81" s="23">
        <v>2</v>
      </c>
      <c r="O81" s="24">
        <v>9.7999999999999997E-3</v>
      </c>
    </row>
    <row r="82" spans="1:15" x14ac:dyDescent="0.25">
      <c r="A82" s="16" t="s">
        <v>76</v>
      </c>
      <c r="B82" s="35">
        <v>5.08</v>
      </c>
      <c r="C82" s="32">
        <v>5.08</v>
      </c>
      <c r="D82" s="32">
        <v>5.08</v>
      </c>
      <c r="E82" s="32">
        <v>5.08</v>
      </c>
      <c r="F82" s="32">
        <v>5.08</v>
      </c>
      <c r="G82" s="32">
        <v>5.08</v>
      </c>
      <c r="H82" s="32">
        <v>5.08</v>
      </c>
      <c r="I82" s="32">
        <v>5.08</v>
      </c>
      <c r="J82" s="32">
        <v>5.08</v>
      </c>
      <c r="K82" s="32">
        <v>5.08</v>
      </c>
      <c r="L82" s="32">
        <v>5.08</v>
      </c>
      <c r="M82" s="23">
        <v>11</v>
      </c>
      <c r="N82" s="23">
        <v>3.6</v>
      </c>
      <c r="O82" s="24">
        <v>1.11E-2</v>
      </c>
    </row>
    <row r="83" spans="1:15" x14ac:dyDescent="0.25">
      <c r="A83" s="16" t="s">
        <v>77</v>
      </c>
      <c r="B83" s="35">
        <v>4.5599999999999996</v>
      </c>
      <c r="C83" s="32">
        <v>4.24</v>
      </c>
      <c r="D83" s="32">
        <v>4.4000000000000004</v>
      </c>
      <c r="E83" s="32">
        <v>4.4000000000000004</v>
      </c>
      <c r="F83" s="32">
        <v>4.24</v>
      </c>
      <c r="G83" s="32">
        <v>4.88</v>
      </c>
      <c r="H83" s="32">
        <v>4.5599999999999996</v>
      </c>
      <c r="I83" s="32">
        <v>4.24</v>
      </c>
      <c r="J83" s="32">
        <v>4.5199999999999996</v>
      </c>
      <c r="K83" s="32">
        <v>4.88</v>
      </c>
      <c r="L83" s="32">
        <v>4.24</v>
      </c>
      <c r="M83" s="23">
        <v>10</v>
      </c>
      <c r="N83" s="23">
        <v>2.8</v>
      </c>
      <c r="O83" s="24">
        <v>0.01</v>
      </c>
    </row>
    <row r="84" spans="1:15" x14ac:dyDescent="0.25">
      <c r="A84" s="16" t="s">
        <v>78</v>
      </c>
      <c r="B84" s="35">
        <v>2.6</v>
      </c>
      <c r="C84" s="32">
        <v>2.6</v>
      </c>
      <c r="D84" s="32">
        <v>2.6</v>
      </c>
      <c r="E84" s="32">
        <v>2.6</v>
      </c>
      <c r="F84" s="32">
        <v>2.6</v>
      </c>
      <c r="G84" s="32">
        <v>2.6</v>
      </c>
      <c r="H84" s="32">
        <v>2.6</v>
      </c>
      <c r="I84" s="32">
        <v>2.6</v>
      </c>
      <c r="J84" s="32">
        <v>2.6</v>
      </c>
      <c r="K84" s="32">
        <v>2.6</v>
      </c>
      <c r="L84" s="32">
        <v>2.6</v>
      </c>
      <c r="M84" s="23">
        <v>9</v>
      </c>
      <c r="N84" s="23">
        <v>1</v>
      </c>
      <c r="O84" s="24">
        <v>9.1999999999999998E-3</v>
      </c>
    </row>
    <row r="85" spans="1:15" x14ac:dyDescent="0.25">
      <c r="A85" s="16" t="s">
        <v>79</v>
      </c>
      <c r="B85" s="35">
        <v>5.24</v>
      </c>
      <c r="C85" s="32">
        <v>5.08</v>
      </c>
      <c r="D85" s="32">
        <v>5.24</v>
      </c>
      <c r="E85" s="32">
        <v>5.08</v>
      </c>
      <c r="F85" s="32">
        <v>5.08</v>
      </c>
      <c r="G85" s="32">
        <v>5.08</v>
      </c>
      <c r="H85" s="32">
        <v>5.08</v>
      </c>
      <c r="I85" s="32">
        <v>5.08</v>
      </c>
      <c r="J85" s="32">
        <v>5.08</v>
      </c>
      <c r="K85" s="32">
        <v>5.08</v>
      </c>
      <c r="L85" s="32">
        <v>5.08</v>
      </c>
      <c r="M85" s="23">
        <v>11</v>
      </c>
      <c r="N85" s="23">
        <v>3.6</v>
      </c>
      <c r="O85" s="24">
        <v>1.17E-2</v>
      </c>
    </row>
    <row r="86" spans="1:15" x14ac:dyDescent="0.25">
      <c r="A86" s="16" t="s">
        <v>80</v>
      </c>
      <c r="B86" s="35">
        <v>5.68</v>
      </c>
      <c r="C86" s="32">
        <v>5.68</v>
      </c>
      <c r="D86" s="32">
        <v>5.68</v>
      </c>
      <c r="E86" s="32">
        <v>5.68</v>
      </c>
      <c r="F86" s="32">
        <v>5.68</v>
      </c>
      <c r="G86" s="32">
        <v>5.68</v>
      </c>
      <c r="H86" s="32">
        <v>5.68</v>
      </c>
      <c r="I86" s="32">
        <v>5.68</v>
      </c>
      <c r="J86" s="32">
        <v>5.68</v>
      </c>
      <c r="K86" s="32">
        <v>5.68</v>
      </c>
      <c r="L86" s="32">
        <v>5.68</v>
      </c>
      <c r="M86" s="23">
        <v>10</v>
      </c>
      <c r="N86" s="23">
        <v>4.5999999999999996</v>
      </c>
      <c r="O86" s="24">
        <v>1.01E-2</v>
      </c>
    </row>
    <row r="87" spans="1:15" x14ac:dyDescent="0.25">
      <c r="A87" s="16" t="s">
        <v>81</v>
      </c>
      <c r="B87" s="35">
        <v>2.6</v>
      </c>
      <c r="C87" s="32">
        <v>2.6</v>
      </c>
      <c r="D87" s="32">
        <v>2.6</v>
      </c>
      <c r="E87" s="32">
        <v>2.6</v>
      </c>
      <c r="F87" s="32">
        <v>2.6</v>
      </c>
      <c r="G87" s="32">
        <v>2.6</v>
      </c>
      <c r="H87" s="32">
        <v>2.6</v>
      </c>
      <c r="I87" s="32">
        <v>2.6</v>
      </c>
      <c r="J87" s="32">
        <v>2.6</v>
      </c>
      <c r="K87" s="32">
        <v>2.6</v>
      </c>
      <c r="L87" s="32">
        <v>2.6</v>
      </c>
      <c r="M87" s="23">
        <v>9</v>
      </c>
      <c r="N87" s="23">
        <v>1</v>
      </c>
      <c r="O87" s="24">
        <v>8.6E-3</v>
      </c>
    </row>
    <row r="88" spans="1:15" x14ac:dyDescent="0.25">
      <c r="A88" s="16" t="s">
        <v>82</v>
      </c>
      <c r="B88" s="35">
        <v>3.04</v>
      </c>
      <c r="C88" s="32">
        <v>3.04</v>
      </c>
      <c r="D88" s="32">
        <v>2.84</v>
      </c>
      <c r="E88" s="32">
        <v>2.72</v>
      </c>
      <c r="F88" s="32">
        <v>2.84</v>
      </c>
      <c r="G88" s="32">
        <v>3.04</v>
      </c>
      <c r="H88" s="32">
        <v>2.88</v>
      </c>
      <c r="I88" s="32">
        <v>3.04</v>
      </c>
      <c r="J88" s="32">
        <v>2.68</v>
      </c>
      <c r="K88" s="32">
        <v>2.68</v>
      </c>
      <c r="L88" s="32">
        <v>2.68</v>
      </c>
      <c r="M88" s="23">
        <v>7</v>
      </c>
      <c r="N88" s="23">
        <v>1.6</v>
      </c>
      <c r="O88" s="24">
        <v>8.7999999999999988E-3</v>
      </c>
    </row>
    <row r="89" spans="1:15" x14ac:dyDescent="0.25">
      <c r="A89" s="16" t="s">
        <v>83</v>
      </c>
      <c r="B89" s="35">
        <v>3.24</v>
      </c>
      <c r="C89" s="32">
        <v>3.24</v>
      </c>
      <c r="D89" s="32">
        <v>3.24</v>
      </c>
      <c r="E89" s="32">
        <v>3.24</v>
      </c>
      <c r="F89" s="32">
        <v>3.24</v>
      </c>
      <c r="G89" s="32">
        <v>3.24</v>
      </c>
      <c r="H89" s="32">
        <v>3.24</v>
      </c>
      <c r="I89" s="32">
        <v>3.24</v>
      </c>
      <c r="J89" s="32">
        <v>3.24</v>
      </c>
      <c r="K89" s="32">
        <v>3.24</v>
      </c>
      <c r="L89" s="32">
        <v>3.24</v>
      </c>
      <c r="M89" s="23">
        <v>9</v>
      </c>
      <c r="N89" s="23">
        <v>1.8</v>
      </c>
      <c r="O89" s="24">
        <v>9.7999999999999997E-3</v>
      </c>
    </row>
    <row r="90" spans="1:15" x14ac:dyDescent="0.25">
      <c r="A90" s="16" t="s">
        <v>84</v>
      </c>
      <c r="B90" s="35">
        <v>5.36</v>
      </c>
      <c r="C90" s="32">
        <v>5.36</v>
      </c>
      <c r="D90" s="32">
        <v>5.2</v>
      </c>
      <c r="E90" s="32">
        <v>5.2</v>
      </c>
      <c r="F90" s="32">
        <v>5.2</v>
      </c>
      <c r="G90" s="32">
        <v>5.2</v>
      </c>
      <c r="H90" s="32">
        <v>5.36</v>
      </c>
      <c r="I90" s="32">
        <v>5.36</v>
      </c>
      <c r="J90" s="32">
        <v>5.36</v>
      </c>
      <c r="K90" s="32">
        <v>5.36</v>
      </c>
      <c r="L90" s="32">
        <v>5.2</v>
      </c>
      <c r="M90" s="23">
        <v>10</v>
      </c>
      <c r="N90" s="23">
        <v>4</v>
      </c>
      <c r="O90" s="24">
        <v>1.12E-2</v>
      </c>
    </row>
    <row r="91" spans="1:15" x14ac:dyDescent="0.25">
      <c r="A91" s="16" t="s">
        <v>85</v>
      </c>
      <c r="B91" s="35">
        <v>4.12</v>
      </c>
      <c r="C91" s="32">
        <v>4.12</v>
      </c>
      <c r="D91" s="32">
        <v>4.28</v>
      </c>
      <c r="E91" s="32">
        <v>4.12</v>
      </c>
      <c r="F91" s="32">
        <v>4.12</v>
      </c>
      <c r="G91" s="32">
        <v>4.12</v>
      </c>
      <c r="H91" s="32">
        <v>4.28</v>
      </c>
      <c r="I91" s="32">
        <v>4.12</v>
      </c>
      <c r="J91" s="32">
        <v>4.12</v>
      </c>
      <c r="K91" s="32">
        <v>4.12</v>
      </c>
      <c r="L91" s="32">
        <v>4.12</v>
      </c>
      <c r="M91" s="23">
        <v>11</v>
      </c>
      <c r="N91" s="23">
        <v>2.4</v>
      </c>
      <c r="O91" s="24">
        <v>1.0999999999999999E-2</v>
      </c>
    </row>
    <row r="92" spans="1:15" x14ac:dyDescent="0.25">
      <c r="A92" s="16" t="s">
        <v>86</v>
      </c>
      <c r="B92" s="35">
        <v>1.76</v>
      </c>
      <c r="C92" s="32">
        <v>1.76</v>
      </c>
      <c r="D92" s="32">
        <v>1.6</v>
      </c>
      <c r="E92" s="32">
        <v>1.6</v>
      </c>
      <c r="F92" s="32">
        <v>1.92</v>
      </c>
      <c r="G92" s="32">
        <v>1.6</v>
      </c>
      <c r="H92" s="32">
        <v>1.76</v>
      </c>
      <c r="I92" s="32">
        <v>1.76</v>
      </c>
      <c r="J92" s="32">
        <v>1.76</v>
      </c>
      <c r="K92" s="32">
        <v>1.76</v>
      </c>
      <c r="L92" s="32">
        <v>1.6</v>
      </c>
      <c r="M92" s="23">
        <v>8</v>
      </c>
      <c r="N92" s="23">
        <v>0</v>
      </c>
      <c r="O92" s="24">
        <v>8.9999999999999993E-3</v>
      </c>
    </row>
    <row r="93" spans="1:15" x14ac:dyDescent="0.25">
      <c r="A93" s="16" t="s">
        <v>87</v>
      </c>
      <c r="B93" s="35">
        <v>3.6</v>
      </c>
      <c r="C93" s="32">
        <v>3.6</v>
      </c>
      <c r="D93" s="32">
        <v>3.76</v>
      </c>
      <c r="E93" s="32">
        <v>3.8</v>
      </c>
      <c r="F93" s="32">
        <v>3.6</v>
      </c>
      <c r="G93" s="32">
        <v>3.6</v>
      </c>
      <c r="H93" s="32">
        <v>3.6</v>
      </c>
      <c r="I93" s="32">
        <v>3.8</v>
      </c>
      <c r="J93" s="32">
        <v>3.6</v>
      </c>
      <c r="K93" s="32">
        <v>3.76</v>
      </c>
      <c r="L93" s="32">
        <v>3.6</v>
      </c>
      <c r="M93" s="23">
        <v>10</v>
      </c>
      <c r="N93" s="23">
        <v>2</v>
      </c>
      <c r="O93" s="24">
        <v>0.01</v>
      </c>
    </row>
    <row r="94" spans="1:15" x14ac:dyDescent="0.25">
      <c r="A94" s="16" t="s">
        <v>88</v>
      </c>
      <c r="B94" s="35">
        <v>4.84</v>
      </c>
      <c r="C94" s="32">
        <v>4.84</v>
      </c>
      <c r="D94" s="32">
        <v>4.84</v>
      </c>
      <c r="E94" s="32">
        <v>4.84</v>
      </c>
      <c r="F94" s="32">
        <v>4.84</v>
      </c>
      <c r="G94" s="32">
        <v>4.84</v>
      </c>
      <c r="H94" s="32">
        <v>4.84</v>
      </c>
      <c r="I94" s="32">
        <v>4.84</v>
      </c>
      <c r="J94" s="32">
        <v>4.84</v>
      </c>
      <c r="K94" s="32">
        <v>4.84</v>
      </c>
      <c r="L94" s="32">
        <v>4.84</v>
      </c>
      <c r="M94" s="23">
        <v>13</v>
      </c>
      <c r="N94" s="23">
        <v>2.8</v>
      </c>
      <c r="O94" s="24">
        <v>1.2E-2</v>
      </c>
    </row>
    <row r="95" spans="1:15" x14ac:dyDescent="0.25">
      <c r="A95" s="16" t="s">
        <v>89</v>
      </c>
      <c r="B95" s="35">
        <v>4.12</v>
      </c>
      <c r="C95" s="32">
        <v>4.16</v>
      </c>
      <c r="D95" s="32">
        <v>4.12</v>
      </c>
      <c r="E95" s="32">
        <v>4.16</v>
      </c>
      <c r="F95" s="32">
        <v>4.16</v>
      </c>
      <c r="G95" s="32">
        <v>4.12</v>
      </c>
      <c r="H95" s="32">
        <v>4.12</v>
      </c>
      <c r="I95" s="32">
        <v>4.12</v>
      </c>
      <c r="J95" s="32">
        <v>4.12</v>
      </c>
      <c r="K95" s="32">
        <v>4.12</v>
      </c>
      <c r="L95" s="32">
        <v>4.12</v>
      </c>
      <c r="M95" s="23">
        <v>11</v>
      </c>
      <c r="N95" s="23">
        <v>2.4</v>
      </c>
      <c r="O95" s="24">
        <v>1.2E-2</v>
      </c>
    </row>
    <row r="96" spans="1:15" x14ac:dyDescent="0.25">
      <c r="A96" s="16" t="s">
        <v>90</v>
      </c>
      <c r="B96" s="35">
        <v>4.12</v>
      </c>
      <c r="C96" s="32">
        <v>4.12</v>
      </c>
      <c r="D96" s="32">
        <v>4.12</v>
      </c>
      <c r="E96" s="32">
        <v>4.12</v>
      </c>
      <c r="F96" s="32">
        <v>4.12</v>
      </c>
      <c r="G96" s="32">
        <v>4.12</v>
      </c>
      <c r="H96" s="32">
        <v>4.12</v>
      </c>
      <c r="I96" s="32">
        <v>4.12</v>
      </c>
      <c r="J96" s="32">
        <v>4.12</v>
      </c>
      <c r="K96" s="32">
        <v>4.12</v>
      </c>
      <c r="L96" s="32">
        <v>4.12</v>
      </c>
      <c r="M96" s="23">
        <v>11</v>
      </c>
      <c r="N96" s="23">
        <v>2.4</v>
      </c>
      <c r="O96" s="24">
        <v>1.0999999999999999E-2</v>
      </c>
    </row>
    <row r="97" spans="1:15" x14ac:dyDescent="0.25">
      <c r="A97" s="16" t="s">
        <v>91</v>
      </c>
      <c r="B97" s="35">
        <v>4.68</v>
      </c>
      <c r="C97" s="32">
        <v>4.68</v>
      </c>
      <c r="D97" s="32">
        <v>4.68</v>
      </c>
      <c r="E97" s="32">
        <v>4.68</v>
      </c>
      <c r="F97" s="32">
        <v>4.68</v>
      </c>
      <c r="G97" s="32">
        <v>4.68</v>
      </c>
      <c r="H97" s="32">
        <v>4.68</v>
      </c>
      <c r="I97" s="32">
        <v>4.68</v>
      </c>
      <c r="J97" s="32">
        <v>4.68</v>
      </c>
      <c r="K97" s="32">
        <v>4.68</v>
      </c>
      <c r="L97" s="32">
        <v>4.68</v>
      </c>
      <c r="M97" s="23">
        <v>13</v>
      </c>
      <c r="N97" s="23">
        <v>2.6</v>
      </c>
      <c r="O97" s="24">
        <v>1.12E-2</v>
      </c>
    </row>
    <row r="98" spans="1:15" x14ac:dyDescent="0.25">
      <c r="A98" s="16" t="s">
        <v>92</v>
      </c>
      <c r="B98" s="35">
        <v>5</v>
      </c>
      <c r="C98" s="32">
        <v>5</v>
      </c>
      <c r="D98" s="32">
        <v>5</v>
      </c>
      <c r="E98" s="32">
        <v>5</v>
      </c>
      <c r="F98" s="32">
        <v>5</v>
      </c>
      <c r="G98" s="32">
        <v>5</v>
      </c>
      <c r="H98" s="32">
        <v>5</v>
      </c>
      <c r="I98" s="32">
        <v>5</v>
      </c>
      <c r="J98" s="32">
        <v>5</v>
      </c>
      <c r="K98" s="32">
        <v>5</v>
      </c>
      <c r="L98" s="32">
        <v>5</v>
      </c>
      <c r="M98" s="23">
        <v>13</v>
      </c>
      <c r="N98" s="23">
        <v>3</v>
      </c>
      <c r="O98" s="24">
        <v>1.2E-2</v>
      </c>
    </row>
    <row r="99" spans="1:15" x14ac:dyDescent="0.25">
      <c r="A99" s="16" t="s">
        <v>93</v>
      </c>
      <c r="B99" s="35">
        <v>3.76</v>
      </c>
      <c r="C99" s="32">
        <v>3.76</v>
      </c>
      <c r="D99" s="32">
        <v>3.76</v>
      </c>
      <c r="E99" s="32">
        <v>3.76</v>
      </c>
      <c r="F99" s="32">
        <v>3.76</v>
      </c>
      <c r="G99" s="32">
        <v>3.76</v>
      </c>
      <c r="H99" s="32">
        <v>3.76</v>
      </c>
      <c r="I99" s="32">
        <v>3.76</v>
      </c>
      <c r="J99" s="32">
        <v>3.76</v>
      </c>
      <c r="K99" s="32">
        <v>3.76</v>
      </c>
      <c r="L99" s="32">
        <v>3.76</v>
      </c>
      <c r="M99" s="23">
        <v>10</v>
      </c>
      <c r="N99" s="23">
        <v>2.2000000000000002</v>
      </c>
      <c r="O99" s="24">
        <v>9.7999999999999997E-3</v>
      </c>
    </row>
    <row r="100" spans="1:15" x14ac:dyDescent="0.25">
      <c r="A100" s="16" t="s">
        <v>94</v>
      </c>
      <c r="B100" s="35">
        <v>4.68</v>
      </c>
      <c r="C100" s="32">
        <v>4.68</v>
      </c>
      <c r="D100" s="32">
        <v>4.68</v>
      </c>
      <c r="E100" s="32">
        <v>4.68</v>
      </c>
      <c r="F100" s="32">
        <v>4.68</v>
      </c>
      <c r="G100" s="32">
        <v>4.68</v>
      </c>
      <c r="H100" s="32">
        <v>4.68</v>
      </c>
      <c r="I100" s="32">
        <v>4.68</v>
      </c>
      <c r="J100" s="32">
        <v>4.68</v>
      </c>
      <c r="K100" s="32">
        <v>4.68</v>
      </c>
      <c r="L100" s="32">
        <v>4.68</v>
      </c>
      <c r="M100" s="23">
        <v>9</v>
      </c>
      <c r="N100" s="23">
        <v>3.6</v>
      </c>
      <c r="O100" s="24">
        <v>9.7999999999999997E-3</v>
      </c>
    </row>
    <row r="101" spans="1:15" x14ac:dyDescent="0.25">
      <c r="A101" s="16" t="s">
        <v>95</v>
      </c>
      <c r="B101" s="35">
        <v>5.52</v>
      </c>
      <c r="C101" s="32">
        <v>5.52</v>
      </c>
      <c r="D101" s="32">
        <v>5.52</v>
      </c>
      <c r="E101" s="32">
        <v>5.52</v>
      </c>
      <c r="F101" s="32">
        <v>5.52</v>
      </c>
      <c r="G101" s="32">
        <v>5.52</v>
      </c>
      <c r="H101" s="32">
        <v>5.52</v>
      </c>
      <c r="I101" s="32">
        <v>5.52</v>
      </c>
      <c r="J101" s="32">
        <v>5.52</v>
      </c>
      <c r="K101" s="32">
        <v>5.52</v>
      </c>
      <c r="L101" s="32">
        <v>5.52</v>
      </c>
      <c r="M101" s="23">
        <v>14</v>
      </c>
      <c r="N101" s="23">
        <v>3.4</v>
      </c>
      <c r="O101" s="24">
        <v>1.2E-2</v>
      </c>
    </row>
    <row r="102" spans="1:15" x14ac:dyDescent="0.25">
      <c r="A102" s="16" t="s">
        <v>96</v>
      </c>
      <c r="B102" s="35">
        <v>3.24</v>
      </c>
      <c r="C102" s="32">
        <v>3.24</v>
      </c>
      <c r="D102" s="32">
        <v>3.24</v>
      </c>
      <c r="E102" s="32">
        <v>3.24</v>
      </c>
      <c r="F102" s="32">
        <v>3.24</v>
      </c>
      <c r="G102" s="32">
        <v>3.24</v>
      </c>
      <c r="H102" s="32">
        <v>3.24</v>
      </c>
      <c r="I102" s="32">
        <v>3.24</v>
      </c>
      <c r="J102" s="32">
        <v>3.24</v>
      </c>
      <c r="K102" s="32">
        <v>3.24</v>
      </c>
      <c r="L102" s="32">
        <v>3.24</v>
      </c>
      <c r="M102" s="23">
        <v>9</v>
      </c>
      <c r="N102" s="23">
        <v>1.8</v>
      </c>
      <c r="O102" s="24">
        <v>8.9999999999999993E-3</v>
      </c>
    </row>
    <row r="103" spans="1:15" x14ac:dyDescent="0.25">
      <c r="A103" s="16" t="s">
        <v>97</v>
      </c>
      <c r="B103" s="35">
        <v>4.24</v>
      </c>
      <c r="C103" s="32">
        <v>4.4000000000000004</v>
      </c>
      <c r="D103" s="32">
        <v>4.2</v>
      </c>
      <c r="E103" s="32">
        <v>4.2</v>
      </c>
      <c r="F103" s="32">
        <v>4.2</v>
      </c>
      <c r="G103" s="32">
        <v>4.2</v>
      </c>
      <c r="H103" s="32">
        <v>4.24</v>
      </c>
      <c r="I103" s="32">
        <v>4.4000000000000004</v>
      </c>
      <c r="J103" s="32">
        <v>4.2</v>
      </c>
      <c r="K103" s="32">
        <v>4.72</v>
      </c>
      <c r="L103" s="32">
        <v>4.2</v>
      </c>
      <c r="M103" s="23">
        <v>9</v>
      </c>
      <c r="N103" s="23">
        <v>3</v>
      </c>
      <c r="O103" s="24">
        <v>1.01E-2</v>
      </c>
    </row>
    <row r="104" spans="1:15" x14ac:dyDescent="0.25">
      <c r="A104" s="16" t="s">
        <v>98</v>
      </c>
      <c r="B104" s="35">
        <v>4.4400000000000004</v>
      </c>
      <c r="C104" s="32">
        <v>4.4400000000000004</v>
      </c>
      <c r="D104" s="32">
        <v>4.4400000000000004</v>
      </c>
      <c r="E104" s="32">
        <v>4.4400000000000004</v>
      </c>
      <c r="F104" s="32">
        <v>4.4400000000000004</v>
      </c>
      <c r="G104" s="32">
        <v>4.4400000000000004</v>
      </c>
      <c r="H104" s="32">
        <v>4.4400000000000004</v>
      </c>
      <c r="I104" s="32">
        <v>4.4400000000000004</v>
      </c>
      <c r="J104" s="32">
        <v>4.4400000000000004</v>
      </c>
      <c r="K104" s="32">
        <v>4.4400000000000004</v>
      </c>
      <c r="L104" s="32">
        <v>4.4400000000000004</v>
      </c>
      <c r="M104" s="23">
        <v>11</v>
      </c>
      <c r="N104" s="23">
        <v>2.8</v>
      </c>
      <c r="O104" s="24">
        <v>1.11E-2</v>
      </c>
    </row>
    <row r="105" spans="1:15" x14ac:dyDescent="0.25">
      <c r="A105" s="16" t="s">
        <v>99</v>
      </c>
      <c r="B105" s="35">
        <v>3.2</v>
      </c>
      <c r="C105" s="32">
        <v>3.2</v>
      </c>
      <c r="D105" s="32">
        <v>3.2</v>
      </c>
      <c r="E105" s="32">
        <v>3.2</v>
      </c>
      <c r="F105" s="32">
        <v>3.2</v>
      </c>
      <c r="G105" s="32">
        <v>3.2</v>
      </c>
      <c r="H105" s="32">
        <v>3.2</v>
      </c>
      <c r="I105" s="32">
        <v>3.2</v>
      </c>
      <c r="J105" s="32">
        <v>3.2</v>
      </c>
      <c r="K105" s="32">
        <v>3.2</v>
      </c>
      <c r="L105" s="32">
        <v>3.2</v>
      </c>
      <c r="M105" s="23">
        <v>12</v>
      </c>
      <c r="N105" s="23">
        <v>1</v>
      </c>
      <c r="O105" s="24">
        <v>1.0999999999999999E-2</v>
      </c>
    </row>
    <row r="106" spans="1:15" x14ac:dyDescent="0.25">
      <c r="A106" s="16" t="s">
        <v>100</v>
      </c>
      <c r="B106" s="35">
        <v>4.2</v>
      </c>
      <c r="C106" s="32">
        <v>4.2</v>
      </c>
      <c r="D106" s="32">
        <v>4.3600000000000003</v>
      </c>
      <c r="E106" s="32">
        <v>4.3600000000000003</v>
      </c>
      <c r="F106" s="32">
        <v>4.3600000000000003</v>
      </c>
      <c r="G106" s="32">
        <v>4.3600000000000003</v>
      </c>
      <c r="H106" s="32">
        <v>4.3600000000000003</v>
      </c>
      <c r="I106" s="32">
        <v>4.2</v>
      </c>
      <c r="J106" s="32">
        <v>4.3600000000000003</v>
      </c>
      <c r="K106" s="32">
        <v>4.3600000000000003</v>
      </c>
      <c r="L106" s="32">
        <v>4.2</v>
      </c>
      <c r="M106" s="23">
        <v>9</v>
      </c>
      <c r="N106" s="23">
        <v>3</v>
      </c>
      <c r="O106" s="24">
        <v>0.01</v>
      </c>
    </row>
    <row r="107" spans="1:15" x14ac:dyDescent="0.25">
      <c r="A107" s="16" t="s">
        <v>101</v>
      </c>
      <c r="B107" s="35">
        <v>3.8</v>
      </c>
      <c r="C107" s="32">
        <v>3.12</v>
      </c>
      <c r="D107" s="32">
        <v>3.6</v>
      </c>
      <c r="E107" s="32">
        <v>3.6</v>
      </c>
      <c r="F107" s="32">
        <v>3.12</v>
      </c>
      <c r="G107" s="32">
        <v>3.44</v>
      </c>
      <c r="H107" s="32">
        <v>3.28</v>
      </c>
      <c r="I107" s="32">
        <v>4.12</v>
      </c>
      <c r="J107" s="32">
        <v>3.44</v>
      </c>
      <c r="K107" s="32">
        <v>3.44</v>
      </c>
      <c r="L107" s="32">
        <v>3.12</v>
      </c>
      <c r="M107" s="23">
        <v>10</v>
      </c>
      <c r="N107" s="23">
        <v>1.4</v>
      </c>
      <c r="O107" s="24">
        <v>1.04E-2</v>
      </c>
    </row>
    <row r="108" spans="1:15" x14ac:dyDescent="0.25">
      <c r="A108" s="16" t="s">
        <v>102</v>
      </c>
      <c r="B108" s="35">
        <v>6.2</v>
      </c>
      <c r="C108" s="32">
        <v>6.2</v>
      </c>
      <c r="D108" s="32">
        <v>6.2</v>
      </c>
      <c r="E108" s="32">
        <v>6.2</v>
      </c>
      <c r="F108" s="32">
        <v>6.2</v>
      </c>
      <c r="G108" s="32">
        <v>6.2</v>
      </c>
      <c r="H108" s="32">
        <v>6.2</v>
      </c>
      <c r="I108" s="32">
        <v>6.2</v>
      </c>
      <c r="J108" s="32">
        <v>6.2</v>
      </c>
      <c r="K108" s="32">
        <v>6.2</v>
      </c>
      <c r="L108" s="32">
        <v>6.2</v>
      </c>
      <c r="M108" s="23">
        <v>11</v>
      </c>
      <c r="N108" s="23">
        <v>5</v>
      </c>
      <c r="O108" s="24">
        <v>1.09E-2</v>
      </c>
    </row>
    <row r="109" spans="1:15" x14ac:dyDescent="0.25">
      <c r="A109" s="16" t="s">
        <v>103</v>
      </c>
      <c r="B109" s="35">
        <v>3.24</v>
      </c>
      <c r="C109" s="32">
        <v>3.24</v>
      </c>
      <c r="D109" s="32">
        <v>3.24</v>
      </c>
      <c r="E109" s="32">
        <v>3.24</v>
      </c>
      <c r="F109" s="32">
        <v>3.24</v>
      </c>
      <c r="G109" s="32">
        <v>3.24</v>
      </c>
      <c r="H109" s="32">
        <v>3.24</v>
      </c>
      <c r="I109" s="32">
        <v>3.24</v>
      </c>
      <c r="J109" s="32">
        <v>3.24</v>
      </c>
      <c r="K109" s="32">
        <v>3.24</v>
      </c>
      <c r="L109" s="32">
        <v>3.24</v>
      </c>
      <c r="M109" s="23">
        <v>9</v>
      </c>
      <c r="N109" s="23">
        <v>1.8</v>
      </c>
      <c r="O109" s="24">
        <v>9.1000000000000004E-3</v>
      </c>
    </row>
    <row r="110" spans="1:15" x14ac:dyDescent="0.25">
      <c r="A110" s="16" t="s">
        <v>104</v>
      </c>
      <c r="B110" s="35">
        <v>2.8</v>
      </c>
      <c r="C110" s="32">
        <v>2.8</v>
      </c>
      <c r="D110" s="32">
        <v>2.8</v>
      </c>
      <c r="E110" s="32">
        <v>2.8</v>
      </c>
      <c r="F110" s="32">
        <v>2.8</v>
      </c>
      <c r="G110" s="32">
        <v>2.8</v>
      </c>
      <c r="H110" s="32">
        <v>2.8</v>
      </c>
      <c r="I110" s="32">
        <v>2.8</v>
      </c>
      <c r="J110" s="32">
        <v>2.8</v>
      </c>
      <c r="K110" s="32">
        <v>2.8</v>
      </c>
      <c r="L110" s="32">
        <v>2.8</v>
      </c>
      <c r="M110" s="23">
        <v>10</v>
      </c>
      <c r="N110" s="23">
        <v>1</v>
      </c>
      <c r="O110" s="24">
        <v>9.4000000000000004E-3</v>
      </c>
    </row>
    <row r="111" spans="1:15" x14ac:dyDescent="0.25">
      <c r="A111" s="16" t="s">
        <v>105</v>
      </c>
      <c r="B111" s="35">
        <v>2.76</v>
      </c>
      <c r="C111" s="32">
        <v>2.76</v>
      </c>
      <c r="D111" s="32">
        <v>2.76</v>
      </c>
      <c r="E111" s="32">
        <v>2.76</v>
      </c>
      <c r="F111" s="32">
        <v>2.76</v>
      </c>
      <c r="G111" s="32">
        <v>2.92</v>
      </c>
      <c r="H111" s="32">
        <v>3.08</v>
      </c>
      <c r="I111" s="32">
        <v>2.76</v>
      </c>
      <c r="J111" s="32">
        <v>2.92</v>
      </c>
      <c r="K111" s="32">
        <v>2.76</v>
      </c>
      <c r="L111" s="32">
        <v>2.76</v>
      </c>
      <c r="M111" s="23">
        <v>9</v>
      </c>
      <c r="N111" s="23">
        <v>1.2</v>
      </c>
      <c r="O111" s="24">
        <v>9.4999999999999998E-3</v>
      </c>
    </row>
    <row r="112" spans="1:15" x14ac:dyDescent="0.25">
      <c r="A112" s="16" t="s">
        <v>106</v>
      </c>
      <c r="B112" s="35">
        <v>6.08</v>
      </c>
      <c r="C112" s="32">
        <v>6.08</v>
      </c>
      <c r="D112" s="32">
        <v>6.08</v>
      </c>
      <c r="E112" s="32">
        <v>6.08</v>
      </c>
      <c r="F112" s="32">
        <v>6.08</v>
      </c>
      <c r="G112" s="32">
        <v>6.08</v>
      </c>
      <c r="H112" s="32">
        <v>6.08</v>
      </c>
      <c r="I112" s="32">
        <v>6.08</v>
      </c>
      <c r="J112" s="32">
        <v>6.08</v>
      </c>
      <c r="K112" s="32">
        <v>6.08</v>
      </c>
      <c r="L112" s="32">
        <v>6.08</v>
      </c>
      <c r="M112" s="23">
        <v>12</v>
      </c>
      <c r="N112" s="23">
        <v>4.5999999999999996</v>
      </c>
      <c r="O112" s="24">
        <v>1.0999999999999999E-2</v>
      </c>
    </row>
    <row r="113" spans="1:15" x14ac:dyDescent="0.25">
      <c r="A113" s="16" t="s">
        <v>107</v>
      </c>
      <c r="B113" s="35">
        <v>2</v>
      </c>
      <c r="C113" s="32">
        <v>2</v>
      </c>
      <c r="D113" s="32">
        <v>2</v>
      </c>
      <c r="E113" s="32">
        <v>2</v>
      </c>
      <c r="F113" s="32">
        <v>2</v>
      </c>
      <c r="G113" s="32">
        <v>2</v>
      </c>
      <c r="H113" s="32">
        <v>2</v>
      </c>
      <c r="I113" s="32">
        <v>2</v>
      </c>
      <c r="J113" s="32">
        <v>2</v>
      </c>
      <c r="K113" s="32">
        <v>2</v>
      </c>
      <c r="L113" s="32">
        <v>2</v>
      </c>
      <c r="M113" s="23">
        <v>10</v>
      </c>
      <c r="N113" s="23">
        <v>0</v>
      </c>
      <c r="O113" s="24">
        <v>1.01E-2</v>
      </c>
    </row>
    <row r="114" spans="1:15" x14ac:dyDescent="0.25">
      <c r="A114" s="16" t="s">
        <v>108</v>
      </c>
      <c r="B114" s="35">
        <v>3.64</v>
      </c>
      <c r="C114" s="32">
        <v>3.64</v>
      </c>
      <c r="D114" s="32">
        <v>3.64</v>
      </c>
      <c r="E114" s="32">
        <v>3.64</v>
      </c>
      <c r="F114" s="32">
        <v>3.64</v>
      </c>
      <c r="G114" s="32">
        <v>3.64</v>
      </c>
      <c r="H114" s="32">
        <v>3.64</v>
      </c>
      <c r="I114" s="32">
        <v>3.64</v>
      </c>
      <c r="J114" s="32">
        <v>3.64</v>
      </c>
      <c r="K114" s="32">
        <v>3.64</v>
      </c>
      <c r="L114" s="32">
        <v>3.64</v>
      </c>
      <c r="M114" s="23">
        <v>11</v>
      </c>
      <c r="N114" s="23">
        <v>1.8</v>
      </c>
      <c r="O114" s="24">
        <v>1.04E-2</v>
      </c>
    </row>
    <row r="115" spans="1:15" x14ac:dyDescent="0.25">
      <c r="A115" s="16" t="s">
        <v>109</v>
      </c>
      <c r="B115" s="35">
        <v>2.76</v>
      </c>
      <c r="C115" s="32">
        <v>2.76</v>
      </c>
      <c r="D115" s="32">
        <v>2.76</v>
      </c>
      <c r="E115" s="32">
        <v>2.76</v>
      </c>
      <c r="F115" s="32">
        <v>2.76</v>
      </c>
      <c r="G115" s="32">
        <v>2.76</v>
      </c>
      <c r="H115" s="32">
        <v>2.76</v>
      </c>
      <c r="I115" s="32">
        <v>2.76</v>
      </c>
      <c r="J115" s="32">
        <v>2.76</v>
      </c>
      <c r="K115" s="32">
        <v>2.76</v>
      </c>
      <c r="L115" s="32">
        <v>2.76</v>
      </c>
      <c r="M115" s="23">
        <v>9</v>
      </c>
      <c r="N115" s="23">
        <v>1.2</v>
      </c>
      <c r="O115" s="24">
        <v>9.1000000000000004E-3</v>
      </c>
    </row>
    <row r="116" spans="1:15" x14ac:dyDescent="0.25">
      <c r="A116" s="16" t="s">
        <v>110</v>
      </c>
      <c r="B116" s="35">
        <v>5.04</v>
      </c>
      <c r="C116" s="32">
        <v>4.88</v>
      </c>
      <c r="D116" s="32">
        <v>5.04</v>
      </c>
      <c r="E116" s="32">
        <v>4.88</v>
      </c>
      <c r="F116" s="32">
        <v>5.04</v>
      </c>
      <c r="G116" s="32">
        <v>4.88</v>
      </c>
      <c r="H116" s="32">
        <v>5.04</v>
      </c>
      <c r="I116" s="32">
        <v>5.04</v>
      </c>
      <c r="J116" s="32">
        <v>5.04</v>
      </c>
      <c r="K116" s="32">
        <v>5.04</v>
      </c>
      <c r="L116" s="32">
        <v>4.88</v>
      </c>
      <c r="M116" s="23">
        <v>10</v>
      </c>
      <c r="N116" s="23">
        <v>3.6</v>
      </c>
      <c r="O116" s="24">
        <v>1.0999999999999999E-2</v>
      </c>
    </row>
    <row r="117" spans="1:15" x14ac:dyDescent="0.25">
      <c r="A117" s="16" t="s">
        <v>111</v>
      </c>
      <c r="B117" s="35">
        <v>3.32</v>
      </c>
      <c r="C117" s="32">
        <v>3.16</v>
      </c>
      <c r="D117" s="32">
        <v>3.16</v>
      </c>
      <c r="E117" s="32">
        <v>3.32</v>
      </c>
      <c r="F117" s="32">
        <v>3.16</v>
      </c>
      <c r="G117" s="32">
        <v>3.16</v>
      </c>
      <c r="H117" s="32">
        <v>3.32</v>
      </c>
      <c r="I117" s="32">
        <v>3.32</v>
      </c>
      <c r="J117" s="32">
        <v>3.32</v>
      </c>
      <c r="K117" s="32">
        <v>3.32</v>
      </c>
      <c r="L117" s="32">
        <v>3.16</v>
      </c>
      <c r="M117" s="23">
        <v>11</v>
      </c>
      <c r="N117" s="23">
        <v>1.2</v>
      </c>
      <c r="O117" s="24">
        <v>1.03E-2</v>
      </c>
    </row>
    <row r="118" spans="1:15" x14ac:dyDescent="0.25">
      <c r="A118" s="16" t="s">
        <v>112</v>
      </c>
      <c r="B118" s="35">
        <v>5.48</v>
      </c>
      <c r="C118" s="32">
        <v>5.48</v>
      </c>
      <c r="D118" s="32">
        <v>5.48</v>
      </c>
      <c r="E118" s="32">
        <v>5.48</v>
      </c>
      <c r="F118" s="32">
        <v>5.48</v>
      </c>
      <c r="G118" s="32">
        <v>5.48</v>
      </c>
      <c r="H118" s="32">
        <v>5.48</v>
      </c>
      <c r="I118" s="32">
        <v>5.48</v>
      </c>
      <c r="J118" s="32">
        <v>5.48</v>
      </c>
      <c r="K118" s="32">
        <v>5.48</v>
      </c>
      <c r="L118" s="32">
        <v>5.48</v>
      </c>
      <c r="M118" s="23">
        <v>9</v>
      </c>
      <c r="N118" s="23">
        <v>4.5999999999999996</v>
      </c>
      <c r="O118" s="24">
        <v>1.04E-2</v>
      </c>
    </row>
    <row r="119" spans="1:15" x14ac:dyDescent="0.25">
      <c r="A119" s="16" t="s">
        <v>113</v>
      </c>
      <c r="B119" s="35">
        <v>4.8</v>
      </c>
      <c r="C119" s="32">
        <v>4.8</v>
      </c>
      <c r="D119" s="32">
        <v>4.8</v>
      </c>
      <c r="E119" s="32">
        <v>4.8</v>
      </c>
      <c r="F119" s="32">
        <v>4.8</v>
      </c>
      <c r="G119" s="32">
        <v>4.8</v>
      </c>
      <c r="H119" s="32">
        <v>4.8</v>
      </c>
      <c r="I119" s="32">
        <v>4.8</v>
      </c>
      <c r="J119" s="32">
        <v>4.8</v>
      </c>
      <c r="K119" s="32">
        <v>4.8</v>
      </c>
      <c r="L119" s="32">
        <v>4.8</v>
      </c>
      <c r="M119" s="23">
        <v>12</v>
      </c>
      <c r="N119" s="23">
        <v>3</v>
      </c>
      <c r="O119" s="24">
        <v>1.15E-2</v>
      </c>
    </row>
    <row r="120" spans="1:15" x14ac:dyDescent="0.25">
      <c r="A120" s="16" t="s">
        <v>114</v>
      </c>
      <c r="B120" s="35">
        <v>4.08</v>
      </c>
      <c r="C120" s="32">
        <v>4.08</v>
      </c>
      <c r="D120" s="32">
        <v>4.08</v>
      </c>
      <c r="E120" s="32">
        <v>4.08</v>
      </c>
      <c r="F120" s="32">
        <v>3.92</v>
      </c>
      <c r="G120" s="32">
        <v>4.08</v>
      </c>
      <c r="H120" s="32">
        <v>4.08</v>
      </c>
      <c r="I120" s="32">
        <v>3.92</v>
      </c>
      <c r="J120" s="32">
        <v>4.08</v>
      </c>
      <c r="K120" s="32">
        <v>4.08</v>
      </c>
      <c r="L120" s="32">
        <v>3.92</v>
      </c>
      <c r="M120" s="23">
        <v>10</v>
      </c>
      <c r="N120" s="23">
        <v>2.4</v>
      </c>
      <c r="O120" s="24">
        <v>1.0999999999999999E-2</v>
      </c>
    </row>
    <row r="121" spans="1:15" x14ac:dyDescent="0.25">
      <c r="A121" s="16" t="s">
        <v>115</v>
      </c>
      <c r="B121" s="35">
        <v>5.36</v>
      </c>
      <c r="C121" s="32">
        <v>5.36</v>
      </c>
      <c r="D121" s="32">
        <v>5.36</v>
      </c>
      <c r="E121" s="32">
        <v>5.24</v>
      </c>
      <c r="F121" s="32">
        <v>5.36</v>
      </c>
      <c r="G121" s="32">
        <v>5.2</v>
      </c>
      <c r="H121" s="32">
        <v>5.4</v>
      </c>
      <c r="I121" s="32">
        <v>5.36</v>
      </c>
      <c r="J121" s="32">
        <v>5.36</v>
      </c>
      <c r="K121" s="32">
        <v>5.24</v>
      </c>
      <c r="L121" s="32">
        <v>5.2</v>
      </c>
      <c r="M121" s="23">
        <v>10</v>
      </c>
      <c r="N121" s="23">
        <v>4</v>
      </c>
      <c r="O121" s="24">
        <v>1.04E-2</v>
      </c>
    </row>
    <row r="122" spans="1:15" x14ac:dyDescent="0.25">
      <c r="A122" s="16" t="s">
        <v>116</v>
      </c>
      <c r="B122" s="35">
        <v>6.16</v>
      </c>
      <c r="C122" s="32">
        <v>6.16</v>
      </c>
      <c r="D122" s="32">
        <v>6.16</v>
      </c>
      <c r="E122" s="32">
        <v>6.16</v>
      </c>
      <c r="F122" s="32">
        <v>6.16</v>
      </c>
      <c r="G122" s="32">
        <v>6.16</v>
      </c>
      <c r="H122" s="32">
        <v>6.16</v>
      </c>
      <c r="I122" s="32">
        <v>6.16</v>
      </c>
      <c r="J122" s="32">
        <v>6.16</v>
      </c>
      <c r="K122" s="32">
        <v>6.16</v>
      </c>
      <c r="L122" s="32">
        <v>6.16</v>
      </c>
      <c r="M122" s="23">
        <v>10</v>
      </c>
      <c r="N122" s="23">
        <v>5.2</v>
      </c>
      <c r="O122" s="24">
        <v>1.11E-2</v>
      </c>
    </row>
    <row r="123" spans="1:15" x14ac:dyDescent="0.25">
      <c r="A123" s="16" t="s">
        <v>117</v>
      </c>
      <c r="B123" s="35">
        <v>3.28</v>
      </c>
      <c r="C123" s="32">
        <v>3.28</v>
      </c>
      <c r="D123" s="32">
        <v>3.28</v>
      </c>
      <c r="E123" s="32">
        <v>3.44</v>
      </c>
      <c r="F123" s="32">
        <v>3.44</v>
      </c>
      <c r="G123" s="32">
        <v>3.44</v>
      </c>
      <c r="H123" s="32">
        <v>3.44</v>
      </c>
      <c r="I123" s="32">
        <v>3.28</v>
      </c>
      <c r="J123" s="32">
        <v>3.28</v>
      </c>
      <c r="K123" s="32">
        <v>3.44</v>
      </c>
      <c r="L123" s="32">
        <v>3.28</v>
      </c>
      <c r="M123" s="23">
        <v>6</v>
      </c>
      <c r="N123" s="23">
        <v>2.6</v>
      </c>
      <c r="O123" s="24">
        <v>8.0000000000000002E-3</v>
      </c>
    </row>
    <row r="124" spans="1:15" x14ac:dyDescent="0.25">
      <c r="A124" s="16" t="s">
        <v>118</v>
      </c>
      <c r="B124" s="35">
        <v>3.24</v>
      </c>
      <c r="C124" s="32">
        <v>3.24</v>
      </c>
      <c r="D124" s="32">
        <v>3.24</v>
      </c>
      <c r="E124" s="32">
        <v>3.24</v>
      </c>
      <c r="F124" s="32">
        <v>3.24</v>
      </c>
      <c r="G124" s="32">
        <v>3.24</v>
      </c>
      <c r="H124" s="32">
        <v>3.24</v>
      </c>
      <c r="I124" s="32">
        <v>3.24</v>
      </c>
      <c r="J124" s="32">
        <v>3.24</v>
      </c>
      <c r="K124" s="32">
        <v>3.24</v>
      </c>
      <c r="L124" s="32">
        <v>3.24</v>
      </c>
      <c r="M124" s="23">
        <v>9</v>
      </c>
      <c r="N124" s="23">
        <v>1.8</v>
      </c>
      <c r="O124" s="24">
        <v>9.1999999999999998E-3</v>
      </c>
    </row>
    <row r="125" spans="1:15" x14ac:dyDescent="0.25">
      <c r="A125" s="16" t="s">
        <v>119</v>
      </c>
      <c r="B125" s="35">
        <v>4</v>
      </c>
      <c r="C125" s="32">
        <v>3.68</v>
      </c>
      <c r="D125" s="32">
        <v>3.68</v>
      </c>
      <c r="E125" s="32">
        <v>4</v>
      </c>
      <c r="F125" s="32">
        <v>3.84</v>
      </c>
      <c r="G125" s="32">
        <v>3.68</v>
      </c>
      <c r="H125" s="32">
        <v>3.84</v>
      </c>
      <c r="I125" s="32">
        <v>3.68</v>
      </c>
      <c r="J125" s="32">
        <v>3.68</v>
      </c>
      <c r="K125" s="32">
        <v>3.68</v>
      </c>
      <c r="L125" s="32">
        <v>3.68</v>
      </c>
      <c r="M125" s="23">
        <v>8</v>
      </c>
      <c r="N125" s="23">
        <v>2.6</v>
      </c>
      <c r="O125" s="24">
        <v>8.6E-3</v>
      </c>
    </row>
    <row r="126" spans="1:15" x14ac:dyDescent="0.25">
      <c r="A126" s="16" t="s">
        <v>120</v>
      </c>
      <c r="B126" s="35">
        <v>5.52</v>
      </c>
      <c r="C126" s="32">
        <v>5.52</v>
      </c>
      <c r="D126" s="32">
        <v>5.52</v>
      </c>
      <c r="E126" s="32">
        <v>5.52</v>
      </c>
      <c r="F126" s="32">
        <v>5.52</v>
      </c>
      <c r="G126" s="32">
        <v>5.52</v>
      </c>
      <c r="H126" s="32">
        <v>5.52</v>
      </c>
      <c r="I126" s="32">
        <v>5.52</v>
      </c>
      <c r="J126" s="32">
        <v>5.52</v>
      </c>
      <c r="K126" s="32">
        <v>5.52</v>
      </c>
      <c r="L126" s="32">
        <v>5.52</v>
      </c>
      <c r="M126" s="23">
        <v>10</v>
      </c>
      <c r="N126" s="23">
        <v>4.4000000000000004</v>
      </c>
      <c r="O126" s="24">
        <v>1.09E-2</v>
      </c>
    </row>
    <row r="127" spans="1:15" x14ac:dyDescent="0.25">
      <c r="A127" s="17" t="s">
        <v>121</v>
      </c>
      <c r="B127" s="35">
        <v>2.8</v>
      </c>
      <c r="C127" s="32">
        <v>2.8</v>
      </c>
      <c r="D127" s="32">
        <v>2.8</v>
      </c>
      <c r="E127" s="32">
        <v>2.8</v>
      </c>
      <c r="F127" s="32">
        <v>2.8</v>
      </c>
      <c r="G127" s="32">
        <v>2.8</v>
      </c>
      <c r="H127" s="32">
        <v>2.8</v>
      </c>
      <c r="I127" s="32">
        <v>2.8</v>
      </c>
      <c r="J127" s="32">
        <v>2.8</v>
      </c>
      <c r="K127" s="32">
        <v>2.8</v>
      </c>
      <c r="L127" s="32">
        <v>2.8</v>
      </c>
      <c r="M127" s="23">
        <v>10</v>
      </c>
      <c r="N127" s="23">
        <v>1</v>
      </c>
      <c r="O127" s="24">
        <v>9.1999999999999998E-3</v>
      </c>
    </row>
    <row r="128" spans="1:15" x14ac:dyDescent="0.25">
      <c r="A128" s="17" t="s">
        <v>122</v>
      </c>
      <c r="B128" s="35">
        <v>5.92</v>
      </c>
      <c r="C128" s="32">
        <v>5.92</v>
      </c>
      <c r="D128" s="32">
        <v>5.92</v>
      </c>
      <c r="E128" s="32">
        <v>5.92</v>
      </c>
      <c r="F128" s="32">
        <v>5.92</v>
      </c>
      <c r="G128" s="32">
        <v>5.96</v>
      </c>
      <c r="H128" s="32">
        <v>5.92</v>
      </c>
      <c r="I128" s="32">
        <v>5.92</v>
      </c>
      <c r="J128" s="32">
        <v>5.92</v>
      </c>
      <c r="K128" s="32">
        <v>5.92</v>
      </c>
      <c r="L128" s="32">
        <v>5.92</v>
      </c>
      <c r="M128" s="23">
        <v>16</v>
      </c>
      <c r="N128" s="23">
        <v>3.4</v>
      </c>
      <c r="O128" s="24">
        <v>3.6600000000000001E-2</v>
      </c>
    </row>
    <row r="129" spans="1:15" x14ac:dyDescent="0.25">
      <c r="A129" s="17" t="s">
        <v>123</v>
      </c>
      <c r="B129" s="35">
        <v>5.44</v>
      </c>
      <c r="C129" s="32">
        <v>5.6</v>
      </c>
      <c r="D129" s="32">
        <v>5.12</v>
      </c>
      <c r="E129" s="32">
        <v>5.12</v>
      </c>
      <c r="F129" s="32">
        <v>5.6</v>
      </c>
      <c r="G129" s="32">
        <v>5.76</v>
      </c>
      <c r="H129" s="32">
        <v>5.12</v>
      </c>
      <c r="I129" s="32">
        <v>5.12</v>
      </c>
      <c r="J129" s="32">
        <v>5.12</v>
      </c>
      <c r="K129" s="32">
        <v>5.12</v>
      </c>
      <c r="L129" s="32">
        <v>5.12</v>
      </c>
      <c r="M129" s="23">
        <v>16</v>
      </c>
      <c r="N129" s="23">
        <v>2.4</v>
      </c>
      <c r="O129" s="24">
        <v>3.61E-2</v>
      </c>
    </row>
    <row r="130" spans="1:15" x14ac:dyDescent="0.25">
      <c r="A130" s="17" t="s">
        <v>124</v>
      </c>
      <c r="B130" s="35">
        <v>7.04</v>
      </c>
      <c r="C130" s="32">
        <v>7.08</v>
      </c>
      <c r="D130" s="32">
        <v>6.88</v>
      </c>
      <c r="E130" s="32">
        <v>7.08</v>
      </c>
      <c r="F130" s="32">
        <v>6.56</v>
      </c>
      <c r="G130" s="32">
        <v>6.72</v>
      </c>
      <c r="H130" s="32">
        <v>6.88</v>
      </c>
      <c r="I130" s="32">
        <v>6.88</v>
      </c>
      <c r="J130" s="32">
        <v>6.88</v>
      </c>
      <c r="K130" s="32">
        <v>7.08</v>
      </c>
      <c r="L130" s="32">
        <v>6.56</v>
      </c>
      <c r="M130" s="23">
        <v>20</v>
      </c>
      <c r="N130" s="23">
        <v>3.2</v>
      </c>
      <c r="O130" s="24">
        <v>4.3700000000000003E-2</v>
      </c>
    </row>
    <row r="131" spans="1:15" x14ac:dyDescent="0.25">
      <c r="A131" s="17" t="s">
        <v>125</v>
      </c>
      <c r="B131" s="35">
        <v>7.44</v>
      </c>
      <c r="C131" s="32">
        <v>7.44</v>
      </c>
      <c r="D131" s="32">
        <v>7.44</v>
      </c>
      <c r="E131" s="32">
        <v>7.44</v>
      </c>
      <c r="F131" s="32">
        <v>7.44</v>
      </c>
      <c r="G131" s="32">
        <v>7.44</v>
      </c>
      <c r="H131" s="32">
        <v>7.44</v>
      </c>
      <c r="I131" s="32">
        <v>7.44</v>
      </c>
      <c r="J131" s="32">
        <v>7.44</v>
      </c>
      <c r="K131" s="32">
        <v>7.44</v>
      </c>
      <c r="L131" s="32">
        <v>7.44</v>
      </c>
      <c r="M131" s="23">
        <v>22</v>
      </c>
      <c r="N131" s="23">
        <v>3.8</v>
      </c>
      <c r="O131" s="24">
        <v>8.14E-2</v>
      </c>
    </row>
    <row r="132" spans="1:15" x14ac:dyDescent="0.25">
      <c r="A132" s="17" t="s">
        <v>126</v>
      </c>
      <c r="B132" s="35">
        <v>8.8000000000000007</v>
      </c>
      <c r="C132" s="32">
        <v>9</v>
      </c>
      <c r="D132" s="32">
        <v>9.16</v>
      </c>
      <c r="E132" s="32">
        <v>9</v>
      </c>
      <c r="F132" s="32">
        <v>9</v>
      </c>
      <c r="G132" s="32">
        <v>9</v>
      </c>
      <c r="H132" s="32">
        <v>8.9600000000000009</v>
      </c>
      <c r="I132" s="32">
        <v>8.9600000000000009</v>
      </c>
      <c r="J132" s="32">
        <v>8.9600000000000009</v>
      </c>
      <c r="K132" s="32">
        <v>8.9600000000000009</v>
      </c>
      <c r="L132" s="32">
        <v>8.8000000000000007</v>
      </c>
      <c r="M132" s="23">
        <v>28</v>
      </c>
      <c r="N132" s="23">
        <v>4</v>
      </c>
      <c r="O132" s="24">
        <v>9.2100000000000001E-2</v>
      </c>
    </row>
    <row r="133" spans="1:15" x14ac:dyDescent="0.25">
      <c r="A133" s="17" t="s">
        <v>127</v>
      </c>
      <c r="B133" s="35">
        <v>7.88</v>
      </c>
      <c r="C133" s="32">
        <v>7.88</v>
      </c>
      <c r="D133" s="32">
        <v>7.88</v>
      </c>
      <c r="E133" s="32">
        <v>7.88</v>
      </c>
      <c r="F133" s="32">
        <v>7.88</v>
      </c>
      <c r="G133" s="32">
        <v>7.88</v>
      </c>
      <c r="H133" s="32">
        <v>7.88</v>
      </c>
      <c r="I133" s="32">
        <v>7.72</v>
      </c>
      <c r="J133" s="32">
        <v>7.88</v>
      </c>
      <c r="K133" s="32">
        <v>7.72</v>
      </c>
      <c r="L133" s="32">
        <v>7.72</v>
      </c>
      <c r="M133" s="23">
        <v>25</v>
      </c>
      <c r="N133" s="23">
        <v>3.4</v>
      </c>
      <c r="O133" s="24">
        <v>8.3100000000000007E-2</v>
      </c>
    </row>
    <row r="134" spans="1:15" x14ac:dyDescent="0.25">
      <c r="A134" s="17" t="s">
        <v>128</v>
      </c>
      <c r="B134" s="35">
        <v>6.52</v>
      </c>
      <c r="C134" s="32">
        <v>6.68</v>
      </c>
      <c r="D134" s="32">
        <v>6.68</v>
      </c>
      <c r="E134" s="32">
        <v>6.52</v>
      </c>
      <c r="F134" s="32">
        <v>6.68</v>
      </c>
      <c r="G134" s="32">
        <v>6.68</v>
      </c>
      <c r="H134" s="32">
        <v>6.52</v>
      </c>
      <c r="I134" s="32">
        <v>6.52</v>
      </c>
      <c r="J134" s="32">
        <v>6.36</v>
      </c>
      <c r="K134" s="32">
        <v>6.68</v>
      </c>
      <c r="L134" s="32">
        <v>6.36</v>
      </c>
      <c r="M134" s="23">
        <v>23</v>
      </c>
      <c r="N134" s="23">
        <v>2.2000000000000002</v>
      </c>
      <c r="O134" s="24">
        <v>8.2400000000000001E-2</v>
      </c>
    </row>
    <row r="135" spans="1:15" x14ac:dyDescent="0.25">
      <c r="A135" s="17" t="s">
        <v>129</v>
      </c>
      <c r="B135" s="35">
        <v>8.0399999999999991</v>
      </c>
      <c r="C135" s="32">
        <v>8.1999999999999993</v>
      </c>
      <c r="D135" s="32">
        <v>8.1999999999999993</v>
      </c>
      <c r="E135" s="32">
        <v>8.1999999999999993</v>
      </c>
      <c r="F135" s="32">
        <v>8.1999999999999993</v>
      </c>
      <c r="G135" s="32">
        <v>8.1999999999999993</v>
      </c>
      <c r="H135" s="32">
        <v>8.1999999999999993</v>
      </c>
      <c r="I135" s="32">
        <v>7.4</v>
      </c>
      <c r="J135" s="32">
        <v>8.1999999999999993</v>
      </c>
      <c r="K135" s="32">
        <v>8.1999999999999993</v>
      </c>
      <c r="L135" s="32">
        <v>7.4</v>
      </c>
      <c r="M135" s="23">
        <v>25</v>
      </c>
      <c r="N135" s="23">
        <v>3</v>
      </c>
      <c r="O135" s="24">
        <v>9.0599999999999986E-2</v>
      </c>
    </row>
    <row r="136" spans="1:15" x14ac:dyDescent="0.25">
      <c r="A136" s="17" t="s">
        <v>130</v>
      </c>
      <c r="B136" s="35">
        <v>8.76</v>
      </c>
      <c r="C136" s="32">
        <v>7.96</v>
      </c>
      <c r="D136" s="32">
        <v>7.8</v>
      </c>
      <c r="E136" s="32">
        <v>8.2799999999999994</v>
      </c>
      <c r="F136" s="32">
        <v>8.2799999999999994</v>
      </c>
      <c r="G136" s="32">
        <v>7.8</v>
      </c>
      <c r="H136" s="32">
        <v>8.1199999999999992</v>
      </c>
      <c r="I136" s="32">
        <v>8.6</v>
      </c>
      <c r="J136" s="32">
        <v>7.8</v>
      </c>
      <c r="K136" s="32">
        <v>8.1199999999999992</v>
      </c>
      <c r="L136" s="32">
        <v>7.8</v>
      </c>
      <c r="M136" s="23">
        <v>27</v>
      </c>
      <c r="N136" s="23">
        <v>3</v>
      </c>
      <c r="O136" s="24">
        <v>9.2300000000000007E-2</v>
      </c>
    </row>
    <row r="137" spans="1:15" x14ac:dyDescent="0.25">
      <c r="A137" s="17" t="s">
        <v>131</v>
      </c>
      <c r="B137" s="35">
        <v>11.04</v>
      </c>
      <c r="C137" s="32">
        <v>10.76</v>
      </c>
      <c r="D137" s="32">
        <v>10.76</v>
      </c>
      <c r="E137" s="32">
        <v>11.04</v>
      </c>
      <c r="F137" s="32">
        <v>10.76</v>
      </c>
      <c r="G137" s="32">
        <v>10.6</v>
      </c>
      <c r="H137" s="32">
        <v>11.04</v>
      </c>
      <c r="I137" s="32">
        <v>10.92</v>
      </c>
      <c r="J137" s="32">
        <v>11.04</v>
      </c>
      <c r="K137" s="32">
        <v>10.72</v>
      </c>
      <c r="L137" s="32">
        <v>10.6</v>
      </c>
      <c r="M137" s="23">
        <v>33</v>
      </c>
      <c r="N137" s="23">
        <v>5</v>
      </c>
      <c r="O137" s="24">
        <v>0.10299999999999999</v>
      </c>
    </row>
    <row r="138" spans="1:15" x14ac:dyDescent="0.25">
      <c r="A138" s="17" t="s">
        <v>132</v>
      </c>
      <c r="B138" s="35">
        <v>10.4</v>
      </c>
      <c r="C138" s="32">
        <v>10.4</v>
      </c>
      <c r="D138" s="32">
        <v>10.4</v>
      </c>
      <c r="E138" s="32">
        <v>9.8800000000000008</v>
      </c>
      <c r="F138" s="32">
        <v>10.4</v>
      </c>
      <c r="G138" s="32">
        <v>10.4</v>
      </c>
      <c r="H138" s="32">
        <v>10.4</v>
      </c>
      <c r="I138" s="32">
        <v>9.56</v>
      </c>
      <c r="J138" s="32">
        <v>10.36</v>
      </c>
      <c r="K138" s="32">
        <v>9.56</v>
      </c>
      <c r="L138" s="32">
        <v>9.56</v>
      </c>
      <c r="M138" s="23">
        <v>35</v>
      </c>
      <c r="N138" s="23">
        <v>3.2</v>
      </c>
      <c r="O138" s="24">
        <v>0.107</v>
      </c>
    </row>
    <row r="139" spans="1:15" x14ac:dyDescent="0.25">
      <c r="A139" s="17" t="s">
        <v>133</v>
      </c>
      <c r="B139" s="35">
        <v>10.32</v>
      </c>
      <c r="C139" s="32">
        <v>10.32</v>
      </c>
      <c r="D139" s="32">
        <v>10.16</v>
      </c>
      <c r="E139" s="32">
        <v>10.32</v>
      </c>
      <c r="F139" s="32">
        <v>10.32</v>
      </c>
      <c r="G139" s="32">
        <v>10.32</v>
      </c>
      <c r="H139" s="32">
        <v>10.32</v>
      </c>
      <c r="I139" s="32">
        <v>10.32</v>
      </c>
      <c r="J139" s="32">
        <v>10.32</v>
      </c>
      <c r="K139" s="32">
        <v>10.28</v>
      </c>
      <c r="L139" s="32">
        <v>10.16</v>
      </c>
      <c r="M139" s="23">
        <v>26</v>
      </c>
      <c r="N139" s="23">
        <v>6.2</v>
      </c>
      <c r="O139" s="24">
        <v>8.2100000000000006E-2</v>
      </c>
    </row>
    <row r="140" spans="1:15" x14ac:dyDescent="0.25">
      <c r="A140" s="17" t="s">
        <v>134</v>
      </c>
      <c r="B140" s="35">
        <v>11.44</v>
      </c>
      <c r="C140" s="32">
        <v>11.44</v>
      </c>
      <c r="D140" s="32">
        <v>11.44</v>
      </c>
      <c r="E140" s="32">
        <v>11.44</v>
      </c>
      <c r="F140" s="32">
        <v>11.44</v>
      </c>
      <c r="G140" s="32">
        <v>11.44</v>
      </c>
      <c r="H140" s="32">
        <v>11.44</v>
      </c>
      <c r="I140" s="32">
        <v>11.44</v>
      </c>
      <c r="J140" s="32">
        <v>10.8</v>
      </c>
      <c r="K140" s="32">
        <v>11.44</v>
      </c>
      <c r="L140" s="32">
        <v>10.8</v>
      </c>
      <c r="M140" s="23">
        <v>30</v>
      </c>
      <c r="N140" s="23">
        <v>6</v>
      </c>
      <c r="O140" s="24">
        <v>0.16789999999999999</v>
      </c>
    </row>
    <row r="141" spans="1:15" x14ac:dyDescent="0.25">
      <c r="A141" s="17" t="s">
        <v>135</v>
      </c>
      <c r="B141" s="35">
        <v>10.88</v>
      </c>
      <c r="C141" s="32">
        <v>10.88</v>
      </c>
      <c r="D141" s="32">
        <v>10.56</v>
      </c>
      <c r="E141" s="32">
        <v>10.6</v>
      </c>
      <c r="F141" s="32">
        <v>10.56</v>
      </c>
      <c r="G141" s="32">
        <v>10.4</v>
      </c>
      <c r="H141" s="32">
        <v>10.88</v>
      </c>
      <c r="I141" s="32">
        <v>10.56</v>
      </c>
      <c r="J141" s="32">
        <v>10.56</v>
      </c>
      <c r="K141" s="32">
        <v>10.92</v>
      </c>
      <c r="L141" s="32">
        <v>10.4</v>
      </c>
      <c r="M141" s="23">
        <v>28</v>
      </c>
      <c r="N141" s="23">
        <v>6</v>
      </c>
      <c r="O141" s="24">
        <v>0.1492</v>
      </c>
    </row>
    <row r="142" spans="1:15" x14ac:dyDescent="0.25">
      <c r="A142" s="17" t="s">
        <v>136</v>
      </c>
      <c r="B142" s="35">
        <v>11.36</v>
      </c>
      <c r="C142" s="32">
        <v>11.36</v>
      </c>
      <c r="D142" s="32">
        <v>11.36</v>
      </c>
      <c r="E142" s="32">
        <v>11.2</v>
      </c>
      <c r="F142" s="32">
        <v>11.36</v>
      </c>
      <c r="G142" s="32">
        <v>11.16</v>
      </c>
      <c r="H142" s="32">
        <v>11.36</v>
      </c>
      <c r="I142" s="32">
        <v>11.36</v>
      </c>
      <c r="J142" s="32">
        <v>11.16</v>
      </c>
      <c r="K142" s="32">
        <v>11.36</v>
      </c>
      <c r="L142" s="32">
        <v>11.16</v>
      </c>
      <c r="M142" s="23">
        <v>31</v>
      </c>
      <c r="N142" s="23">
        <v>6.2</v>
      </c>
      <c r="O142" s="24">
        <v>0.15809999999999999</v>
      </c>
    </row>
    <row r="143" spans="1:15" x14ac:dyDescent="0.25">
      <c r="A143" s="17" t="s">
        <v>137</v>
      </c>
      <c r="B143" s="35">
        <v>13.76</v>
      </c>
      <c r="C143" s="32">
        <v>13.64</v>
      </c>
      <c r="D143" s="32">
        <v>13.48</v>
      </c>
      <c r="E143" s="32">
        <v>13.6</v>
      </c>
      <c r="F143" s="32">
        <v>13.44</v>
      </c>
      <c r="G143" s="32">
        <v>13.76</v>
      </c>
      <c r="H143" s="32">
        <v>13.76</v>
      </c>
      <c r="I143" s="32">
        <v>13.76</v>
      </c>
      <c r="J143" s="32">
        <v>13.76</v>
      </c>
      <c r="K143" s="32">
        <v>13.76</v>
      </c>
      <c r="L143" s="32">
        <v>13.44</v>
      </c>
      <c r="M143" s="23">
        <v>40</v>
      </c>
      <c r="N143" s="23">
        <v>6.8</v>
      </c>
      <c r="O143" s="24">
        <v>0.28989999999999999</v>
      </c>
    </row>
    <row r="144" spans="1:15" x14ac:dyDescent="0.25">
      <c r="A144" s="17" t="s">
        <v>138</v>
      </c>
      <c r="B144" s="35">
        <v>11.44</v>
      </c>
      <c r="C144" s="32">
        <v>11.44</v>
      </c>
      <c r="D144" s="32">
        <v>11.44</v>
      </c>
      <c r="E144" s="32">
        <v>11.44</v>
      </c>
      <c r="F144" s="32">
        <v>11.44</v>
      </c>
      <c r="G144" s="32">
        <v>11.44</v>
      </c>
      <c r="H144" s="32">
        <v>11.44</v>
      </c>
      <c r="I144" s="32">
        <v>11.44</v>
      </c>
      <c r="J144" s="32">
        <v>11.44</v>
      </c>
      <c r="K144" s="32">
        <v>11.44</v>
      </c>
      <c r="L144" s="32">
        <v>11.44</v>
      </c>
      <c r="M144" s="23">
        <v>38</v>
      </c>
      <c r="N144" s="23">
        <v>4.8</v>
      </c>
      <c r="O144" s="24">
        <v>0.27129999999999999</v>
      </c>
    </row>
    <row r="145" spans="1:15" x14ac:dyDescent="0.25">
      <c r="A145" s="17" t="s">
        <v>139</v>
      </c>
      <c r="B145" s="35">
        <v>14.04</v>
      </c>
      <c r="C145" s="32">
        <v>14.36</v>
      </c>
      <c r="D145" s="32">
        <v>14.32</v>
      </c>
      <c r="E145" s="32">
        <v>13.04</v>
      </c>
      <c r="F145" s="32">
        <v>14</v>
      </c>
      <c r="G145" s="32">
        <v>14.04</v>
      </c>
      <c r="H145" s="32">
        <v>13.84</v>
      </c>
      <c r="I145" s="32">
        <v>14.2</v>
      </c>
      <c r="J145" s="32">
        <v>14.32</v>
      </c>
      <c r="K145" s="32">
        <v>13.68</v>
      </c>
      <c r="L145" s="32">
        <v>13.04</v>
      </c>
      <c r="M145" s="23">
        <v>42</v>
      </c>
      <c r="N145" s="23">
        <v>5.8</v>
      </c>
      <c r="O145" s="24">
        <v>0.2954</v>
      </c>
    </row>
    <row r="146" spans="1:15" x14ac:dyDescent="0.25">
      <c r="A146" s="17" t="s">
        <v>140</v>
      </c>
      <c r="B146" s="35">
        <v>14.08</v>
      </c>
      <c r="C146" s="32">
        <v>15.08</v>
      </c>
      <c r="D146" s="32">
        <v>15.08</v>
      </c>
      <c r="E146" s="32">
        <v>15.08</v>
      </c>
      <c r="F146" s="32">
        <v>14.08</v>
      </c>
      <c r="G146" s="32">
        <v>15.08</v>
      </c>
      <c r="H146" s="32">
        <v>14.08</v>
      </c>
      <c r="I146" s="32">
        <v>15.04</v>
      </c>
      <c r="J146" s="32">
        <v>15.08</v>
      </c>
      <c r="K146" s="32">
        <v>14.08</v>
      </c>
      <c r="L146" s="32">
        <v>14.08</v>
      </c>
      <c r="M146" s="23">
        <v>48</v>
      </c>
      <c r="N146" s="23">
        <v>5.6</v>
      </c>
      <c r="O146" s="24">
        <v>0.31259999999999999</v>
      </c>
    </row>
    <row r="147" spans="1:15" x14ac:dyDescent="0.25">
      <c r="A147" s="17" t="s">
        <v>141</v>
      </c>
      <c r="B147" s="35">
        <v>15.88</v>
      </c>
      <c r="C147" s="32">
        <v>15.88</v>
      </c>
      <c r="D147" s="32">
        <v>15.88</v>
      </c>
      <c r="E147" s="32">
        <v>15.88</v>
      </c>
      <c r="F147" s="32">
        <v>15.88</v>
      </c>
      <c r="G147" s="32">
        <v>15.88</v>
      </c>
      <c r="H147" s="32">
        <v>15.88</v>
      </c>
      <c r="I147" s="32">
        <v>15.88</v>
      </c>
      <c r="J147" s="32">
        <v>15.88</v>
      </c>
      <c r="K147" s="32">
        <v>15.88</v>
      </c>
      <c r="L147" s="32">
        <v>15.88</v>
      </c>
      <c r="M147" s="23">
        <v>49</v>
      </c>
      <c r="N147" s="23">
        <v>7.6</v>
      </c>
      <c r="O147" s="24">
        <v>0.45689999999999997</v>
      </c>
    </row>
    <row r="148" spans="1:15" x14ac:dyDescent="0.25">
      <c r="A148" s="17" t="s">
        <v>142</v>
      </c>
      <c r="B148" s="35">
        <v>12.96</v>
      </c>
      <c r="C148" s="32">
        <v>12.96</v>
      </c>
      <c r="D148" s="32">
        <v>12.96</v>
      </c>
      <c r="E148" s="32">
        <v>12.96</v>
      </c>
      <c r="F148" s="32">
        <v>12.96</v>
      </c>
      <c r="G148" s="32">
        <v>12.96</v>
      </c>
      <c r="H148" s="32">
        <v>12.96</v>
      </c>
      <c r="I148" s="32">
        <v>12.96</v>
      </c>
      <c r="J148" s="32">
        <v>12.96</v>
      </c>
      <c r="K148" s="32">
        <v>12.96</v>
      </c>
      <c r="L148" s="32">
        <v>12.96</v>
      </c>
      <c r="M148" s="23">
        <v>48</v>
      </c>
      <c r="N148" s="23">
        <v>4.2</v>
      </c>
      <c r="O148" s="24">
        <v>0.44879999999999998</v>
      </c>
    </row>
    <row r="149" spans="1:15" x14ac:dyDescent="0.25">
      <c r="A149" s="17" t="s">
        <v>143</v>
      </c>
      <c r="B149" s="35">
        <v>17.36</v>
      </c>
      <c r="C149" s="32">
        <v>17.32</v>
      </c>
      <c r="D149" s="32">
        <v>17.36</v>
      </c>
      <c r="E149" s="32">
        <v>17.36</v>
      </c>
      <c r="F149" s="32">
        <v>17.2</v>
      </c>
      <c r="G149" s="32">
        <v>16.36</v>
      </c>
      <c r="H149" s="32">
        <v>17.2</v>
      </c>
      <c r="I149" s="32">
        <v>17.36</v>
      </c>
      <c r="J149" s="32">
        <v>17.36</v>
      </c>
      <c r="K149" s="32">
        <v>17.32</v>
      </c>
      <c r="L149" s="32">
        <v>16.36</v>
      </c>
      <c r="M149" s="23">
        <v>61</v>
      </c>
      <c r="N149" s="23">
        <v>5.2</v>
      </c>
      <c r="O149" s="24">
        <v>0.53079999999999994</v>
      </c>
    </row>
    <row r="150" spans="1:15" x14ac:dyDescent="0.25">
      <c r="A150" s="17" t="s">
        <v>144</v>
      </c>
      <c r="B150" s="35">
        <v>18.440000000000001</v>
      </c>
      <c r="C150" s="32">
        <v>19.440000000000001</v>
      </c>
      <c r="D150" s="32">
        <v>19.440000000000001</v>
      </c>
      <c r="E150" s="32">
        <v>19.440000000000001</v>
      </c>
      <c r="F150" s="32">
        <v>18.600000000000001</v>
      </c>
      <c r="G150" s="32">
        <v>19.440000000000001</v>
      </c>
      <c r="H150" s="32">
        <v>19.440000000000001</v>
      </c>
      <c r="I150" s="32">
        <v>19.440000000000001</v>
      </c>
      <c r="J150" s="32">
        <v>19.440000000000001</v>
      </c>
      <c r="K150" s="32">
        <v>19.440000000000001</v>
      </c>
      <c r="L150" s="32">
        <v>18.440000000000001</v>
      </c>
      <c r="M150" s="23">
        <v>65</v>
      </c>
      <c r="N150" s="23">
        <v>6.8</v>
      </c>
      <c r="O150" s="24">
        <v>0.56540000000000001</v>
      </c>
    </row>
    <row r="151" spans="1:15" x14ac:dyDescent="0.25">
      <c r="A151" s="17" t="s">
        <v>145</v>
      </c>
      <c r="B151" s="35">
        <v>16</v>
      </c>
      <c r="C151" s="32">
        <v>17.16</v>
      </c>
      <c r="D151" s="32">
        <v>18</v>
      </c>
      <c r="E151" s="32">
        <v>17.16</v>
      </c>
      <c r="F151" s="32">
        <v>17.32</v>
      </c>
      <c r="G151" s="32">
        <v>18</v>
      </c>
      <c r="H151" s="32">
        <v>17.48</v>
      </c>
      <c r="I151" s="32">
        <v>17.48</v>
      </c>
      <c r="J151" s="32">
        <v>17.28</v>
      </c>
      <c r="K151" s="32">
        <v>16.16</v>
      </c>
      <c r="L151" s="32">
        <v>16</v>
      </c>
      <c r="M151" s="23">
        <v>56</v>
      </c>
      <c r="N151" s="23">
        <v>6</v>
      </c>
      <c r="O151" s="24">
        <v>0.50109999999999999</v>
      </c>
    </row>
    <row r="152" spans="1:15" x14ac:dyDescent="0.25">
      <c r="A152" s="17" t="s">
        <v>146</v>
      </c>
      <c r="B152" s="35">
        <v>15.04</v>
      </c>
      <c r="C152" s="32">
        <v>15.04</v>
      </c>
      <c r="D152" s="32">
        <v>15.04</v>
      </c>
      <c r="E152" s="32">
        <v>15.04</v>
      </c>
      <c r="F152" s="32">
        <v>15.04</v>
      </c>
      <c r="G152" s="32">
        <v>15.04</v>
      </c>
      <c r="H152" s="32">
        <v>15.04</v>
      </c>
      <c r="I152" s="32">
        <v>15.04</v>
      </c>
      <c r="J152" s="32">
        <v>15.04</v>
      </c>
      <c r="K152" s="32">
        <v>15.04</v>
      </c>
      <c r="L152" s="32">
        <v>15.04</v>
      </c>
      <c r="M152" s="23">
        <v>48</v>
      </c>
      <c r="N152" s="23">
        <v>6.8</v>
      </c>
      <c r="O152" s="24">
        <v>0.44359999999999999</v>
      </c>
    </row>
    <row r="153" spans="1:15" x14ac:dyDescent="0.25">
      <c r="A153" s="17" t="s">
        <v>147</v>
      </c>
      <c r="B153" s="35">
        <v>13.56</v>
      </c>
      <c r="C153" s="32">
        <v>13.56</v>
      </c>
      <c r="D153" s="32">
        <v>13.56</v>
      </c>
      <c r="E153" s="32">
        <v>13.56</v>
      </c>
      <c r="F153" s="32">
        <v>13.56</v>
      </c>
      <c r="G153" s="32">
        <v>13.56</v>
      </c>
      <c r="H153" s="32">
        <v>13.56</v>
      </c>
      <c r="I153" s="32">
        <v>13.56</v>
      </c>
      <c r="J153" s="32">
        <v>13.56</v>
      </c>
      <c r="K153" s="32">
        <v>13.56</v>
      </c>
      <c r="L153" s="32">
        <v>13.56</v>
      </c>
      <c r="M153" s="23">
        <v>47</v>
      </c>
      <c r="N153" s="23">
        <v>5.2</v>
      </c>
      <c r="O153" s="24">
        <v>0.42799999999999999</v>
      </c>
    </row>
    <row r="154" spans="1:15" x14ac:dyDescent="0.25">
      <c r="A154" s="17" t="s">
        <v>148</v>
      </c>
      <c r="B154" s="35">
        <v>19.559999999999999</v>
      </c>
      <c r="C154" s="32">
        <v>19.559999999999999</v>
      </c>
      <c r="D154" s="32">
        <v>19.559999999999999</v>
      </c>
      <c r="E154" s="32">
        <v>19.559999999999999</v>
      </c>
      <c r="F154" s="32">
        <v>18.559999999999999</v>
      </c>
      <c r="G154" s="32">
        <v>19.559999999999999</v>
      </c>
      <c r="H154" s="32">
        <v>19.559999999999999</v>
      </c>
      <c r="I154" s="32">
        <v>19.559999999999999</v>
      </c>
      <c r="J154" s="32">
        <v>19.559999999999999</v>
      </c>
      <c r="K154" s="32">
        <v>19.04</v>
      </c>
      <c r="L154" s="32">
        <v>18.559999999999999</v>
      </c>
      <c r="M154" s="23">
        <v>60</v>
      </c>
      <c r="N154" s="23">
        <v>8.1999999999999993</v>
      </c>
      <c r="O154" s="24">
        <v>0.53070000000000006</v>
      </c>
    </row>
    <row r="155" spans="1:15" x14ac:dyDescent="0.25">
      <c r="A155" s="17" t="s">
        <v>149</v>
      </c>
      <c r="B155" s="35">
        <v>16.84</v>
      </c>
      <c r="C155" s="32">
        <v>17.68</v>
      </c>
      <c r="D155" s="32">
        <v>17.84</v>
      </c>
      <c r="E155" s="32">
        <v>17.84</v>
      </c>
      <c r="F155" s="32">
        <v>17.84</v>
      </c>
      <c r="G155" s="32">
        <v>17.84</v>
      </c>
      <c r="H155" s="32">
        <v>17.84</v>
      </c>
      <c r="I155" s="32">
        <v>17.84</v>
      </c>
      <c r="J155" s="32">
        <v>17.84</v>
      </c>
      <c r="K155" s="32">
        <v>17.84</v>
      </c>
      <c r="L155" s="32">
        <v>16.84</v>
      </c>
      <c r="M155" s="23">
        <v>57</v>
      </c>
      <c r="N155" s="23">
        <v>6.8</v>
      </c>
      <c r="O155" s="24">
        <v>0.48959999999999998</v>
      </c>
    </row>
    <row r="156" spans="1:15" x14ac:dyDescent="0.25">
      <c r="A156" s="17" t="s">
        <v>150</v>
      </c>
      <c r="B156" s="35">
        <v>21.2</v>
      </c>
      <c r="C156" s="32">
        <v>21.2</v>
      </c>
      <c r="D156" s="32">
        <v>21.2</v>
      </c>
      <c r="E156" s="32">
        <v>21.2</v>
      </c>
      <c r="F156" s="32">
        <v>21.2</v>
      </c>
      <c r="G156" s="32">
        <v>21.2</v>
      </c>
      <c r="H156" s="32">
        <v>21.2</v>
      </c>
      <c r="I156" s="32">
        <v>21.2</v>
      </c>
      <c r="J156" s="32">
        <v>21.2</v>
      </c>
      <c r="K156" s="32">
        <v>21.2</v>
      </c>
      <c r="L156" s="32">
        <v>21.2</v>
      </c>
      <c r="M156" s="23">
        <v>66</v>
      </c>
      <c r="N156" s="23">
        <v>10</v>
      </c>
      <c r="O156" s="24">
        <v>0.54149999999999998</v>
      </c>
    </row>
    <row r="157" spans="1:15" x14ac:dyDescent="0.25">
      <c r="A157" s="17" t="s">
        <v>151</v>
      </c>
      <c r="B157" s="35">
        <v>27.12</v>
      </c>
      <c r="C157" s="32">
        <v>27.08</v>
      </c>
      <c r="D157" s="32">
        <v>27.12</v>
      </c>
      <c r="E157" s="32">
        <v>26.92</v>
      </c>
      <c r="F157" s="32">
        <v>27.12</v>
      </c>
      <c r="G157" s="32">
        <v>27.28</v>
      </c>
      <c r="H157" s="32">
        <v>26.76</v>
      </c>
      <c r="I157" s="32">
        <v>26.6</v>
      </c>
      <c r="J157" s="32">
        <v>27.08</v>
      </c>
      <c r="K157" s="32">
        <v>27.12</v>
      </c>
      <c r="L157" s="32">
        <v>26.6</v>
      </c>
      <c r="M157" s="23">
        <v>85</v>
      </c>
      <c r="N157" s="23">
        <v>12</v>
      </c>
      <c r="O157" s="24">
        <v>0.88400000000000001</v>
      </c>
    </row>
    <row r="158" spans="1:15" x14ac:dyDescent="0.25">
      <c r="A158" s="17" t="s">
        <v>152</v>
      </c>
      <c r="B158" s="35">
        <v>20.84</v>
      </c>
      <c r="C158" s="32">
        <v>20.84</v>
      </c>
      <c r="D158" s="32">
        <v>20.36</v>
      </c>
      <c r="E158" s="32">
        <v>20.84</v>
      </c>
      <c r="F158" s="32">
        <v>20.84</v>
      </c>
      <c r="G158" s="32">
        <v>20.84</v>
      </c>
      <c r="H158" s="32">
        <v>20.84</v>
      </c>
      <c r="I158" s="32">
        <v>20.84</v>
      </c>
      <c r="J158" s="32">
        <v>20.84</v>
      </c>
      <c r="K158" s="32">
        <v>20.84</v>
      </c>
      <c r="L158" s="32">
        <v>20.36</v>
      </c>
      <c r="M158" s="23">
        <v>69</v>
      </c>
      <c r="N158" s="23">
        <v>8.1999999999999993</v>
      </c>
      <c r="O158" s="24">
        <v>0.73270000000000002</v>
      </c>
    </row>
    <row r="159" spans="1:15" x14ac:dyDescent="0.25">
      <c r="A159" s="17" t="s">
        <v>153</v>
      </c>
      <c r="B159" s="35">
        <v>21.24</v>
      </c>
      <c r="C159" s="32">
        <v>21.24</v>
      </c>
      <c r="D159" s="32">
        <v>21.24</v>
      </c>
      <c r="E159" s="32">
        <v>21.24</v>
      </c>
      <c r="F159" s="32">
        <v>21.24</v>
      </c>
      <c r="G159" s="32">
        <v>21.24</v>
      </c>
      <c r="H159" s="32">
        <v>21.24</v>
      </c>
      <c r="I159" s="32">
        <v>21.24</v>
      </c>
      <c r="J159" s="32">
        <v>21.24</v>
      </c>
      <c r="K159" s="32">
        <v>21.24</v>
      </c>
      <c r="L159" s="32">
        <v>21.24</v>
      </c>
      <c r="M159" s="23">
        <v>71</v>
      </c>
      <c r="N159" s="23">
        <v>8.8000000000000007</v>
      </c>
      <c r="O159" s="24">
        <v>0.76240000000000008</v>
      </c>
    </row>
    <row r="160" spans="1:15" x14ac:dyDescent="0.25">
      <c r="A160" s="17" t="s">
        <v>154</v>
      </c>
      <c r="B160" s="35">
        <v>26.04</v>
      </c>
      <c r="C160" s="32">
        <v>27.04</v>
      </c>
      <c r="D160" s="32">
        <v>26.04</v>
      </c>
      <c r="E160" s="32">
        <v>26.8</v>
      </c>
      <c r="F160" s="32">
        <v>26.04</v>
      </c>
      <c r="G160" s="32">
        <v>26.6</v>
      </c>
      <c r="H160" s="32">
        <v>27.04</v>
      </c>
      <c r="I160" s="32">
        <v>26.04</v>
      </c>
      <c r="J160" s="32">
        <v>26.04</v>
      </c>
      <c r="K160" s="32">
        <v>26.04</v>
      </c>
      <c r="L160" s="32">
        <v>26.04</v>
      </c>
      <c r="M160" s="23">
        <v>67</v>
      </c>
      <c r="N160" s="23">
        <v>15.8</v>
      </c>
      <c r="O160" s="24">
        <v>1.0667</v>
      </c>
    </row>
    <row r="161" spans="1:15" x14ac:dyDescent="0.25">
      <c r="A161" s="17" t="s">
        <v>155</v>
      </c>
      <c r="B161" s="35">
        <v>26.32</v>
      </c>
      <c r="C161" s="32">
        <v>26.32</v>
      </c>
      <c r="D161" s="32">
        <v>26.32</v>
      </c>
      <c r="E161" s="32">
        <v>26.32</v>
      </c>
      <c r="F161" s="32">
        <v>26.32</v>
      </c>
      <c r="G161" s="32">
        <v>26.32</v>
      </c>
      <c r="H161" s="32">
        <v>26.32</v>
      </c>
      <c r="I161" s="32">
        <v>26.32</v>
      </c>
      <c r="J161" s="32">
        <v>26.32</v>
      </c>
      <c r="K161" s="32">
        <v>26.32</v>
      </c>
      <c r="L161" s="32">
        <v>26.32</v>
      </c>
      <c r="M161" s="23">
        <v>74</v>
      </c>
      <c r="N161" s="23">
        <v>14.4</v>
      </c>
      <c r="O161" s="24">
        <v>1.1025</v>
      </c>
    </row>
    <row r="162" spans="1:15" x14ac:dyDescent="0.25">
      <c r="A162" s="17" t="s">
        <v>156</v>
      </c>
      <c r="B162" s="35">
        <v>32.76</v>
      </c>
      <c r="C162" s="32">
        <v>32.76</v>
      </c>
      <c r="D162" s="32">
        <v>32.76</v>
      </c>
      <c r="E162" s="32">
        <v>32.76</v>
      </c>
      <c r="F162" s="32">
        <v>31.76</v>
      </c>
      <c r="G162" s="32">
        <v>31.92</v>
      </c>
      <c r="H162" s="32">
        <v>32.56</v>
      </c>
      <c r="I162" s="32">
        <v>31.76</v>
      </c>
      <c r="J162" s="32">
        <v>32.76</v>
      </c>
      <c r="K162" s="32">
        <v>32.76</v>
      </c>
      <c r="L162" s="32">
        <v>31.76</v>
      </c>
      <c r="M162" s="23">
        <v>90</v>
      </c>
      <c r="N162" s="23">
        <v>17.2</v>
      </c>
      <c r="O162" s="24">
        <v>1.2215</v>
      </c>
    </row>
    <row r="163" spans="1:15" x14ac:dyDescent="0.25">
      <c r="A163" s="17" t="s">
        <v>157</v>
      </c>
      <c r="B163" s="35">
        <v>29.96</v>
      </c>
      <c r="C163" s="32">
        <v>29.96</v>
      </c>
      <c r="D163" s="32">
        <v>29.8</v>
      </c>
      <c r="E163" s="32">
        <v>28.96</v>
      </c>
      <c r="F163" s="32">
        <v>29.96</v>
      </c>
      <c r="G163" s="32">
        <v>29.68</v>
      </c>
      <c r="H163" s="32">
        <v>29.8</v>
      </c>
      <c r="I163" s="32">
        <v>29.96</v>
      </c>
      <c r="J163" s="32">
        <v>29.76</v>
      </c>
      <c r="K163" s="32">
        <v>29.8</v>
      </c>
      <c r="L163" s="32">
        <v>28.96</v>
      </c>
      <c r="M163" s="23">
        <v>84</v>
      </c>
      <c r="N163" s="23">
        <v>15.2</v>
      </c>
      <c r="O163" s="24">
        <v>1.1112</v>
      </c>
    </row>
    <row r="164" spans="1:15" x14ac:dyDescent="0.25">
      <c r="A164" s="17" t="s">
        <v>158</v>
      </c>
      <c r="B164" s="35">
        <v>28.44</v>
      </c>
      <c r="C164" s="32">
        <v>28.44</v>
      </c>
      <c r="D164" s="32">
        <v>28.44</v>
      </c>
      <c r="E164" s="32">
        <v>28.44</v>
      </c>
      <c r="F164" s="32">
        <v>28.44</v>
      </c>
      <c r="G164" s="32">
        <v>28.44</v>
      </c>
      <c r="H164" s="32">
        <v>28.44</v>
      </c>
      <c r="I164" s="32">
        <v>28.44</v>
      </c>
      <c r="J164" s="32">
        <v>28.44</v>
      </c>
      <c r="K164" s="32">
        <v>28.44</v>
      </c>
      <c r="L164" s="32">
        <v>28.44</v>
      </c>
      <c r="M164" s="23">
        <v>87</v>
      </c>
      <c r="N164" s="23">
        <v>13.8</v>
      </c>
      <c r="O164" s="24">
        <v>1.1463000000000001</v>
      </c>
    </row>
    <row r="165" spans="1:15" x14ac:dyDescent="0.25">
      <c r="A165" s="17" t="s">
        <v>159</v>
      </c>
      <c r="B165" s="35">
        <v>26.12</v>
      </c>
      <c r="C165" s="32">
        <v>26.12</v>
      </c>
      <c r="D165" s="32">
        <v>25.12</v>
      </c>
      <c r="E165" s="32">
        <v>26.12</v>
      </c>
      <c r="F165" s="32">
        <v>26.12</v>
      </c>
      <c r="G165" s="32">
        <v>26.12</v>
      </c>
      <c r="H165" s="32">
        <v>26.12</v>
      </c>
      <c r="I165" s="32">
        <v>26.12</v>
      </c>
      <c r="J165" s="32">
        <v>26.12</v>
      </c>
      <c r="K165" s="32">
        <v>26.12</v>
      </c>
      <c r="L165" s="32">
        <v>25.12</v>
      </c>
      <c r="M165" s="23">
        <v>80</v>
      </c>
      <c r="N165" s="23">
        <v>11.4</v>
      </c>
      <c r="O165" s="24">
        <v>1.0931999999999999</v>
      </c>
    </row>
    <row r="166" spans="1:15" x14ac:dyDescent="0.25">
      <c r="A166" s="17" t="s">
        <v>160</v>
      </c>
      <c r="B166" s="35">
        <v>30.72</v>
      </c>
      <c r="C166" s="32">
        <v>30.72</v>
      </c>
      <c r="D166" s="32">
        <v>30.72</v>
      </c>
      <c r="E166" s="32">
        <v>29.76</v>
      </c>
      <c r="F166" s="32">
        <v>30.72</v>
      </c>
      <c r="G166" s="32">
        <v>30.72</v>
      </c>
      <c r="H166" s="32">
        <v>30.72</v>
      </c>
      <c r="I166" s="32">
        <v>30.72</v>
      </c>
      <c r="J166" s="32">
        <v>29.76</v>
      </c>
      <c r="K166" s="32">
        <v>30.72</v>
      </c>
      <c r="L166" s="32">
        <v>29.76</v>
      </c>
      <c r="M166" s="23">
        <v>92</v>
      </c>
      <c r="N166" s="23">
        <v>14.2</v>
      </c>
      <c r="O166" s="24">
        <v>1.1833</v>
      </c>
    </row>
    <row r="167" spans="1:15" x14ac:dyDescent="0.25">
      <c r="A167" s="17" t="s">
        <v>161</v>
      </c>
      <c r="B167" s="35">
        <v>26.16</v>
      </c>
      <c r="C167" s="32">
        <v>25.64</v>
      </c>
      <c r="D167" s="32">
        <v>26.16</v>
      </c>
      <c r="E167" s="32">
        <v>26.12</v>
      </c>
      <c r="F167" s="32">
        <v>25.48</v>
      </c>
      <c r="G167" s="32">
        <v>26.16</v>
      </c>
      <c r="H167" s="32">
        <v>25.48</v>
      </c>
      <c r="I167" s="32">
        <v>25.96</v>
      </c>
      <c r="J167" s="32">
        <v>26.16</v>
      </c>
      <c r="K167" s="32">
        <v>26.16</v>
      </c>
      <c r="L167" s="32">
        <v>25.48</v>
      </c>
      <c r="M167" s="23">
        <v>85</v>
      </c>
      <c r="N167" s="23">
        <v>10.6</v>
      </c>
      <c r="O167" s="24">
        <v>1.4530000000000001</v>
      </c>
    </row>
    <row r="168" spans="1:15" x14ac:dyDescent="0.25">
      <c r="A168" s="17" t="s">
        <v>162</v>
      </c>
      <c r="B168" s="35">
        <v>26.24</v>
      </c>
      <c r="C168" s="32">
        <v>26.24</v>
      </c>
      <c r="D168" s="32">
        <v>25.24</v>
      </c>
      <c r="E168" s="32">
        <v>26.24</v>
      </c>
      <c r="F168" s="32">
        <v>25.24</v>
      </c>
      <c r="G168" s="32">
        <v>25.24</v>
      </c>
      <c r="H168" s="32">
        <v>25.24</v>
      </c>
      <c r="I168" s="32">
        <v>26.24</v>
      </c>
      <c r="J168" s="32">
        <v>26.24</v>
      </c>
      <c r="K168" s="32">
        <v>25.24</v>
      </c>
      <c r="L168" s="32">
        <v>25.24</v>
      </c>
      <c r="M168" s="23">
        <v>83</v>
      </c>
      <c r="N168" s="23">
        <v>10.8</v>
      </c>
      <c r="O168" s="24">
        <v>1.4589000000000001</v>
      </c>
    </row>
    <row r="169" spans="1:15" x14ac:dyDescent="0.25">
      <c r="A169" s="17" t="s">
        <v>163</v>
      </c>
      <c r="B169" s="35">
        <v>26.64</v>
      </c>
      <c r="C169" s="32">
        <v>26.64</v>
      </c>
      <c r="D169" s="32">
        <v>26.64</v>
      </c>
      <c r="E169" s="32">
        <v>26.64</v>
      </c>
      <c r="F169" s="32">
        <v>26.64</v>
      </c>
      <c r="G169" s="32">
        <v>26.64</v>
      </c>
      <c r="H169" s="32">
        <v>26.64</v>
      </c>
      <c r="I169" s="32">
        <v>26.64</v>
      </c>
      <c r="J169" s="32">
        <v>26.64</v>
      </c>
      <c r="K169" s="32">
        <v>26.64</v>
      </c>
      <c r="L169" s="32">
        <v>26.64</v>
      </c>
      <c r="M169" s="23">
        <v>94</v>
      </c>
      <c r="N169" s="23">
        <v>9.8000000000000007</v>
      </c>
      <c r="O169" s="24">
        <v>1.5713999999999999</v>
      </c>
    </row>
    <row r="170" spans="1:15" x14ac:dyDescent="0.25">
      <c r="A170" s="17" t="s">
        <v>164</v>
      </c>
      <c r="B170" s="35">
        <v>33.4</v>
      </c>
      <c r="C170" s="32">
        <v>33.36</v>
      </c>
      <c r="D170" s="32">
        <v>33.76</v>
      </c>
      <c r="E170" s="32">
        <v>34.04</v>
      </c>
      <c r="F170" s="32">
        <v>34.04</v>
      </c>
      <c r="G170" s="32">
        <v>33.840000000000003</v>
      </c>
      <c r="H170" s="32">
        <v>33.72</v>
      </c>
      <c r="I170" s="32">
        <v>33.64</v>
      </c>
      <c r="J170" s="32">
        <v>34</v>
      </c>
      <c r="K170" s="32">
        <v>32.520000000000003</v>
      </c>
      <c r="L170" s="32">
        <v>32.520000000000003</v>
      </c>
      <c r="M170" s="23">
        <v>97</v>
      </c>
      <c r="N170" s="23">
        <v>16.399999999999999</v>
      </c>
      <c r="O170" s="24">
        <v>1.5538000000000001</v>
      </c>
    </row>
    <row r="171" spans="1:15" x14ac:dyDescent="0.25">
      <c r="A171" s="17" t="s">
        <v>165</v>
      </c>
      <c r="B171" s="35">
        <v>33</v>
      </c>
      <c r="C171" s="32">
        <v>33.200000000000003</v>
      </c>
      <c r="D171" s="32">
        <v>33.200000000000003</v>
      </c>
      <c r="E171" s="32">
        <v>33.520000000000003</v>
      </c>
      <c r="F171" s="32">
        <v>33.200000000000003</v>
      </c>
      <c r="G171" s="32">
        <v>33.200000000000003</v>
      </c>
      <c r="H171" s="32">
        <v>33</v>
      </c>
      <c r="I171" s="32">
        <v>33.520000000000003</v>
      </c>
      <c r="J171" s="32">
        <v>33</v>
      </c>
      <c r="K171" s="32">
        <v>33.200000000000003</v>
      </c>
      <c r="L171" s="32">
        <v>33</v>
      </c>
      <c r="M171" s="23">
        <v>113</v>
      </c>
      <c r="N171" s="23">
        <v>13</v>
      </c>
      <c r="O171" s="24">
        <v>1.7890999999999999</v>
      </c>
    </row>
    <row r="172" spans="1:15" x14ac:dyDescent="0.25">
      <c r="A172" s="17" t="s">
        <v>166</v>
      </c>
      <c r="B172" s="35">
        <v>23.2</v>
      </c>
      <c r="C172" s="32">
        <v>23.2</v>
      </c>
      <c r="D172" s="32">
        <v>22.68</v>
      </c>
      <c r="E172" s="32">
        <v>23.2</v>
      </c>
      <c r="F172" s="32">
        <v>23.2</v>
      </c>
      <c r="G172" s="32">
        <v>23.16</v>
      </c>
      <c r="H172" s="32">
        <v>23.2</v>
      </c>
      <c r="I172" s="32">
        <v>23.2</v>
      </c>
      <c r="J172" s="32">
        <v>23.2</v>
      </c>
      <c r="K172" s="32">
        <v>23.2</v>
      </c>
      <c r="L172" s="32">
        <v>22.68</v>
      </c>
      <c r="M172" s="23">
        <v>83</v>
      </c>
      <c r="N172" s="23">
        <v>7.6</v>
      </c>
      <c r="O172" s="24">
        <v>1.7476</v>
      </c>
    </row>
    <row r="173" spans="1:15" x14ac:dyDescent="0.25">
      <c r="A173" s="17" t="s">
        <v>167</v>
      </c>
      <c r="B173" s="35">
        <v>29.64</v>
      </c>
      <c r="C173" s="32">
        <v>29.64</v>
      </c>
      <c r="D173" s="32">
        <v>28.88</v>
      </c>
      <c r="E173" s="32">
        <v>29.52</v>
      </c>
      <c r="F173" s="32">
        <v>29.64</v>
      </c>
      <c r="G173" s="32">
        <v>29.64</v>
      </c>
      <c r="H173" s="32">
        <v>28.84</v>
      </c>
      <c r="I173" s="32">
        <v>29.64</v>
      </c>
      <c r="J173" s="32">
        <v>29.64</v>
      </c>
      <c r="K173" s="32">
        <v>29.32</v>
      </c>
      <c r="L173" s="32">
        <v>28.84</v>
      </c>
      <c r="M173" s="23">
        <v>85</v>
      </c>
      <c r="N173" s="23">
        <v>14.8</v>
      </c>
      <c r="O173" s="24">
        <v>1.829</v>
      </c>
    </row>
    <row r="174" spans="1:15" x14ac:dyDescent="0.25">
      <c r="A174" s="17" t="s">
        <v>168</v>
      </c>
      <c r="B174" s="35">
        <v>32.799999999999997</v>
      </c>
      <c r="C174" s="32">
        <v>32.799999999999997</v>
      </c>
      <c r="D174" s="32">
        <v>32.6</v>
      </c>
      <c r="E174" s="32">
        <v>32.799999999999997</v>
      </c>
      <c r="F174" s="32">
        <v>32.799999999999997</v>
      </c>
      <c r="G174" s="32">
        <v>32.799999999999997</v>
      </c>
      <c r="H174" s="32">
        <v>32.799999999999997</v>
      </c>
      <c r="I174" s="32">
        <v>32.76</v>
      </c>
      <c r="J174" s="32">
        <v>32.6</v>
      </c>
      <c r="K174" s="32">
        <v>32.76</v>
      </c>
      <c r="L174" s="32">
        <v>32.6</v>
      </c>
      <c r="M174" s="23">
        <v>95</v>
      </c>
      <c r="N174" s="23">
        <v>17</v>
      </c>
      <c r="O174" s="24">
        <v>1.9917</v>
      </c>
    </row>
    <row r="175" spans="1:15" x14ac:dyDescent="0.25">
      <c r="A175" s="17" t="s">
        <v>169</v>
      </c>
      <c r="B175" s="35">
        <v>29.68</v>
      </c>
      <c r="C175" s="32">
        <v>29.68</v>
      </c>
      <c r="D175" s="32">
        <v>29.68</v>
      </c>
      <c r="E175" s="32">
        <v>29.68</v>
      </c>
      <c r="F175" s="32">
        <v>29.68</v>
      </c>
      <c r="G175" s="32">
        <v>29.68</v>
      </c>
      <c r="H175" s="32">
        <v>29.68</v>
      </c>
      <c r="I175" s="32">
        <v>29.56</v>
      </c>
      <c r="J175" s="32">
        <v>28.68</v>
      </c>
      <c r="K175" s="32">
        <v>29.68</v>
      </c>
      <c r="L175" s="32">
        <v>28.68</v>
      </c>
      <c r="M175" s="23">
        <v>93</v>
      </c>
      <c r="N175" s="23">
        <v>12.6</v>
      </c>
      <c r="O175" s="24">
        <v>1.9117999999999999</v>
      </c>
    </row>
    <row r="176" spans="1:15" x14ac:dyDescent="0.25">
      <c r="A176" s="17" t="s">
        <v>170</v>
      </c>
      <c r="B176" s="35">
        <v>32.159999999999997</v>
      </c>
      <c r="C176" s="32">
        <v>33.119999999999997</v>
      </c>
      <c r="D176" s="32">
        <v>33.159999999999997</v>
      </c>
      <c r="E176" s="32">
        <v>33</v>
      </c>
      <c r="F176" s="32">
        <v>32.32</v>
      </c>
      <c r="G176" s="32">
        <v>32.159999999999997</v>
      </c>
      <c r="H176" s="32">
        <v>32.28</v>
      </c>
      <c r="I176" s="32">
        <v>32.32</v>
      </c>
      <c r="J176" s="32">
        <v>32.32</v>
      </c>
      <c r="K176" s="32">
        <v>33.159999999999997</v>
      </c>
      <c r="L176" s="32">
        <v>32.159999999999997</v>
      </c>
      <c r="M176" s="23">
        <v>104</v>
      </c>
      <c r="N176" s="23">
        <v>14.2</v>
      </c>
      <c r="O176" s="24">
        <v>1.9963</v>
      </c>
    </row>
    <row r="177" spans="1:15" x14ac:dyDescent="0.25">
      <c r="A177" s="17" t="s">
        <v>171</v>
      </c>
      <c r="B177" s="35">
        <v>31.16</v>
      </c>
      <c r="C177" s="32">
        <v>32.159999999999997</v>
      </c>
      <c r="D177" s="32">
        <v>31.16</v>
      </c>
      <c r="E177" s="32">
        <v>31.16</v>
      </c>
      <c r="F177" s="32">
        <v>31.16</v>
      </c>
      <c r="G177" s="32">
        <v>31.16</v>
      </c>
      <c r="H177" s="32">
        <v>31.16</v>
      </c>
      <c r="I177" s="32">
        <v>32.119999999999997</v>
      </c>
      <c r="J177" s="32">
        <v>32.159999999999997</v>
      </c>
      <c r="K177" s="32">
        <v>32.159999999999997</v>
      </c>
      <c r="L177" s="32">
        <v>31.16</v>
      </c>
      <c r="M177" s="23">
        <v>111</v>
      </c>
      <c r="N177" s="23">
        <v>11.2</v>
      </c>
      <c r="O177" s="24">
        <v>2.1454</v>
      </c>
    </row>
    <row r="178" spans="1:15" x14ac:dyDescent="0.25">
      <c r="A178" s="17" t="s">
        <v>172</v>
      </c>
      <c r="B178" s="35">
        <v>27.32</v>
      </c>
      <c r="C178" s="32">
        <v>27.32</v>
      </c>
      <c r="D178" s="32">
        <v>27.32</v>
      </c>
      <c r="E178" s="32">
        <v>27.32</v>
      </c>
      <c r="F178" s="32">
        <v>27.32</v>
      </c>
      <c r="G178" s="32">
        <v>27.32</v>
      </c>
      <c r="H178" s="32">
        <v>27.32</v>
      </c>
      <c r="I178" s="32">
        <v>27.32</v>
      </c>
      <c r="J178" s="32">
        <v>27.32</v>
      </c>
      <c r="K178" s="32">
        <v>27.32</v>
      </c>
      <c r="L178" s="32">
        <v>27.32</v>
      </c>
      <c r="M178" s="23">
        <v>91</v>
      </c>
      <c r="N178" s="23">
        <v>11.4</v>
      </c>
      <c r="O178" s="24">
        <v>1.7145999999999999</v>
      </c>
    </row>
    <row r="179" spans="1:15" x14ac:dyDescent="0.25">
      <c r="A179" s="17" t="s">
        <v>173</v>
      </c>
      <c r="B179" s="35">
        <v>40.68</v>
      </c>
      <c r="C179" s="32">
        <v>40.68</v>
      </c>
      <c r="D179" s="32">
        <v>40.68</v>
      </c>
      <c r="E179" s="32">
        <v>40.68</v>
      </c>
      <c r="F179" s="32">
        <v>40.68</v>
      </c>
      <c r="G179" s="32">
        <v>40.68</v>
      </c>
      <c r="H179" s="32">
        <v>40.68</v>
      </c>
      <c r="I179" s="32">
        <v>40.68</v>
      </c>
      <c r="J179" s="32">
        <v>40.68</v>
      </c>
      <c r="K179" s="32">
        <v>40.68</v>
      </c>
      <c r="L179" s="32">
        <v>40.68</v>
      </c>
      <c r="M179" s="23">
        <v>121</v>
      </c>
      <c r="N179" s="23">
        <v>20.6</v>
      </c>
      <c r="O179" s="24">
        <v>2.2810000000000001</v>
      </c>
    </row>
    <row r="180" spans="1:15" x14ac:dyDescent="0.25">
      <c r="A180" s="18" t="s">
        <v>174</v>
      </c>
      <c r="B180" s="35">
        <v>10.32</v>
      </c>
      <c r="C180" s="32">
        <v>10.52</v>
      </c>
      <c r="D180" s="32">
        <v>10.36</v>
      </c>
      <c r="E180" s="32">
        <v>10.28</v>
      </c>
      <c r="F180" s="32">
        <v>10.32</v>
      </c>
      <c r="G180" s="32">
        <v>10.16</v>
      </c>
      <c r="H180" s="32">
        <v>10.32</v>
      </c>
      <c r="I180" s="32">
        <v>10.32</v>
      </c>
      <c r="J180" s="32">
        <v>10.32</v>
      </c>
      <c r="K180" s="32">
        <v>10.48</v>
      </c>
      <c r="L180" s="32">
        <v>10.16</v>
      </c>
      <c r="M180" s="23">
        <v>50</v>
      </c>
      <c r="N180" s="23">
        <v>0.2</v>
      </c>
      <c r="O180" s="24">
        <v>0.3291</v>
      </c>
    </row>
    <row r="181" spans="1:15" x14ac:dyDescent="0.25">
      <c r="A181" s="18" t="s">
        <v>175</v>
      </c>
      <c r="B181" s="35">
        <v>11.44</v>
      </c>
      <c r="C181" s="32">
        <v>11.12</v>
      </c>
      <c r="D181" s="32">
        <v>11.44</v>
      </c>
      <c r="E181" s="32">
        <v>11.44</v>
      </c>
      <c r="F181" s="32">
        <v>11.12</v>
      </c>
      <c r="G181" s="32">
        <v>11.04</v>
      </c>
      <c r="H181" s="32">
        <v>11.08</v>
      </c>
      <c r="I181" s="32">
        <v>11.44</v>
      </c>
      <c r="J181" s="32">
        <v>11.44</v>
      </c>
      <c r="K181" s="32">
        <v>11.44</v>
      </c>
      <c r="L181" s="32">
        <v>11.04</v>
      </c>
      <c r="M181" s="23">
        <v>48</v>
      </c>
      <c r="N181" s="23">
        <v>1.8</v>
      </c>
      <c r="O181" s="24">
        <v>0.32650000000000001</v>
      </c>
    </row>
    <row r="182" spans="1:15" x14ac:dyDescent="0.25">
      <c r="A182" s="18" t="s">
        <v>176</v>
      </c>
      <c r="B182" s="35">
        <v>12.16</v>
      </c>
      <c r="C182" s="32">
        <v>12.16</v>
      </c>
      <c r="D182" s="32">
        <v>12.16</v>
      </c>
      <c r="E182" s="32">
        <v>12.16</v>
      </c>
      <c r="F182" s="32">
        <v>12.16</v>
      </c>
      <c r="G182" s="32">
        <v>12.16</v>
      </c>
      <c r="H182" s="32">
        <v>12.16</v>
      </c>
      <c r="I182" s="32">
        <v>12.16</v>
      </c>
      <c r="J182" s="32">
        <v>12.16</v>
      </c>
      <c r="K182" s="32">
        <v>12.16</v>
      </c>
      <c r="L182" s="32">
        <v>12.16</v>
      </c>
      <c r="M182" s="23">
        <v>48</v>
      </c>
      <c r="N182" s="23">
        <v>3.2</v>
      </c>
      <c r="O182" s="24">
        <v>0.32590000000000002</v>
      </c>
    </row>
    <row r="183" spans="1:15" x14ac:dyDescent="0.25">
      <c r="A183" s="18" t="s">
        <v>177</v>
      </c>
      <c r="B183" s="35">
        <v>10.88</v>
      </c>
      <c r="C183" s="32">
        <v>10.36</v>
      </c>
      <c r="D183" s="32">
        <v>10.88</v>
      </c>
      <c r="E183" s="32">
        <v>10.88</v>
      </c>
      <c r="F183" s="32">
        <v>10.88</v>
      </c>
      <c r="G183" s="32">
        <v>10.72</v>
      </c>
      <c r="H183" s="32">
        <v>10.56</v>
      </c>
      <c r="I183" s="32">
        <v>10.72</v>
      </c>
      <c r="J183" s="32">
        <v>10.88</v>
      </c>
      <c r="K183" s="32">
        <v>10.76</v>
      </c>
      <c r="L183" s="32">
        <v>10.36</v>
      </c>
      <c r="M183" s="23">
        <v>47</v>
      </c>
      <c r="N183" s="23">
        <v>1.2</v>
      </c>
      <c r="O183" s="24">
        <v>0.32079999999999997</v>
      </c>
    </row>
    <row r="184" spans="1:15" x14ac:dyDescent="0.25">
      <c r="A184" s="18" t="s">
        <v>178</v>
      </c>
      <c r="B184" s="35">
        <v>10.76</v>
      </c>
      <c r="C184" s="32">
        <v>10.76</v>
      </c>
      <c r="D184" s="32">
        <v>10.72</v>
      </c>
      <c r="E184" s="32">
        <v>10.76</v>
      </c>
      <c r="F184" s="32">
        <v>10.76</v>
      </c>
      <c r="G184" s="32">
        <v>10.52</v>
      </c>
      <c r="H184" s="32">
        <v>10.76</v>
      </c>
      <c r="I184" s="32">
        <v>10.76</v>
      </c>
      <c r="J184" s="32">
        <v>10.76</v>
      </c>
      <c r="K184" s="32">
        <v>10.76</v>
      </c>
      <c r="L184" s="32">
        <v>10.52</v>
      </c>
      <c r="M184" s="23">
        <v>47</v>
      </c>
      <c r="N184" s="23">
        <v>1.4</v>
      </c>
      <c r="O184" s="24">
        <v>0.3327</v>
      </c>
    </row>
    <row r="185" spans="1:15" x14ac:dyDescent="0.25">
      <c r="A185" s="18" t="s">
        <v>179</v>
      </c>
      <c r="B185" s="35">
        <v>14.64</v>
      </c>
      <c r="C185" s="32">
        <v>14.36</v>
      </c>
      <c r="D185" s="32">
        <v>14.48</v>
      </c>
      <c r="E185" s="32">
        <v>14</v>
      </c>
      <c r="F185" s="32">
        <v>14.04</v>
      </c>
      <c r="G185" s="32">
        <v>14.64</v>
      </c>
      <c r="H185" s="32">
        <v>14.32</v>
      </c>
      <c r="I185" s="32">
        <v>14.48</v>
      </c>
      <c r="J185" s="32">
        <v>14.44</v>
      </c>
      <c r="K185" s="32">
        <v>14.52</v>
      </c>
      <c r="L185" s="32">
        <v>14</v>
      </c>
      <c r="M185" s="23">
        <v>50</v>
      </c>
      <c r="N185" s="23">
        <v>5</v>
      </c>
      <c r="O185" s="24">
        <v>0.32490000000000002</v>
      </c>
    </row>
    <row r="186" spans="1:15" x14ac:dyDescent="0.25">
      <c r="A186" s="18" t="s">
        <v>180</v>
      </c>
      <c r="B186" s="35">
        <v>12.32</v>
      </c>
      <c r="C186" s="32">
        <v>12.36</v>
      </c>
      <c r="D186" s="32">
        <v>12.36</v>
      </c>
      <c r="E186" s="32">
        <v>12.2</v>
      </c>
      <c r="F186" s="32">
        <v>12.32</v>
      </c>
      <c r="G186" s="32">
        <v>12.36</v>
      </c>
      <c r="H186" s="32">
        <v>12.36</v>
      </c>
      <c r="I186" s="32">
        <v>12.36</v>
      </c>
      <c r="J186" s="32">
        <v>12.36</v>
      </c>
      <c r="K186" s="32">
        <v>12.36</v>
      </c>
      <c r="L186" s="32">
        <v>12.2</v>
      </c>
      <c r="M186" s="23">
        <v>49</v>
      </c>
      <c r="N186" s="23">
        <v>3</v>
      </c>
      <c r="O186" s="24">
        <v>0.31390000000000001</v>
      </c>
    </row>
    <row r="187" spans="1:15" x14ac:dyDescent="0.25">
      <c r="A187" s="18" t="s">
        <v>181</v>
      </c>
      <c r="B187" s="35">
        <v>11.88</v>
      </c>
      <c r="C187" s="32">
        <v>11.76</v>
      </c>
      <c r="D187" s="32">
        <v>11.92</v>
      </c>
      <c r="E187" s="32">
        <v>11.76</v>
      </c>
      <c r="F187" s="32">
        <v>11.56</v>
      </c>
      <c r="G187" s="32">
        <v>11.88</v>
      </c>
      <c r="H187" s="32">
        <v>11.72</v>
      </c>
      <c r="I187" s="32">
        <v>11.72</v>
      </c>
      <c r="J187" s="32">
        <v>11.68</v>
      </c>
      <c r="K187" s="32">
        <v>11.6</v>
      </c>
      <c r="L187" s="32">
        <v>11.56</v>
      </c>
      <c r="M187" s="23">
        <v>49</v>
      </c>
      <c r="N187" s="23">
        <v>2.2000000000000002</v>
      </c>
      <c r="O187" s="24">
        <v>0.33629999999999999</v>
      </c>
    </row>
    <row r="188" spans="1:15" x14ac:dyDescent="0.25">
      <c r="A188" s="18" t="s">
        <v>182</v>
      </c>
      <c r="B188" s="35">
        <v>11.92</v>
      </c>
      <c r="C188" s="32">
        <v>12.64</v>
      </c>
      <c r="D188" s="32">
        <v>12.28</v>
      </c>
      <c r="E188" s="32">
        <v>12.6</v>
      </c>
      <c r="F188" s="32">
        <v>12.44</v>
      </c>
      <c r="G188" s="32">
        <v>12.76</v>
      </c>
      <c r="H188" s="32">
        <v>12.8</v>
      </c>
      <c r="I188" s="32">
        <v>12.92</v>
      </c>
      <c r="J188" s="32">
        <v>12.56</v>
      </c>
      <c r="K188" s="32">
        <v>12.08</v>
      </c>
      <c r="L188" s="32">
        <v>11.92</v>
      </c>
      <c r="M188" s="23">
        <v>54</v>
      </c>
      <c r="N188" s="23">
        <v>1.4</v>
      </c>
      <c r="O188" s="24">
        <v>0.35510000000000003</v>
      </c>
    </row>
    <row r="189" spans="1:15" x14ac:dyDescent="0.25">
      <c r="A189" s="18" t="s">
        <v>183</v>
      </c>
      <c r="B189" s="35">
        <v>11.48</v>
      </c>
      <c r="C189" s="32">
        <v>11.48</v>
      </c>
      <c r="D189" s="32">
        <v>11.48</v>
      </c>
      <c r="E189" s="32">
        <v>11.48</v>
      </c>
      <c r="F189" s="32">
        <v>11.48</v>
      </c>
      <c r="G189" s="32">
        <v>11.48</v>
      </c>
      <c r="H189" s="32">
        <v>11.48</v>
      </c>
      <c r="I189" s="32">
        <v>11.48</v>
      </c>
      <c r="J189" s="32">
        <v>11.48</v>
      </c>
      <c r="K189" s="32">
        <v>11.48</v>
      </c>
      <c r="L189" s="32">
        <v>11.48</v>
      </c>
      <c r="M189" s="23">
        <v>47</v>
      </c>
      <c r="N189" s="23">
        <v>2.6</v>
      </c>
      <c r="O189" s="24">
        <v>0.31929999999999997</v>
      </c>
    </row>
    <row r="190" spans="1:15" x14ac:dyDescent="0.25">
      <c r="A190" s="18" t="s">
        <v>184</v>
      </c>
      <c r="B190" s="35">
        <v>13.56</v>
      </c>
      <c r="C190" s="32">
        <v>13.56</v>
      </c>
      <c r="D190" s="32">
        <v>13.56</v>
      </c>
      <c r="E190" s="32">
        <v>13.56</v>
      </c>
      <c r="F190" s="32">
        <v>13.56</v>
      </c>
      <c r="G190" s="32">
        <v>13.56</v>
      </c>
      <c r="H190" s="32">
        <v>13.56</v>
      </c>
      <c r="I190" s="32">
        <v>13.56</v>
      </c>
      <c r="J190" s="32">
        <v>13.56</v>
      </c>
      <c r="K190" s="32">
        <v>13.4</v>
      </c>
      <c r="L190" s="32">
        <v>13.4</v>
      </c>
      <c r="M190" s="23">
        <v>51</v>
      </c>
      <c r="N190" s="23">
        <v>4</v>
      </c>
      <c r="O190" s="24">
        <v>0.34810000000000002</v>
      </c>
    </row>
    <row r="191" spans="1:15" x14ac:dyDescent="0.25">
      <c r="A191" s="18" t="s">
        <v>185</v>
      </c>
      <c r="B191" s="35">
        <v>12.44</v>
      </c>
      <c r="C191" s="32">
        <v>12.44</v>
      </c>
      <c r="D191" s="32">
        <v>12.44</v>
      </c>
      <c r="E191" s="32">
        <v>12</v>
      </c>
      <c r="F191" s="32">
        <v>12.2</v>
      </c>
      <c r="G191" s="32">
        <v>12.44</v>
      </c>
      <c r="H191" s="32">
        <v>11.48</v>
      </c>
      <c r="I191" s="32">
        <v>12.12</v>
      </c>
      <c r="J191" s="32">
        <v>12.28</v>
      </c>
      <c r="K191" s="32">
        <v>12.24</v>
      </c>
      <c r="L191" s="32">
        <v>11.48</v>
      </c>
      <c r="M191" s="23">
        <v>51</v>
      </c>
      <c r="N191" s="23">
        <v>1.6</v>
      </c>
      <c r="O191" s="24">
        <v>0.35039999999999999</v>
      </c>
    </row>
    <row r="192" spans="1:15" x14ac:dyDescent="0.25">
      <c r="A192" s="18" t="s">
        <v>186</v>
      </c>
      <c r="B192" s="35">
        <v>11.08</v>
      </c>
      <c r="C192" s="32">
        <v>11.08</v>
      </c>
      <c r="D192" s="32">
        <v>11.08</v>
      </c>
      <c r="E192" s="32">
        <v>11.08</v>
      </c>
      <c r="F192" s="32">
        <v>11.08</v>
      </c>
      <c r="G192" s="32">
        <v>11.08</v>
      </c>
      <c r="H192" s="32">
        <v>11.08</v>
      </c>
      <c r="I192" s="32">
        <v>11.08</v>
      </c>
      <c r="J192" s="32">
        <v>11.08</v>
      </c>
      <c r="K192" s="32">
        <v>11.08</v>
      </c>
      <c r="L192" s="32">
        <v>11.08</v>
      </c>
      <c r="M192" s="23">
        <v>45</v>
      </c>
      <c r="N192" s="23">
        <v>2.6</v>
      </c>
      <c r="O192" s="24">
        <v>0.31719999999999998</v>
      </c>
    </row>
    <row r="193" spans="1:15" x14ac:dyDescent="0.25">
      <c r="A193" s="18" t="s">
        <v>187</v>
      </c>
      <c r="B193" s="35">
        <v>13.68</v>
      </c>
      <c r="C193" s="32">
        <v>13.48</v>
      </c>
      <c r="D193" s="32">
        <v>14.28</v>
      </c>
      <c r="E193" s="32">
        <v>14.08</v>
      </c>
      <c r="F193" s="32">
        <v>13.6</v>
      </c>
      <c r="G193" s="32">
        <v>14.28</v>
      </c>
      <c r="H193" s="32">
        <v>14.24</v>
      </c>
      <c r="I193" s="32">
        <v>14.08</v>
      </c>
      <c r="J193" s="32">
        <v>14.28</v>
      </c>
      <c r="K193" s="32">
        <v>13.44</v>
      </c>
      <c r="L193" s="32">
        <v>13.44</v>
      </c>
      <c r="M193" s="23">
        <v>52</v>
      </c>
      <c r="N193" s="23">
        <v>3.8</v>
      </c>
      <c r="O193" s="24">
        <v>0.35399999999999998</v>
      </c>
    </row>
    <row r="194" spans="1:15" x14ac:dyDescent="0.25">
      <c r="A194" s="18" t="s">
        <v>188</v>
      </c>
      <c r="B194" s="35">
        <v>12.28</v>
      </c>
      <c r="C194" s="32">
        <v>12.28</v>
      </c>
      <c r="D194" s="32">
        <v>12.44</v>
      </c>
      <c r="E194" s="32">
        <v>12.28</v>
      </c>
      <c r="F194" s="32">
        <v>12.44</v>
      </c>
      <c r="G194" s="32">
        <v>12.28</v>
      </c>
      <c r="H194" s="32">
        <v>12.44</v>
      </c>
      <c r="I194" s="32">
        <v>12.44</v>
      </c>
      <c r="J194" s="32">
        <v>12.44</v>
      </c>
      <c r="K194" s="32">
        <v>12.44</v>
      </c>
      <c r="L194" s="32">
        <v>12.28</v>
      </c>
      <c r="M194" s="23">
        <v>59</v>
      </c>
      <c r="N194" s="23">
        <v>0.6</v>
      </c>
      <c r="O194" s="24">
        <v>0.39529999999999998</v>
      </c>
    </row>
    <row r="195" spans="1:15" x14ac:dyDescent="0.25">
      <c r="A195" s="18" t="s">
        <v>189</v>
      </c>
      <c r="B195" s="35">
        <v>12.24</v>
      </c>
      <c r="C195" s="32">
        <v>12.24</v>
      </c>
      <c r="D195" s="32">
        <v>12.24</v>
      </c>
      <c r="E195" s="32">
        <v>12.08</v>
      </c>
      <c r="F195" s="32">
        <v>12.2</v>
      </c>
      <c r="G195" s="32">
        <v>12.24</v>
      </c>
      <c r="H195" s="32">
        <v>12.24</v>
      </c>
      <c r="I195" s="32">
        <v>12.24</v>
      </c>
      <c r="J195" s="32">
        <v>12.24</v>
      </c>
      <c r="K195" s="32">
        <v>12.08</v>
      </c>
      <c r="L195" s="32">
        <v>12.08</v>
      </c>
      <c r="M195" s="23">
        <v>54</v>
      </c>
      <c r="N195" s="23">
        <v>1.6</v>
      </c>
      <c r="O195" s="24">
        <v>0.3629</v>
      </c>
    </row>
    <row r="196" spans="1:15" x14ac:dyDescent="0.25">
      <c r="A196" s="18" t="s">
        <v>190</v>
      </c>
      <c r="B196" s="35">
        <v>10.76</v>
      </c>
      <c r="C196" s="32">
        <v>10.76</v>
      </c>
      <c r="D196" s="32">
        <v>10.76</v>
      </c>
      <c r="E196" s="32">
        <v>10.76</v>
      </c>
      <c r="F196" s="32">
        <v>10.76</v>
      </c>
      <c r="G196" s="32">
        <v>10.76</v>
      </c>
      <c r="H196" s="32">
        <v>10.76</v>
      </c>
      <c r="I196" s="32">
        <v>10.76</v>
      </c>
      <c r="J196" s="32">
        <v>10.76</v>
      </c>
      <c r="K196" s="32">
        <v>10.76</v>
      </c>
      <c r="L196" s="32">
        <v>10.76</v>
      </c>
      <c r="M196" s="23">
        <v>49</v>
      </c>
      <c r="N196" s="23">
        <v>1.2</v>
      </c>
      <c r="O196" s="24">
        <v>0.33960000000000001</v>
      </c>
    </row>
    <row r="197" spans="1:15" x14ac:dyDescent="0.25">
      <c r="A197" s="18" t="s">
        <v>191</v>
      </c>
      <c r="B197" s="35">
        <v>11.2</v>
      </c>
      <c r="C197" s="32">
        <v>10.56</v>
      </c>
      <c r="D197" s="32">
        <v>11.04</v>
      </c>
      <c r="E197" s="32">
        <v>10.92</v>
      </c>
      <c r="F197" s="32">
        <v>11.04</v>
      </c>
      <c r="G197" s="32">
        <v>11.04</v>
      </c>
      <c r="H197" s="32">
        <v>11.04</v>
      </c>
      <c r="I197" s="32">
        <v>11.04</v>
      </c>
      <c r="J197" s="32">
        <v>11.04</v>
      </c>
      <c r="K197" s="32">
        <v>11</v>
      </c>
      <c r="L197" s="32">
        <v>10.56</v>
      </c>
      <c r="M197" s="23">
        <v>52</v>
      </c>
      <c r="N197" s="23">
        <v>0.2</v>
      </c>
      <c r="O197" s="24">
        <v>0.32869999999999999</v>
      </c>
    </row>
    <row r="198" spans="1:15" x14ac:dyDescent="0.25">
      <c r="A198" s="18" t="s">
        <v>192</v>
      </c>
      <c r="B198" s="35">
        <v>10.24</v>
      </c>
      <c r="C198" s="32">
        <v>10.24</v>
      </c>
      <c r="D198" s="32">
        <v>10.24</v>
      </c>
      <c r="E198" s="32">
        <v>10.24</v>
      </c>
      <c r="F198" s="32">
        <v>10.24</v>
      </c>
      <c r="G198" s="32">
        <v>10.24</v>
      </c>
      <c r="H198" s="32">
        <v>10.24</v>
      </c>
      <c r="I198" s="32">
        <v>10.24</v>
      </c>
      <c r="J198" s="32">
        <v>10.24</v>
      </c>
      <c r="K198" s="32">
        <v>10.24</v>
      </c>
      <c r="L198" s="32">
        <v>10.24</v>
      </c>
      <c r="M198" s="23">
        <v>48</v>
      </c>
      <c r="N198" s="23">
        <v>0.8</v>
      </c>
      <c r="O198" s="24">
        <v>0.33129999999999998</v>
      </c>
    </row>
    <row r="199" spans="1:15" x14ac:dyDescent="0.25">
      <c r="A199" s="18" t="s">
        <v>193</v>
      </c>
      <c r="B199" s="35">
        <v>10.84</v>
      </c>
      <c r="C199" s="32">
        <v>11</v>
      </c>
      <c r="D199" s="32">
        <v>11</v>
      </c>
      <c r="E199" s="32">
        <v>11</v>
      </c>
      <c r="F199" s="32">
        <v>10.92</v>
      </c>
      <c r="G199" s="32">
        <v>11</v>
      </c>
      <c r="H199" s="32">
        <v>11</v>
      </c>
      <c r="I199" s="32">
        <v>11</v>
      </c>
      <c r="J199" s="32">
        <v>10.84</v>
      </c>
      <c r="K199" s="32">
        <v>10.84</v>
      </c>
      <c r="L199" s="32">
        <v>10.84</v>
      </c>
      <c r="M199" s="23">
        <v>51</v>
      </c>
      <c r="N199" s="23">
        <v>0.8</v>
      </c>
      <c r="O199" s="24">
        <v>0.33760000000000001</v>
      </c>
    </row>
    <row r="200" spans="1:15" x14ac:dyDescent="0.25">
      <c r="A200" s="18" t="s">
        <v>194</v>
      </c>
      <c r="B200" s="35">
        <v>13.88</v>
      </c>
      <c r="C200" s="32">
        <v>13.76</v>
      </c>
      <c r="D200" s="32">
        <v>13.92</v>
      </c>
      <c r="E200" s="32">
        <v>14.04</v>
      </c>
      <c r="F200" s="32">
        <v>13.92</v>
      </c>
      <c r="G200" s="32">
        <v>13.6</v>
      </c>
      <c r="H200" s="32">
        <v>14.24</v>
      </c>
      <c r="I200" s="32">
        <v>13.88</v>
      </c>
      <c r="J200" s="32">
        <v>14.36</v>
      </c>
      <c r="K200" s="32">
        <v>14.08</v>
      </c>
      <c r="L200" s="32">
        <v>13.6</v>
      </c>
      <c r="M200" s="23">
        <v>48</v>
      </c>
      <c r="N200" s="23">
        <v>5</v>
      </c>
      <c r="O200" s="24">
        <v>0.31969999999999998</v>
      </c>
    </row>
    <row r="201" spans="1:15" x14ac:dyDescent="0.25">
      <c r="A201" s="18" t="s">
        <v>195</v>
      </c>
      <c r="B201" s="35">
        <v>15.6</v>
      </c>
      <c r="C201" s="32">
        <v>15.56</v>
      </c>
      <c r="D201" s="32">
        <v>15.6</v>
      </c>
      <c r="E201" s="32">
        <v>15.56</v>
      </c>
      <c r="F201" s="32">
        <v>15.6</v>
      </c>
      <c r="G201" s="32">
        <v>15.6</v>
      </c>
      <c r="H201" s="32">
        <v>15.6</v>
      </c>
      <c r="I201" s="32">
        <v>15.6</v>
      </c>
      <c r="J201" s="32">
        <v>15.6</v>
      </c>
      <c r="K201" s="32">
        <v>15.6</v>
      </c>
      <c r="L201" s="32">
        <v>15.56</v>
      </c>
      <c r="M201" s="23">
        <v>49</v>
      </c>
      <c r="N201" s="23">
        <v>7.2</v>
      </c>
      <c r="O201" s="24">
        <v>0.32590000000000002</v>
      </c>
    </row>
    <row r="202" spans="1:15" x14ac:dyDescent="0.25">
      <c r="A202" s="18" t="s">
        <v>196</v>
      </c>
      <c r="B202" s="35">
        <v>11.44</v>
      </c>
      <c r="C202" s="32">
        <v>11.44</v>
      </c>
      <c r="D202" s="32">
        <v>11.44</v>
      </c>
      <c r="E202" s="32">
        <v>11.44</v>
      </c>
      <c r="F202" s="32">
        <v>11.28</v>
      </c>
      <c r="G202" s="32">
        <v>11.44</v>
      </c>
      <c r="H202" s="32">
        <v>11.44</v>
      </c>
      <c r="I202" s="32">
        <v>11.44</v>
      </c>
      <c r="J202" s="32">
        <v>11.4</v>
      </c>
      <c r="K202" s="32">
        <v>11.44</v>
      </c>
      <c r="L202" s="32">
        <v>11.28</v>
      </c>
      <c r="M202" s="23">
        <v>50</v>
      </c>
      <c r="N202" s="23">
        <v>1.6</v>
      </c>
      <c r="O202" s="24">
        <v>0.31940000000000002</v>
      </c>
    </row>
    <row r="203" spans="1:15" x14ac:dyDescent="0.25">
      <c r="A203" s="18" t="s">
        <v>197</v>
      </c>
      <c r="B203" s="35">
        <v>11.68</v>
      </c>
      <c r="C203" s="32">
        <v>11.32</v>
      </c>
      <c r="D203" s="32">
        <v>11.64</v>
      </c>
      <c r="E203" s="32">
        <v>11.68</v>
      </c>
      <c r="F203" s="32">
        <v>11.68</v>
      </c>
      <c r="G203" s="32">
        <v>11.68</v>
      </c>
      <c r="H203" s="32">
        <v>11.68</v>
      </c>
      <c r="I203" s="32">
        <v>11.68</v>
      </c>
      <c r="J203" s="32">
        <v>11.16</v>
      </c>
      <c r="K203" s="32">
        <v>11</v>
      </c>
      <c r="L203" s="32">
        <v>11</v>
      </c>
      <c r="M203" s="23">
        <v>55</v>
      </c>
      <c r="N203" s="23">
        <v>0</v>
      </c>
      <c r="O203" s="24">
        <v>0.36070000000000002</v>
      </c>
    </row>
    <row r="204" spans="1:15" x14ac:dyDescent="0.25">
      <c r="A204" s="18" t="s">
        <v>198</v>
      </c>
      <c r="B204" s="35">
        <v>11.4</v>
      </c>
      <c r="C204" s="32">
        <v>11.32</v>
      </c>
      <c r="D204" s="32">
        <v>11</v>
      </c>
      <c r="E204" s="32">
        <v>11.04</v>
      </c>
      <c r="F204" s="32">
        <v>11.4</v>
      </c>
      <c r="G204" s="32">
        <v>11.2</v>
      </c>
      <c r="H204" s="32">
        <v>11.4</v>
      </c>
      <c r="I204" s="32">
        <v>11.4</v>
      </c>
      <c r="J204" s="32">
        <v>11</v>
      </c>
      <c r="K204" s="32">
        <v>11.4</v>
      </c>
      <c r="L204" s="32">
        <v>11</v>
      </c>
      <c r="M204" s="23">
        <v>51</v>
      </c>
      <c r="N204" s="23">
        <v>1</v>
      </c>
      <c r="O204" s="24">
        <v>0.33860000000000001</v>
      </c>
    </row>
    <row r="205" spans="1:15" x14ac:dyDescent="0.25">
      <c r="A205" s="18" t="s">
        <v>199</v>
      </c>
      <c r="B205" s="35">
        <v>13.28</v>
      </c>
      <c r="C205" s="32">
        <v>13.24</v>
      </c>
      <c r="D205" s="32">
        <v>13.76</v>
      </c>
      <c r="E205" s="32">
        <v>12.6</v>
      </c>
      <c r="F205" s="32">
        <v>13.44</v>
      </c>
      <c r="G205" s="32">
        <v>14.24</v>
      </c>
      <c r="H205" s="32">
        <v>13.44</v>
      </c>
      <c r="I205" s="32">
        <v>13.24</v>
      </c>
      <c r="J205" s="32">
        <v>13.28</v>
      </c>
      <c r="K205" s="32">
        <v>13</v>
      </c>
      <c r="L205" s="32">
        <v>12.6</v>
      </c>
      <c r="M205" s="23">
        <v>47</v>
      </c>
      <c r="N205" s="23">
        <v>4</v>
      </c>
      <c r="O205" s="24">
        <v>0.31119999999999998</v>
      </c>
    </row>
    <row r="206" spans="1:15" x14ac:dyDescent="0.25">
      <c r="A206" s="18" t="s">
        <v>200</v>
      </c>
      <c r="B206" s="35">
        <v>14.44</v>
      </c>
      <c r="C206" s="32">
        <v>14.44</v>
      </c>
      <c r="D206" s="32">
        <v>14.44</v>
      </c>
      <c r="E206" s="32">
        <v>14.44</v>
      </c>
      <c r="F206" s="32">
        <v>14.44</v>
      </c>
      <c r="G206" s="32">
        <v>14.44</v>
      </c>
      <c r="H206" s="32">
        <v>14.44</v>
      </c>
      <c r="I206" s="32">
        <v>14.44</v>
      </c>
      <c r="J206" s="32">
        <v>14.44</v>
      </c>
      <c r="K206" s="32">
        <v>14.44</v>
      </c>
      <c r="L206" s="32">
        <v>14.44</v>
      </c>
      <c r="M206" s="23">
        <v>49</v>
      </c>
      <c r="N206" s="23">
        <v>5.8</v>
      </c>
      <c r="O206" s="24">
        <v>0.32690000000000002</v>
      </c>
    </row>
    <row r="207" spans="1:15" x14ac:dyDescent="0.25">
      <c r="A207" s="18" t="s">
        <v>201</v>
      </c>
      <c r="B207" s="35">
        <v>13.52</v>
      </c>
      <c r="C207" s="32">
        <v>13.68</v>
      </c>
      <c r="D207" s="32">
        <v>13.48</v>
      </c>
      <c r="E207" s="32">
        <v>13.68</v>
      </c>
      <c r="F207" s="32">
        <v>13.68</v>
      </c>
      <c r="G207" s="32">
        <v>13.52</v>
      </c>
      <c r="H207" s="32">
        <v>13.68</v>
      </c>
      <c r="I207" s="32">
        <v>13.68</v>
      </c>
      <c r="J207" s="32">
        <v>13.48</v>
      </c>
      <c r="K207" s="32">
        <v>13.68</v>
      </c>
      <c r="L207" s="32">
        <v>13.48</v>
      </c>
      <c r="M207" s="23">
        <v>57</v>
      </c>
      <c r="N207" s="23">
        <v>2.6</v>
      </c>
      <c r="O207" s="24">
        <v>0.36459999999999998</v>
      </c>
    </row>
    <row r="208" spans="1:15" x14ac:dyDescent="0.25">
      <c r="A208" s="18" t="s">
        <v>202</v>
      </c>
      <c r="B208" s="35">
        <v>12</v>
      </c>
      <c r="C208" s="32">
        <v>12.12</v>
      </c>
      <c r="D208" s="32">
        <v>12</v>
      </c>
      <c r="E208" s="32">
        <v>11.88</v>
      </c>
      <c r="F208" s="32">
        <v>12.12</v>
      </c>
      <c r="G208" s="32">
        <v>11.88</v>
      </c>
      <c r="H208" s="32">
        <v>12</v>
      </c>
      <c r="I208" s="32">
        <v>12</v>
      </c>
      <c r="J208" s="32">
        <v>12.04</v>
      </c>
      <c r="K208" s="32">
        <v>12.12</v>
      </c>
      <c r="L208" s="32">
        <v>11.88</v>
      </c>
      <c r="M208" s="23">
        <v>49</v>
      </c>
      <c r="N208" s="23">
        <v>2.6</v>
      </c>
      <c r="O208" s="24">
        <v>0.31130000000000002</v>
      </c>
    </row>
    <row r="209" spans="1:15" x14ac:dyDescent="0.25">
      <c r="A209" s="18" t="s">
        <v>203</v>
      </c>
      <c r="B209" s="35">
        <v>10.72</v>
      </c>
      <c r="C209" s="32">
        <v>11.08</v>
      </c>
      <c r="D209" s="32">
        <v>11.08</v>
      </c>
      <c r="E209" s="32">
        <v>11.08</v>
      </c>
      <c r="F209" s="32">
        <v>11.08</v>
      </c>
      <c r="G209" s="32">
        <v>10.92</v>
      </c>
      <c r="H209" s="32">
        <v>10.92</v>
      </c>
      <c r="I209" s="32">
        <v>10.92</v>
      </c>
      <c r="J209" s="32">
        <v>11.08</v>
      </c>
      <c r="K209" s="32">
        <v>10.92</v>
      </c>
      <c r="L209" s="32">
        <v>10.72</v>
      </c>
      <c r="M209" s="23">
        <v>48</v>
      </c>
      <c r="N209" s="23">
        <v>1.4</v>
      </c>
      <c r="O209" s="24">
        <v>0.32300000000000001</v>
      </c>
    </row>
    <row r="210" spans="1:15" x14ac:dyDescent="0.25">
      <c r="A210" s="18" t="s">
        <v>204</v>
      </c>
      <c r="B210" s="35">
        <v>17.48</v>
      </c>
      <c r="C210" s="32">
        <v>17.52</v>
      </c>
      <c r="D210" s="32">
        <v>17.12</v>
      </c>
      <c r="E210" s="32">
        <v>17.64</v>
      </c>
      <c r="F210" s="32">
        <v>17.12</v>
      </c>
      <c r="G210" s="32">
        <v>17.12</v>
      </c>
      <c r="H210" s="32">
        <v>17.48</v>
      </c>
      <c r="I210" s="32">
        <v>17.12</v>
      </c>
      <c r="J210" s="32">
        <v>17.12</v>
      </c>
      <c r="K210" s="32">
        <v>17.12</v>
      </c>
      <c r="L210" s="32">
        <v>17.12</v>
      </c>
      <c r="M210" s="23">
        <v>52</v>
      </c>
      <c r="N210" s="23">
        <v>8.4</v>
      </c>
      <c r="O210" s="24">
        <v>0.33529999999999999</v>
      </c>
    </row>
    <row r="211" spans="1:15" x14ac:dyDescent="0.25">
      <c r="A211" s="18" t="s">
        <v>205</v>
      </c>
      <c r="B211" s="35">
        <v>18.920000000000002</v>
      </c>
      <c r="C211" s="32">
        <v>19</v>
      </c>
      <c r="D211" s="32">
        <v>19</v>
      </c>
      <c r="E211" s="32">
        <v>19</v>
      </c>
      <c r="F211" s="32">
        <v>19</v>
      </c>
      <c r="G211" s="32">
        <v>19</v>
      </c>
      <c r="H211" s="32">
        <v>18.88</v>
      </c>
      <c r="I211" s="32">
        <v>19</v>
      </c>
      <c r="J211" s="32">
        <v>19</v>
      </c>
      <c r="K211" s="32">
        <v>19</v>
      </c>
      <c r="L211" s="32">
        <v>18.88</v>
      </c>
      <c r="M211" s="23">
        <v>52</v>
      </c>
      <c r="N211" s="23">
        <v>10.6</v>
      </c>
      <c r="O211" s="24">
        <v>0.32519999999999999</v>
      </c>
    </row>
    <row r="212" spans="1:15" x14ac:dyDescent="0.25">
      <c r="A212" s="18" t="s">
        <v>206</v>
      </c>
      <c r="B212" s="35">
        <v>11.32</v>
      </c>
      <c r="C212" s="32">
        <v>11.32</v>
      </c>
      <c r="D212" s="32">
        <v>11.52</v>
      </c>
      <c r="E212" s="32">
        <v>11.48</v>
      </c>
      <c r="F212" s="32">
        <v>11.52</v>
      </c>
      <c r="G212" s="32">
        <v>11.48</v>
      </c>
      <c r="H212" s="32">
        <v>11.52</v>
      </c>
      <c r="I212" s="32">
        <v>11.48</v>
      </c>
      <c r="J212" s="32">
        <v>11.36</v>
      </c>
      <c r="K212" s="32">
        <v>11.44</v>
      </c>
      <c r="L212" s="32">
        <v>11.32</v>
      </c>
      <c r="M212" s="23">
        <v>51</v>
      </c>
      <c r="N212" s="23">
        <v>1.4</v>
      </c>
      <c r="O212" s="24">
        <v>0.33589999999999998</v>
      </c>
    </row>
    <row r="213" spans="1:15" x14ac:dyDescent="0.25">
      <c r="A213" s="18" t="s">
        <v>207</v>
      </c>
      <c r="B213" s="35">
        <v>10.08</v>
      </c>
      <c r="C213" s="32">
        <v>10.08</v>
      </c>
      <c r="D213" s="32">
        <v>10.08</v>
      </c>
      <c r="E213" s="32">
        <v>10.08</v>
      </c>
      <c r="F213" s="32">
        <v>9.8800000000000008</v>
      </c>
      <c r="G213" s="32">
        <v>10.08</v>
      </c>
      <c r="H213" s="32">
        <v>10.199999999999999</v>
      </c>
      <c r="I213" s="32">
        <v>10.08</v>
      </c>
      <c r="J213" s="32">
        <v>10.08</v>
      </c>
      <c r="K213" s="32">
        <v>10.24</v>
      </c>
      <c r="L213" s="32">
        <v>9.8800000000000008</v>
      </c>
      <c r="M213" s="23">
        <v>47</v>
      </c>
      <c r="N213" s="23">
        <v>0.6</v>
      </c>
      <c r="O213" s="24">
        <v>0.32750000000000001</v>
      </c>
    </row>
    <row r="214" spans="1:15" x14ac:dyDescent="0.25">
      <c r="A214" s="18" t="s">
        <v>208</v>
      </c>
      <c r="B214" s="35">
        <v>13.72</v>
      </c>
      <c r="C214" s="32">
        <v>13.92</v>
      </c>
      <c r="D214" s="32">
        <v>13.8</v>
      </c>
      <c r="E214" s="32">
        <v>13.8</v>
      </c>
      <c r="F214" s="32">
        <v>13.8</v>
      </c>
      <c r="G214" s="32">
        <v>13.92</v>
      </c>
      <c r="H214" s="32">
        <v>13.76</v>
      </c>
      <c r="I214" s="32">
        <v>13.6</v>
      </c>
      <c r="J214" s="32">
        <v>13.96</v>
      </c>
      <c r="K214" s="32">
        <v>13.92</v>
      </c>
      <c r="L214" s="32">
        <v>13.6</v>
      </c>
      <c r="M214" s="23">
        <v>52</v>
      </c>
      <c r="N214" s="23">
        <v>4</v>
      </c>
      <c r="O214" s="24">
        <v>0.33</v>
      </c>
    </row>
    <row r="215" spans="1:15" x14ac:dyDescent="0.25">
      <c r="A215" s="18" t="s">
        <v>209</v>
      </c>
      <c r="B215" s="35">
        <v>13.16</v>
      </c>
      <c r="C215" s="32">
        <v>12.84</v>
      </c>
      <c r="D215" s="32">
        <v>12.84</v>
      </c>
      <c r="E215" s="32">
        <v>12.8</v>
      </c>
      <c r="F215" s="32">
        <v>12.84</v>
      </c>
      <c r="G215" s="32">
        <v>12.84</v>
      </c>
      <c r="H215" s="32">
        <v>13</v>
      </c>
      <c r="I215" s="32">
        <v>12.64</v>
      </c>
      <c r="J215" s="32">
        <v>12.8</v>
      </c>
      <c r="K215" s="32">
        <v>12.84</v>
      </c>
      <c r="L215" s="32">
        <v>12.64</v>
      </c>
      <c r="M215" s="23">
        <v>48</v>
      </c>
      <c r="N215" s="23">
        <v>3.8</v>
      </c>
      <c r="O215" s="24">
        <v>0.31969999999999998</v>
      </c>
    </row>
    <row r="216" spans="1:15" x14ac:dyDescent="0.25">
      <c r="A216" s="18" t="s">
        <v>210</v>
      </c>
      <c r="B216" s="35">
        <v>13.72</v>
      </c>
      <c r="C216" s="32">
        <v>13.36</v>
      </c>
      <c r="D216" s="32">
        <v>13.56</v>
      </c>
      <c r="E216" s="32">
        <v>13.52</v>
      </c>
      <c r="F216" s="32">
        <v>13.6</v>
      </c>
      <c r="G216" s="32">
        <v>13.76</v>
      </c>
      <c r="H216" s="32">
        <v>13.72</v>
      </c>
      <c r="I216" s="32">
        <v>13.56</v>
      </c>
      <c r="J216" s="32">
        <v>13.24</v>
      </c>
      <c r="K216" s="32">
        <v>13.4</v>
      </c>
      <c r="L216" s="32">
        <v>13.24</v>
      </c>
      <c r="M216" s="23">
        <v>55</v>
      </c>
      <c r="N216" s="23">
        <v>2.8</v>
      </c>
      <c r="O216" s="24">
        <v>0.36309999999999998</v>
      </c>
    </row>
    <row r="217" spans="1:15" x14ac:dyDescent="0.25">
      <c r="A217" s="18" t="s">
        <v>211</v>
      </c>
      <c r="B217" s="35">
        <v>16.2</v>
      </c>
      <c r="C217" s="32">
        <v>16.32</v>
      </c>
      <c r="D217" s="32">
        <v>16.04</v>
      </c>
      <c r="E217" s="32">
        <v>16.12</v>
      </c>
      <c r="F217" s="32">
        <v>16.2</v>
      </c>
      <c r="G217" s="32">
        <v>16.04</v>
      </c>
      <c r="H217" s="32">
        <v>15.84</v>
      </c>
      <c r="I217" s="32">
        <v>16.16</v>
      </c>
      <c r="J217" s="32">
        <v>16.32</v>
      </c>
      <c r="K217" s="32">
        <v>16.04</v>
      </c>
      <c r="L217" s="32">
        <v>15.84</v>
      </c>
      <c r="M217" s="23">
        <v>56</v>
      </c>
      <c r="N217" s="23">
        <v>5.8</v>
      </c>
      <c r="O217" s="24">
        <v>0.36</v>
      </c>
    </row>
    <row r="218" spans="1:15" x14ac:dyDescent="0.25">
      <c r="A218" s="18" t="s">
        <v>212</v>
      </c>
      <c r="B218" s="35">
        <v>11.76</v>
      </c>
      <c r="C218" s="32">
        <v>11.96</v>
      </c>
      <c r="D218" s="32">
        <v>11.96</v>
      </c>
      <c r="E218" s="32">
        <v>11.6</v>
      </c>
      <c r="F218" s="32">
        <v>11.96</v>
      </c>
      <c r="G218" s="32">
        <v>11.96</v>
      </c>
      <c r="H218" s="32">
        <v>11.92</v>
      </c>
      <c r="I218" s="32">
        <v>11.96</v>
      </c>
      <c r="J218" s="32">
        <v>11.96</v>
      </c>
      <c r="K218" s="32">
        <v>11.76</v>
      </c>
      <c r="L218" s="32">
        <v>11.6</v>
      </c>
      <c r="M218" s="23">
        <v>46</v>
      </c>
      <c r="N218" s="23">
        <v>3</v>
      </c>
      <c r="O218" s="24">
        <v>0.31830000000000003</v>
      </c>
    </row>
    <row r="219" spans="1:15" x14ac:dyDescent="0.25">
      <c r="A219" s="18" t="s">
        <v>213</v>
      </c>
      <c r="B219" s="35">
        <v>11.92</v>
      </c>
      <c r="C219" s="32">
        <v>11.92</v>
      </c>
      <c r="D219" s="32">
        <v>11.92</v>
      </c>
      <c r="E219" s="32">
        <v>11.92</v>
      </c>
      <c r="F219" s="32">
        <v>11.92</v>
      </c>
      <c r="G219" s="32">
        <v>11.92</v>
      </c>
      <c r="H219" s="32">
        <v>11.92</v>
      </c>
      <c r="I219" s="32">
        <v>11.88</v>
      </c>
      <c r="J219" s="32">
        <v>11.92</v>
      </c>
      <c r="K219" s="32">
        <v>11.92</v>
      </c>
      <c r="L219" s="32">
        <v>11.88</v>
      </c>
      <c r="M219" s="23">
        <v>49</v>
      </c>
      <c r="N219" s="23">
        <v>2.6</v>
      </c>
      <c r="O219" s="24">
        <v>0.33850000000000002</v>
      </c>
    </row>
    <row r="220" spans="1:15" x14ac:dyDescent="0.25">
      <c r="A220" s="18" t="s">
        <v>214</v>
      </c>
      <c r="B220" s="35">
        <v>13.96</v>
      </c>
      <c r="C220" s="32">
        <v>14</v>
      </c>
      <c r="D220" s="32">
        <v>14</v>
      </c>
      <c r="E220" s="32">
        <v>13.8</v>
      </c>
      <c r="F220" s="32">
        <v>14</v>
      </c>
      <c r="G220" s="32">
        <v>14.2</v>
      </c>
      <c r="H220" s="32">
        <v>13.8</v>
      </c>
      <c r="I220" s="32">
        <v>14</v>
      </c>
      <c r="J220" s="32">
        <v>14</v>
      </c>
      <c r="K220" s="32">
        <v>14</v>
      </c>
      <c r="L220" s="32">
        <v>13.8</v>
      </c>
      <c r="M220" s="23">
        <v>57</v>
      </c>
      <c r="N220" s="23">
        <v>3</v>
      </c>
      <c r="O220" s="24">
        <v>0.36720000000000003</v>
      </c>
    </row>
    <row r="221" spans="1:15" x14ac:dyDescent="0.25">
      <c r="A221" s="18" t="s">
        <v>215</v>
      </c>
      <c r="B221" s="35">
        <v>13.4</v>
      </c>
      <c r="C221" s="32">
        <v>13.44</v>
      </c>
      <c r="D221" s="32">
        <v>13.24</v>
      </c>
      <c r="E221" s="32">
        <v>13.44</v>
      </c>
      <c r="F221" s="32">
        <v>13.44</v>
      </c>
      <c r="G221" s="32">
        <v>13.4</v>
      </c>
      <c r="H221" s="32">
        <v>13.44</v>
      </c>
      <c r="I221" s="32">
        <v>13.44</v>
      </c>
      <c r="J221" s="32">
        <v>13.24</v>
      </c>
      <c r="K221" s="32">
        <v>13.44</v>
      </c>
      <c r="L221" s="32">
        <v>13.24</v>
      </c>
      <c r="M221" s="23">
        <v>51</v>
      </c>
      <c r="N221" s="23">
        <v>3.8</v>
      </c>
      <c r="O221" s="24">
        <v>0.33069999999999999</v>
      </c>
    </row>
    <row r="222" spans="1:15" x14ac:dyDescent="0.25">
      <c r="A222" s="18" t="s">
        <v>216</v>
      </c>
      <c r="B222" s="35">
        <v>13.72</v>
      </c>
      <c r="C222" s="32">
        <v>13.24</v>
      </c>
      <c r="D222" s="32">
        <v>13.56</v>
      </c>
      <c r="E222" s="32">
        <v>13.6</v>
      </c>
      <c r="F222" s="32">
        <v>13.56</v>
      </c>
      <c r="G222" s="32">
        <v>13.72</v>
      </c>
      <c r="H222" s="32">
        <v>13.28</v>
      </c>
      <c r="I222" s="32">
        <v>13.56</v>
      </c>
      <c r="J222" s="32">
        <v>13.6</v>
      </c>
      <c r="K222" s="32">
        <v>13.72</v>
      </c>
      <c r="L222" s="32">
        <v>13.24</v>
      </c>
      <c r="M222" s="23">
        <v>47</v>
      </c>
      <c r="N222" s="23">
        <v>4.8</v>
      </c>
      <c r="O222" s="24">
        <v>0.30990000000000001</v>
      </c>
    </row>
    <row r="223" spans="1:15" x14ac:dyDescent="0.25">
      <c r="A223" s="18" t="s">
        <v>217</v>
      </c>
      <c r="B223" s="35">
        <v>11.64</v>
      </c>
      <c r="C223" s="32">
        <v>11.64</v>
      </c>
      <c r="D223" s="32">
        <v>11.64</v>
      </c>
      <c r="E223" s="32">
        <v>11.64</v>
      </c>
      <c r="F223" s="32">
        <v>11.64</v>
      </c>
      <c r="G223" s="32">
        <v>11.64</v>
      </c>
      <c r="H223" s="32">
        <v>11.64</v>
      </c>
      <c r="I223" s="32">
        <v>11.64</v>
      </c>
      <c r="J223" s="32">
        <v>11.64</v>
      </c>
      <c r="K223" s="32">
        <v>11.64</v>
      </c>
      <c r="L223" s="32">
        <v>11.64</v>
      </c>
      <c r="M223" s="23">
        <v>47</v>
      </c>
      <c r="N223" s="23">
        <v>2.8</v>
      </c>
      <c r="O223" s="24">
        <v>0.31419999999999998</v>
      </c>
    </row>
    <row r="224" spans="1:15" x14ac:dyDescent="0.25">
      <c r="A224" s="18" t="s">
        <v>218</v>
      </c>
      <c r="B224" s="35">
        <v>12.72</v>
      </c>
      <c r="C224" s="32">
        <v>12.52</v>
      </c>
      <c r="D224" s="32">
        <v>12.92</v>
      </c>
      <c r="E224" s="32">
        <v>12.92</v>
      </c>
      <c r="F224" s="32">
        <v>12.92</v>
      </c>
      <c r="G224" s="32">
        <v>12.56</v>
      </c>
      <c r="H224" s="32">
        <v>12.88</v>
      </c>
      <c r="I224" s="32">
        <v>12.92</v>
      </c>
      <c r="J224" s="32">
        <v>12.92</v>
      </c>
      <c r="K224" s="32">
        <v>12.92</v>
      </c>
      <c r="L224" s="32">
        <v>12.52</v>
      </c>
      <c r="M224" s="23">
        <v>53</v>
      </c>
      <c r="N224" s="23">
        <v>2.4</v>
      </c>
      <c r="O224" s="24">
        <v>0.36209999999999998</v>
      </c>
    </row>
    <row r="225" spans="1:15" x14ac:dyDescent="0.25">
      <c r="A225" s="18" t="s">
        <v>219</v>
      </c>
      <c r="B225" s="35">
        <v>12.76</v>
      </c>
      <c r="C225" s="32">
        <v>12.48</v>
      </c>
      <c r="D225" s="32">
        <v>12.16</v>
      </c>
      <c r="E225" s="32">
        <v>12.76</v>
      </c>
      <c r="F225" s="32">
        <v>12.56</v>
      </c>
      <c r="G225" s="32">
        <v>12.76</v>
      </c>
      <c r="H225" s="32">
        <v>12.76</v>
      </c>
      <c r="I225" s="32">
        <v>12.64</v>
      </c>
      <c r="J225" s="32">
        <v>12.76</v>
      </c>
      <c r="K225" s="32">
        <v>12.4</v>
      </c>
      <c r="L225" s="32">
        <v>12.16</v>
      </c>
      <c r="M225" s="23">
        <v>52</v>
      </c>
      <c r="N225" s="23">
        <v>2.2000000000000002</v>
      </c>
      <c r="O225" s="24">
        <v>0.33839999999999998</v>
      </c>
    </row>
    <row r="226" spans="1:15" x14ac:dyDescent="0.25">
      <c r="A226" s="18" t="s">
        <v>220</v>
      </c>
      <c r="B226" s="35">
        <v>11.12</v>
      </c>
      <c r="C226" s="32">
        <v>11.12</v>
      </c>
      <c r="D226" s="32">
        <v>11.12</v>
      </c>
      <c r="E226" s="32">
        <v>11.12</v>
      </c>
      <c r="F226" s="32">
        <v>11.12</v>
      </c>
      <c r="G226" s="32">
        <v>11.12</v>
      </c>
      <c r="H226" s="32">
        <v>11.12</v>
      </c>
      <c r="I226" s="32">
        <v>11.08</v>
      </c>
      <c r="J226" s="32">
        <v>11.12</v>
      </c>
      <c r="K226" s="32">
        <v>11.12</v>
      </c>
      <c r="L226" s="32">
        <v>11.08</v>
      </c>
      <c r="M226" s="23">
        <v>49</v>
      </c>
      <c r="N226" s="23">
        <v>1.6</v>
      </c>
      <c r="O226" s="24">
        <v>0.31840000000000002</v>
      </c>
    </row>
    <row r="227" spans="1:15" x14ac:dyDescent="0.25">
      <c r="A227" s="18" t="s">
        <v>221</v>
      </c>
      <c r="B227" s="35">
        <v>11.16</v>
      </c>
      <c r="C227" s="32">
        <v>11.16</v>
      </c>
      <c r="D227" s="32">
        <v>11.16</v>
      </c>
      <c r="E227" s="32">
        <v>10.96</v>
      </c>
      <c r="F227" s="32">
        <v>11.16</v>
      </c>
      <c r="G227" s="32">
        <v>11.16</v>
      </c>
      <c r="H227" s="32">
        <v>11.12</v>
      </c>
      <c r="I227" s="32">
        <v>11.16</v>
      </c>
      <c r="J227" s="32">
        <v>11.16</v>
      </c>
      <c r="K227" s="32">
        <v>11.16</v>
      </c>
      <c r="L227" s="32">
        <v>10.96</v>
      </c>
      <c r="M227" s="23">
        <v>50</v>
      </c>
      <c r="N227" s="23">
        <v>1.2</v>
      </c>
      <c r="O227" s="24">
        <v>0.33610000000000001</v>
      </c>
    </row>
    <row r="228" spans="1:15" x14ac:dyDescent="0.25">
      <c r="A228" s="18" t="s">
        <v>222</v>
      </c>
      <c r="B228" s="35">
        <v>11.48</v>
      </c>
      <c r="C228" s="32">
        <v>11.52</v>
      </c>
      <c r="D228" s="32">
        <v>11.52</v>
      </c>
      <c r="E228" s="32">
        <v>11.64</v>
      </c>
      <c r="F228" s="32">
        <v>12</v>
      </c>
      <c r="G228" s="32">
        <v>11.64</v>
      </c>
      <c r="H228" s="32">
        <v>11.32</v>
      </c>
      <c r="I228" s="32">
        <v>11.64</v>
      </c>
      <c r="J228" s="32">
        <v>11.48</v>
      </c>
      <c r="K228" s="32">
        <v>11.48</v>
      </c>
      <c r="L228" s="32">
        <v>11.32</v>
      </c>
      <c r="M228" s="23">
        <v>51</v>
      </c>
      <c r="N228" s="23">
        <v>1.4</v>
      </c>
      <c r="O228" s="24">
        <v>0.33900000000000002</v>
      </c>
    </row>
    <row r="229" spans="1:15" x14ac:dyDescent="0.25">
      <c r="A229" s="18" t="s">
        <v>223</v>
      </c>
      <c r="B229" s="35">
        <v>11.72</v>
      </c>
      <c r="C229" s="32">
        <v>11.88</v>
      </c>
      <c r="D229" s="32">
        <v>11.92</v>
      </c>
      <c r="E229" s="32">
        <v>11.92</v>
      </c>
      <c r="F229" s="32">
        <v>11.6</v>
      </c>
      <c r="G229" s="32">
        <v>11.24</v>
      </c>
      <c r="H229" s="32">
        <v>11.64</v>
      </c>
      <c r="I229" s="32">
        <v>11.56</v>
      </c>
      <c r="J229" s="32">
        <v>11.76</v>
      </c>
      <c r="K229" s="32">
        <v>11.56</v>
      </c>
      <c r="L229" s="32">
        <v>11.24</v>
      </c>
      <c r="M229" s="23">
        <v>49</v>
      </c>
      <c r="N229" s="23">
        <v>1.8</v>
      </c>
      <c r="O229" s="24">
        <v>0.32450000000000001</v>
      </c>
    </row>
    <row r="230" spans="1:15" x14ac:dyDescent="0.25">
      <c r="A230" s="18" t="s">
        <v>224</v>
      </c>
      <c r="B230" s="35">
        <v>13.84</v>
      </c>
      <c r="C230" s="32">
        <v>14.04</v>
      </c>
      <c r="D230" s="32">
        <v>13.2</v>
      </c>
      <c r="E230" s="32">
        <v>14.04</v>
      </c>
      <c r="F230" s="32">
        <v>13.88</v>
      </c>
      <c r="G230" s="32">
        <v>14.04</v>
      </c>
      <c r="H230" s="32">
        <v>14.04</v>
      </c>
      <c r="I230" s="32">
        <v>14.04</v>
      </c>
      <c r="J230" s="32">
        <v>14.04</v>
      </c>
      <c r="K230" s="32">
        <v>13.88</v>
      </c>
      <c r="L230" s="32">
        <v>13.2</v>
      </c>
      <c r="M230" s="23">
        <v>50</v>
      </c>
      <c r="N230" s="23">
        <v>4</v>
      </c>
      <c r="O230" s="24">
        <v>0.32600000000000001</v>
      </c>
    </row>
    <row r="231" spans="1:15" x14ac:dyDescent="0.25">
      <c r="A231" s="18" t="s">
        <v>225</v>
      </c>
      <c r="B231" s="35">
        <v>14.92</v>
      </c>
      <c r="C231" s="32">
        <v>15.28</v>
      </c>
      <c r="D231" s="32">
        <v>14.8</v>
      </c>
      <c r="E231" s="32">
        <v>15.96</v>
      </c>
      <c r="F231" s="32">
        <v>14.96</v>
      </c>
      <c r="G231" s="32">
        <v>15.6</v>
      </c>
      <c r="H231" s="32">
        <v>15.16</v>
      </c>
      <c r="I231" s="32">
        <v>15.28</v>
      </c>
      <c r="J231" s="32">
        <v>15.12</v>
      </c>
      <c r="K231" s="32">
        <v>14.8</v>
      </c>
      <c r="L231" s="32">
        <v>14.8</v>
      </c>
      <c r="M231" s="23">
        <v>54</v>
      </c>
      <c r="N231" s="23">
        <v>5</v>
      </c>
      <c r="O231" s="24">
        <v>0.34960000000000002</v>
      </c>
    </row>
    <row r="232" spans="1:15" x14ac:dyDescent="0.25">
      <c r="A232" s="18" t="s">
        <v>226</v>
      </c>
      <c r="B232" s="35">
        <v>11.76</v>
      </c>
      <c r="C232" s="32">
        <v>12.08</v>
      </c>
      <c r="D232" s="32">
        <v>11.96</v>
      </c>
      <c r="E232" s="32">
        <v>11.92</v>
      </c>
      <c r="F232" s="32">
        <v>12.12</v>
      </c>
      <c r="G232" s="32">
        <v>11.92</v>
      </c>
      <c r="H232" s="32">
        <v>11.76</v>
      </c>
      <c r="I232" s="32">
        <v>12.32</v>
      </c>
      <c r="J232" s="32">
        <v>11.76</v>
      </c>
      <c r="K232" s="32">
        <v>11.76</v>
      </c>
      <c r="L232" s="32">
        <v>11.76</v>
      </c>
      <c r="M232" s="23">
        <v>50</v>
      </c>
      <c r="N232" s="23">
        <v>2.2000000000000002</v>
      </c>
      <c r="O232" s="24">
        <v>0.33100000000000002</v>
      </c>
    </row>
    <row r="233" spans="1:15" x14ac:dyDescent="0.25">
      <c r="A233" s="18" t="s">
        <v>227</v>
      </c>
      <c r="B233" s="35">
        <v>12.16</v>
      </c>
      <c r="C233" s="32">
        <v>12.2</v>
      </c>
      <c r="D233" s="32">
        <v>12.24</v>
      </c>
      <c r="E233" s="32">
        <v>12.2</v>
      </c>
      <c r="F233" s="32">
        <v>12.04</v>
      </c>
      <c r="G233" s="32">
        <v>12.2</v>
      </c>
      <c r="H233" s="32">
        <v>12.24</v>
      </c>
      <c r="I233" s="32">
        <v>12.36</v>
      </c>
      <c r="J233" s="32">
        <v>12.2</v>
      </c>
      <c r="K233" s="32">
        <v>12.04</v>
      </c>
      <c r="L233" s="32">
        <v>12.04</v>
      </c>
      <c r="M233" s="23">
        <v>49</v>
      </c>
      <c r="N233" s="23">
        <v>2.8</v>
      </c>
      <c r="O233" s="24">
        <v>0.3226</v>
      </c>
    </row>
    <row r="234" spans="1:15" x14ac:dyDescent="0.25">
      <c r="A234" s="18" t="s">
        <v>228</v>
      </c>
      <c r="B234" s="35">
        <v>11.96</v>
      </c>
      <c r="C234" s="32">
        <v>11.96</v>
      </c>
      <c r="D234" s="32">
        <v>11.96</v>
      </c>
      <c r="E234" s="32">
        <v>12</v>
      </c>
      <c r="F234" s="32">
        <v>12</v>
      </c>
      <c r="G234" s="32">
        <v>11.84</v>
      </c>
      <c r="H234" s="32">
        <v>12</v>
      </c>
      <c r="I234" s="32">
        <v>12</v>
      </c>
      <c r="J234" s="32">
        <v>12</v>
      </c>
      <c r="K234" s="32">
        <v>11.96</v>
      </c>
      <c r="L234" s="32">
        <v>11.84</v>
      </c>
      <c r="M234" s="23">
        <v>52</v>
      </c>
      <c r="N234" s="23">
        <v>1.8</v>
      </c>
      <c r="O234" s="24">
        <v>0.34050000000000002</v>
      </c>
    </row>
    <row r="235" spans="1:15" x14ac:dyDescent="0.25">
      <c r="A235" s="18" t="s">
        <v>229</v>
      </c>
      <c r="B235" s="35">
        <v>16</v>
      </c>
      <c r="C235" s="32">
        <v>16</v>
      </c>
      <c r="D235" s="32">
        <v>16</v>
      </c>
      <c r="E235" s="32">
        <v>16</v>
      </c>
      <c r="F235" s="32">
        <v>16</v>
      </c>
      <c r="G235" s="32">
        <v>15.88</v>
      </c>
      <c r="H235" s="32">
        <v>16</v>
      </c>
      <c r="I235" s="32">
        <v>16</v>
      </c>
      <c r="J235" s="32">
        <v>16</v>
      </c>
      <c r="K235" s="32">
        <v>16</v>
      </c>
      <c r="L235" s="32">
        <v>15.88</v>
      </c>
      <c r="M235" s="23">
        <v>57</v>
      </c>
      <c r="N235" s="23">
        <v>5.6</v>
      </c>
      <c r="O235" s="24">
        <v>0.3695</v>
      </c>
    </row>
    <row r="236" spans="1:15" x14ac:dyDescent="0.25">
      <c r="A236" s="18" t="s">
        <v>230</v>
      </c>
      <c r="B236" s="35">
        <v>14.68</v>
      </c>
      <c r="C236" s="32">
        <v>14.88</v>
      </c>
      <c r="D236" s="32">
        <v>14.88</v>
      </c>
      <c r="E236" s="32">
        <v>14.68</v>
      </c>
      <c r="F236" s="32">
        <v>14.88</v>
      </c>
      <c r="G236" s="32">
        <v>14.88</v>
      </c>
      <c r="H236" s="32">
        <v>14.88</v>
      </c>
      <c r="I236" s="32">
        <v>13.88</v>
      </c>
      <c r="J236" s="32">
        <v>14.68</v>
      </c>
      <c r="K236" s="32">
        <v>14.08</v>
      </c>
      <c r="L236" s="32">
        <v>13.88</v>
      </c>
      <c r="M236" s="23">
        <v>55</v>
      </c>
      <c r="N236" s="23">
        <v>3.6</v>
      </c>
      <c r="O236" s="24">
        <v>0.36299999999999999</v>
      </c>
    </row>
    <row r="237" spans="1:15" x14ac:dyDescent="0.25">
      <c r="A237" s="18" t="s">
        <v>231</v>
      </c>
      <c r="B237" s="35">
        <v>13.8</v>
      </c>
      <c r="C237" s="32">
        <v>14</v>
      </c>
      <c r="D237" s="32">
        <v>14</v>
      </c>
      <c r="E237" s="32">
        <v>14</v>
      </c>
      <c r="F237" s="32">
        <v>14</v>
      </c>
      <c r="G237" s="32">
        <v>14</v>
      </c>
      <c r="H237" s="32">
        <v>14</v>
      </c>
      <c r="I237" s="32">
        <v>14</v>
      </c>
      <c r="J237" s="32">
        <v>14</v>
      </c>
      <c r="K237" s="32">
        <v>14</v>
      </c>
      <c r="L237" s="32">
        <v>13.8</v>
      </c>
      <c r="M237" s="23">
        <v>49</v>
      </c>
      <c r="N237" s="23">
        <v>5</v>
      </c>
      <c r="O237" s="24">
        <v>0.32140000000000002</v>
      </c>
    </row>
    <row r="238" spans="1:15" x14ac:dyDescent="0.25">
      <c r="A238" s="18" t="s">
        <v>232</v>
      </c>
      <c r="B238" s="35">
        <v>13.44</v>
      </c>
      <c r="C238" s="32">
        <v>13.44</v>
      </c>
      <c r="D238" s="32">
        <v>13.44</v>
      </c>
      <c r="E238" s="32">
        <v>13.44</v>
      </c>
      <c r="F238" s="32">
        <v>13.44</v>
      </c>
      <c r="G238" s="32">
        <v>13.44</v>
      </c>
      <c r="H238" s="32">
        <v>13.44</v>
      </c>
      <c r="I238" s="32">
        <v>13.44</v>
      </c>
      <c r="J238" s="32">
        <v>13.44</v>
      </c>
      <c r="K238" s="32">
        <v>13.44</v>
      </c>
      <c r="L238" s="32">
        <v>13.44</v>
      </c>
      <c r="M238" s="23">
        <v>56</v>
      </c>
      <c r="N238" s="23">
        <v>2.8</v>
      </c>
      <c r="O238" s="24">
        <v>0.38100000000000001</v>
      </c>
    </row>
    <row r="239" spans="1:15" x14ac:dyDescent="0.25">
      <c r="A239" s="18" t="s">
        <v>233</v>
      </c>
      <c r="B239" s="35">
        <v>15.48</v>
      </c>
      <c r="C239" s="32">
        <v>14.92</v>
      </c>
      <c r="D239" s="32">
        <v>14.96</v>
      </c>
      <c r="E239" s="32">
        <v>15.08</v>
      </c>
      <c r="F239" s="32">
        <v>15.12</v>
      </c>
      <c r="G239" s="32">
        <v>15.08</v>
      </c>
      <c r="H239" s="32">
        <v>15.28</v>
      </c>
      <c r="I239" s="32">
        <v>15.08</v>
      </c>
      <c r="J239" s="32">
        <v>15.24</v>
      </c>
      <c r="K239" s="32">
        <v>15.44</v>
      </c>
      <c r="L239" s="32">
        <v>14.92</v>
      </c>
      <c r="M239" s="23">
        <v>61</v>
      </c>
      <c r="N239" s="23">
        <v>3.4</v>
      </c>
      <c r="O239" s="24">
        <v>0.37509999999999999</v>
      </c>
    </row>
    <row r="240" spans="1:15" x14ac:dyDescent="0.25">
      <c r="A240" s="18" t="s">
        <v>234</v>
      </c>
      <c r="B240" s="35">
        <v>12.04</v>
      </c>
      <c r="C240" s="32">
        <v>12.4</v>
      </c>
      <c r="D240" s="32">
        <v>12.08</v>
      </c>
      <c r="E240" s="32">
        <v>12.4</v>
      </c>
      <c r="F240" s="32">
        <v>12.08</v>
      </c>
      <c r="G240" s="32">
        <v>11.92</v>
      </c>
      <c r="H240" s="32">
        <v>12.12</v>
      </c>
      <c r="I240" s="32">
        <v>12.24</v>
      </c>
      <c r="J240" s="32">
        <v>11.72</v>
      </c>
      <c r="K240" s="32">
        <v>12.32</v>
      </c>
      <c r="L240" s="32">
        <v>11.72</v>
      </c>
      <c r="M240" s="23">
        <v>49</v>
      </c>
      <c r="N240" s="23">
        <v>2.4</v>
      </c>
      <c r="O240" s="24">
        <v>0.33350000000000002</v>
      </c>
    </row>
    <row r="241" spans="1:15" x14ac:dyDescent="0.25">
      <c r="A241" s="18" t="s">
        <v>235</v>
      </c>
      <c r="B241" s="35">
        <v>12.92</v>
      </c>
      <c r="C241" s="32">
        <v>12.48</v>
      </c>
      <c r="D241" s="32">
        <v>12.96</v>
      </c>
      <c r="E241" s="32">
        <v>12.44</v>
      </c>
      <c r="F241" s="32">
        <v>12.08</v>
      </c>
      <c r="G241" s="32">
        <v>12.48</v>
      </c>
      <c r="H241" s="32">
        <v>12.48</v>
      </c>
      <c r="I241" s="32">
        <v>13.08</v>
      </c>
      <c r="J241" s="32">
        <v>12.48</v>
      </c>
      <c r="K241" s="32">
        <v>12.76</v>
      </c>
      <c r="L241" s="32">
        <v>12.08</v>
      </c>
      <c r="M241" s="23">
        <v>46</v>
      </c>
      <c r="N241" s="23">
        <v>3.6</v>
      </c>
      <c r="O241" s="24">
        <v>0.30280000000000001</v>
      </c>
    </row>
    <row r="242" spans="1:15" x14ac:dyDescent="0.25">
      <c r="A242" s="18" t="s">
        <v>236</v>
      </c>
      <c r="B242" s="35">
        <v>16.16</v>
      </c>
      <c r="C242" s="32">
        <v>15.72</v>
      </c>
      <c r="D242" s="32">
        <v>15.44</v>
      </c>
      <c r="E242" s="32">
        <v>15.64</v>
      </c>
      <c r="F242" s="32">
        <v>15.76</v>
      </c>
      <c r="G242" s="32">
        <v>15.48</v>
      </c>
      <c r="H242" s="32">
        <v>15.32</v>
      </c>
      <c r="I242" s="32">
        <v>15.64</v>
      </c>
      <c r="J242" s="32">
        <v>15.6</v>
      </c>
      <c r="K242" s="32">
        <v>15.76</v>
      </c>
      <c r="L242" s="32">
        <v>15.32</v>
      </c>
      <c r="M242" s="23">
        <v>51</v>
      </c>
      <c r="N242" s="23">
        <v>6.4</v>
      </c>
      <c r="O242" s="24">
        <v>0.31719999999999998</v>
      </c>
    </row>
    <row r="243" spans="1:15" x14ac:dyDescent="0.25">
      <c r="A243" s="18" t="s">
        <v>237</v>
      </c>
      <c r="B243" s="35">
        <v>16.48</v>
      </c>
      <c r="C243" s="32">
        <v>16.8</v>
      </c>
      <c r="D243" s="32">
        <v>16.8</v>
      </c>
      <c r="E243" s="32">
        <v>16.52</v>
      </c>
      <c r="F243" s="32">
        <v>16.8</v>
      </c>
      <c r="G243" s="32">
        <v>16.68</v>
      </c>
      <c r="H243" s="32">
        <v>16.72</v>
      </c>
      <c r="I243" s="32">
        <v>16.68</v>
      </c>
      <c r="J243" s="32">
        <v>16.72</v>
      </c>
      <c r="K243" s="32">
        <v>16.68</v>
      </c>
      <c r="L243" s="32">
        <v>16.48</v>
      </c>
      <c r="M243" s="23">
        <v>52</v>
      </c>
      <c r="N243" s="23">
        <v>7.6</v>
      </c>
      <c r="O243" s="24">
        <v>0.35510000000000003</v>
      </c>
    </row>
    <row r="244" spans="1:15" x14ac:dyDescent="0.25">
      <c r="A244" s="18" t="s">
        <v>238</v>
      </c>
      <c r="B244" s="35">
        <v>12.8</v>
      </c>
      <c r="C244" s="32">
        <v>12.68</v>
      </c>
      <c r="D244" s="32">
        <v>12.8</v>
      </c>
      <c r="E244" s="32">
        <v>12.96</v>
      </c>
      <c r="F244" s="32">
        <v>12.64</v>
      </c>
      <c r="G244" s="32">
        <v>12.84</v>
      </c>
      <c r="H244" s="32">
        <v>12.84</v>
      </c>
      <c r="I244" s="32">
        <v>12.8</v>
      </c>
      <c r="J244" s="32">
        <v>12.8</v>
      </c>
      <c r="K244" s="32">
        <v>12.8</v>
      </c>
      <c r="L244" s="32">
        <v>12.64</v>
      </c>
      <c r="M244" s="23">
        <v>48</v>
      </c>
      <c r="N244" s="23">
        <v>3.8</v>
      </c>
      <c r="O244" s="24">
        <v>0.31059999999999999</v>
      </c>
    </row>
    <row r="245" spans="1:15" x14ac:dyDescent="0.25">
      <c r="A245" s="18" t="s">
        <v>239</v>
      </c>
      <c r="B245" s="35">
        <v>13.6</v>
      </c>
      <c r="C245" s="32">
        <v>13.6</v>
      </c>
      <c r="D245" s="32">
        <v>13.6</v>
      </c>
      <c r="E245" s="32">
        <v>13.6</v>
      </c>
      <c r="F245" s="32">
        <v>13.56</v>
      </c>
      <c r="G245" s="32">
        <v>13.6</v>
      </c>
      <c r="H245" s="32">
        <v>13.6</v>
      </c>
      <c r="I245" s="32">
        <v>13.56</v>
      </c>
      <c r="J245" s="32">
        <v>13.6</v>
      </c>
      <c r="K245" s="32">
        <v>13.6</v>
      </c>
      <c r="L245" s="32">
        <v>13.56</v>
      </c>
      <c r="M245" s="23">
        <v>55</v>
      </c>
      <c r="N245" s="23">
        <v>3.2</v>
      </c>
      <c r="O245" s="24">
        <v>0.35670000000000002</v>
      </c>
    </row>
    <row r="246" spans="1:15" x14ac:dyDescent="0.25">
      <c r="A246" s="18" t="s">
        <v>240</v>
      </c>
      <c r="B246" s="35">
        <v>10.68</v>
      </c>
      <c r="C246" s="32">
        <v>10.68</v>
      </c>
      <c r="D246" s="32">
        <v>10.68</v>
      </c>
      <c r="E246" s="32">
        <v>10.68</v>
      </c>
      <c r="F246" s="32">
        <v>10.68</v>
      </c>
      <c r="G246" s="32">
        <v>10.68</v>
      </c>
      <c r="H246" s="32">
        <v>10.68</v>
      </c>
      <c r="I246" s="32">
        <v>10.68</v>
      </c>
      <c r="J246" s="32">
        <v>10.68</v>
      </c>
      <c r="K246" s="32">
        <v>10.68</v>
      </c>
      <c r="L246" s="32">
        <v>10.68</v>
      </c>
      <c r="M246" s="23">
        <v>47</v>
      </c>
      <c r="N246" s="23">
        <v>1.6</v>
      </c>
      <c r="O246" s="24">
        <v>0.32879999999999998</v>
      </c>
    </row>
    <row r="247" spans="1:15" x14ac:dyDescent="0.25">
      <c r="A247" s="18" t="s">
        <v>241</v>
      </c>
      <c r="B247" s="35">
        <v>14.36</v>
      </c>
      <c r="C247" s="32">
        <v>13.92</v>
      </c>
      <c r="D247" s="32">
        <v>14.04</v>
      </c>
      <c r="E247" s="32">
        <v>14.08</v>
      </c>
      <c r="F247" s="32">
        <v>14.24</v>
      </c>
      <c r="G247" s="32">
        <v>14.2</v>
      </c>
      <c r="H247" s="32">
        <v>14</v>
      </c>
      <c r="I247" s="32">
        <v>14.2</v>
      </c>
      <c r="J247" s="32">
        <v>14.08</v>
      </c>
      <c r="K247" s="32">
        <v>14.12</v>
      </c>
      <c r="L247" s="32">
        <v>13.92</v>
      </c>
      <c r="M247" s="23">
        <v>56</v>
      </c>
      <c r="N247" s="23">
        <v>3.4</v>
      </c>
      <c r="O247" s="24">
        <v>0.3533</v>
      </c>
    </row>
    <row r="248" spans="1:15" x14ac:dyDescent="0.25">
      <c r="A248" s="18" t="s">
        <v>242</v>
      </c>
      <c r="B248" s="35">
        <v>11.04</v>
      </c>
      <c r="C248" s="32">
        <v>11.48</v>
      </c>
      <c r="D248" s="32">
        <v>11.48</v>
      </c>
      <c r="E248" s="32">
        <v>11.48</v>
      </c>
      <c r="F248" s="32">
        <v>11.48</v>
      </c>
      <c r="G248" s="32">
        <v>11.48</v>
      </c>
      <c r="H248" s="32">
        <v>11.12</v>
      </c>
      <c r="I248" s="32">
        <v>11.48</v>
      </c>
      <c r="J248" s="32">
        <v>11.48</v>
      </c>
      <c r="K248" s="32">
        <v>11.48</v>
      </c>
      <c r="L248" s="32">
        <v>11.04</v>
      </c>
      <c r="M248" s="23">
        <v>52</v>
      </c>
      <c r="N248" s="23">
        <v>0.8</v>
      </c>
      <c r="O248" s="24">
        <v>0.33</v>
      </c>
    </row>
    <row r="249" spans="1:15" x14ac:dyDescent="0.25">
      <c r="A249" s="18" t="s">
        <v>243</v>
      </c>
      <c r="B249" s="35">
        <v>10.88</v>
      </c>
      <c r="C249" s="32">
        <v>10.48</v>
      </c>
      <c r="D249" s="32">
        <v>10.44</v>
      </c>
      <c r="E249" s="32">
        <v>10.64</v>
      </c>
      <c r="F249" s="32">
        <v>10.68</v>
      </c>
      <c r="G249" s="32">
        <v>10.48</v>
      </c>
      <c r="H249" s="32">
        <v>10.8</v>
      </c>
      <c r="I249" s="32">
        <v>10.68</v>
      </c>
      <c r="J249" s="32">
        <v>10.48</v>
      </c>
      <c r="K249" s="32">
        <v>10.68</v>
      </c>
      <c r="L249" s="32">
        <v>10.44</v>
      </c>
      <c r="M249" s="23">
        <v>49</v>
      </c>
      <c r="N249" s="23">
        <v>0.8</v>
      </c>
      <c r="O249" s="24">
        <v>0.33960000000000001</v>
      </c>
    </row>
    <row r="250" spans="1:15" x14ac:dyDescent="0.25">
      <c r="A250" s="18" t="s">
        <v>244</v>
      </c>
      <c r="B250" s="35">
        <v>12.04</v>
      </c>
      <c r="C250" s="32">
        <v>12.2</v>
      </c>
      <c r="D250" s="32">
        <v>12.24</v>
      </c>
      <c r="E250" s="32">
        <v>12.36</v>
      </c>
      <c r="F250" s="32">
        <v>12.2</v>
      </c>
      <c r="G250" s="32">
        <v>12.24</v>
      </c>
      <c r="H250" s="32">
        <v>12.2</v>
      </c>
      <c r="I250" s="32">
        <v>12.24</v>
      </c>
      <c r="J250" s="32">
        <v>12</v>
      </c>
      <c r="K250" s="32">
        <v>12.24</v>
      </c>
      <c r="L250" s="32">
        <v>12</v>
      </c>
      <c r="M250" s="23">
        <v>48</v>
      </c>
      <c r="N250" s="23">
        <v>3</v>
      </c>
      <c r="O250" s="24">
        <v>0.32179999999999997</v>
      </c>
    </row>
    <row r="251" spans="1:15" x14ac:dyDescent="0.25">
      <c r="A251" s="18" t="s">
        <v>245</v>
      </c>
      <c r="B251" s="35">
        <v>12.36</v>
      </c>
      <c r="C251" s="32">
        <v>12.36</v>
      </c>
      <c r="D251" s="32">
        <v>12.2</v>
      </c>
      <c r="E251" s="32">
        <v>12.36</v>
      </c>
      <c r="F251" s="32">
        <v>12.16</v>
      </c>
      <c r="G251" s="32">
        <v>12.2</v>
      </c>
      <c r="H251" s="32">
        <v>12.36</v>
      </c>
      <c r="I251" s="32">
        <v>12.16</v>
      </c>
      <c r="J251" s="32">
        <v>12.32</v>
      </c>
      <c r="K251" s="32">
        <v>12.36</v>
      </c>
      <c r="L251" s="32">
        <v>12.16</v>
      </c>
      <c r="M251" s="23">
        <v>48</v>
      </c>
      <c r="N251" s="23">
        <v>3.2</v>
      </c>
      <c r="O251" s="24">
        <v>0.3165</v>
      </c>
    </row>
    <row r="252" spans="1:15" x14ac:dyDescent="0.25">
      <c r="A252" s="18" t="s">
        <v>246</v>
      </c>
      <c r="B252" s="35">
        <v>12.44</v>
      </c>
      <c r="C252" s="32">
        <v>12.44</v>
      </c>
      <c r="D252" s="32">
        <v>12.28</v>
      </c>
      <c r="E252" s="32">
        <v>12.44</v>
      </c>
      <c r="F252" s="32">
        <v>12.6</v>
      </c>
      <c r="G252" s="32">
        <v>12.44</v>
      </c>
      <c r="H252" s="32">
        <v>12.6</v>
      </c>
      <c r="I252" s="32">
        <v>12.56</v>
      </c>
      <c r="J252" s="32">
        <v>12.48</v>
      </c>
      <c r="K252" s="32">
        <v>12.44</v>
      </c>
      <c r="L252" s="32">
        <v>12.28</v>
      </c>
      <c r="M252" s="23">
        <v>51</v>
      </c>
      <c r="N252" s="23">
        <v>2.6</v>
      </c>
      <c r="O252" s="24">
        <v>0.32719999999999999</v>
      </c>
    </row>
    <row r="253" spans="1:15" x14ac:dyDescent="0.25">
      <c r="A253" s="18" t="s">
        <v>247</v>
      </c>
      <c r="B253" s="35">
        <v>12.48</v>
      </c>
      <c r="C253" s="32">
        <v>12.48</v>
      </c>
      <c r="D253" s="32">
        <v>12.48</v>
      </c>
      <c r="E253" s="32">
        <v>12.44</v>
      </c>
      <c r="F253" s="32">
        <v>12.48</v>
      </c>
      <c r="G253" s="32">
        <v>12.48</v>
      </c>
      <c r="H253" s="32">
        <v>12.28</v>
      </c>
      <c r="I253" s="32">
        <v>12.48</v>
      </c>
      <c r="J253" s="32">
        <v>12.48</v>
      </c>
      <c r="K253" s="32">
        <v>12.48</v>
      </c>
      <c r="L253" s="32">
        <v>12.28</v>
      </c>
      <c r="M253" s="23">
        <v>51</v>
      </c>
      <c r="N253" s="23">
        <v>2.6</v>
      </c>
      <c r="O253" s="24">
        <v>0.33850000000000002</v>
      </c>
    </row>
    <row r="254" spans="1:15" x14ac:dyDescent="0.25">
      <c r="A254" s="18" t="s">
        <v>248</v>
      </c>
      <c r="B254" s="35">
        <v>11.68</v>
      </c>
      <c r="C254" s="32">
        <v>11.68</v>
      </c>
      <c r="D254" s="32">
        <v>11.68</v>
      </c>
      <c r="E254" s="32">
        <v>11.72</v>
      </c>
      <c r="F254" s="32">
        <v>11.72</v>
      </c>
      <c r="G254" s="32">
        <v>11.68</v>
      </c>
      <c r="H254" s="32">
        <v>11.88</v>
      </c>
      <c r="I254" s="32">
        <v>11.48</v>
      </c>
      <c r="J254" s="32">
        <v>11.52</v>
      </c>
      <c r="K254" s="32">
        <v>11.72</v>
      </c>
      <c r="L254" s="32">
        <v>11.48</v>
      </c>
      <c r="M254" s="23">
        <v>51</v>
      </c>
      <c r="N254" s="23">
        <v>1.6</v>
      </c>
      <c r="O254" s="24">
        <v>0.33439999999999998</v>
      </c>
    </row>
    <row r="255" spans="1:15" x14ac:dyDescent="0.25">
      <c r="A255" s="18" t="s">
        <v>249</v>
      </c>
      <c r="B255" s="35">
        <v>10.88</v>
      </c>
      <c r="C255" s="32">
        <v>10.88</v>
      </c>
      <c r="D255" s="32">
        <v>11.08</v>
      </c>
      <c r="E255" s="32">
        <v>11.04</v>
      </c>
      <c r="F255" s="32">
        <v>11.04</v>
      </c>
      <c r="G255" s="32">
        <v>11.08</v>
      </c>
      <c r="H255" s="32">
        <v>11.04</v>
      </c>
      <c r="I255" s="32">
        <v>11.04</v>
      </c>
      <c r="J255" s="32">
        <v>10.92</v>
      </c>
      <c r="K255" s="32">
        <v>11.12</v>
      </c>
      <c r="L255" s="32">
        <v>10.88</v>
      </c>
      <c r="M255" s="23">
        <v>48</v>
      </c>
      <c r="N255" s="23">
        <v>1.6</v>
      </c>
      <c r="O255" s="24">
        <v>0.32779999999999998</v>
      </c>
    </row>
    <row r="256" spans="1:15" x14ac:dyDescent="0.25">
      <c r="A256" s="18" t="s">
        <v>250</v>
      </c>
      <c r="B256" s="35">
        <v>11.12</v>
      </c>
      <c r="C256" s="32">
        <v>11.12</v>
      </c>
      <c r="D256" s="32">
        <v>11.12</v>
      </c>
      <c r="E256" s="32">
        <v>11.12</v>
      </c>
      <c r="F256" s="32">
        <v>11.12</v>
      </c>
      <c r="G256" s="32">
        <v>11.12</v>
      </c>
      <c r="H256" s="32">
        <v>11.12</v>
      </c>
      <c r="I256" s="32">
        <v>11.12</v>
      </c>
      <c r="J256" s="32">
        <v>11.12</v>
      </c>
      <c r="K256" s="32">
        <v>11.12</v>
      </c>
      <c r="L256" s="32">
        <v>11.12</v>
      </c>
      <c r="M256" s="23">
        <v>54</v>
      </c>
      <c r="N256" s="23">
        <v>0.4</v>
      </c>
      <c r="O256" s="24">
        <v>0.37159999999999999</v>
      </c>
    </row>
    <row r="257" spans="1:15" x14ac:dyDescent="0.25">
      <c r="A257" s="18" t="s">
        <v>251</v>
      </c>
      <c r="B257" s="35">
        <v>11.48</v>
      </c>
      <c r="C257" s="32">
        <v>11.48</v>
      </c>
      <c r="D257" s="32">
        <v>11.44</v>
      </c>
      <c r="E257" s="32">
        <v>11.48</v>
      </c>
      <c r="F257" s="32">
        <v>11.48</v>
      </c>
      <c r="G257" s="32">
        <v>11.48</v>
      </c>
      <c r="H257" s="32">
        <v>11.48</v>
      </c>
      <c r="I257" s="32">
        <v>11.48</v>
      </c>
      <c r="J257" s="32">
        <v>11.24</v>
      </c>
      <c r="K257" s="32">
        <v>11.48</v>
      </c>
      <c r="L257" s="32">
        <v>11.24</v>
      </c>
      <c r="M257" s="23">
        <v>49</v>
      </c>
      <c r="N257" s="23">
        <v>1.8</v>
      </c>
      <c r="O257" s="24">
        <v>0.33350000000000002</v>
      </c>
    </row>
    <row r="258" spans="1:15" x14ac:dyDescent="0.25">
      <c r="A258" s="18" t="s">
        <v>252</v>
      </c>
      <c r="B258" s="35">
        <v>14.96</v>
      </c>
      <c r="C258" s="32">
        <v>15.12</v>
      </c>
      <c r="D258" s="32">
        <v>15.08</v>
      </c>
      <c r="E258" s="32">
        <v>14.92</v>
      </c>
      <c r="F258" s="32">
        <v>14.92</v>
      </c>
      <c r="G258" s="32">
        <v>14.96</v>
      </c>
      <c r="H258" s="32">
        <v>15</v>
      </c>
      <c r="I258" s="32">
        <v>14.8</v>
      </c>
      <c r="J258" s="32">
        <v>14.12</v>
      </c>
      <c r="K258" s="32">
        <v>14.76</v>
      </c>
      <c r="L258" s="32">
        <v>14.12</v>
      </c>
      <c r="M258" s="23">
        <v>53</v>
      </c>
      <c r="N258" s="23">
        <v>4.4000000000000004</v>
      </c>
      <c r="O258" s="24">
        <v>0.34589999999999999</v>
      </c>
    </row>
    <row r="259" spans="1:15" x14ac:dyDescent="0.25">
      <c r="A259" s="18" t="s">
        <v>253</v>
      </c>
      <c r="B259" s="35">
        <v>13.32</v>
      </c>
      <c r="C259" s="32">
        <v>13.32</v>
      </c>
      <c r="D259" s="32">
        <v>13.32</v>
      </c>
      <c r="E259" s="32">
        <v>13.32</v>
      </c>
      <c r="F259" s="32">
        <v>13.32</v>
      </c>
      <c r="G259" s="32">
        <v>13.32</v>
      </c>
      <c r="H259" s="32">
        <v>13.32</v>
      </c>
      <c r="I259" s="32">
        <v>13.2</v>
      </c>
      <c r="J259" s="32">
        <v>13.32</v>
      </c>
      <c r="K259" s="32">
        <v>13.28</v>
      </c>
      <c r="L259" s="32">
        <v>13.2</v>
      </c>
      <c r="M259" s="23">
        <v>54</v>
      </c>
      <c r="N259" s="23">
        <v>3</v>
      </c>
      <c r="O259" s="24">
        <v>0.3397</v>
      </c>
    </row>
    <row r="260" spans="1:15" x14ac:dyDescent="0.25">
      <c r="A260" s="18" t="s">
        <v>254</v>
      </c>
      <c r="B260" s="35">
        <v>13.4</v>
      </c>
      <c r="C260" s="32">
        <v>13.4</v>
      </c>
      <c r="D260" s="32">
        <v>12.72</v>
      </c>
      <c r="E260" s="32">
        <v>12.8</v>
      </c>
      <c r="F260" s="32">
        <v>12.96</v>
      </c>
      <c r="G260" s="32">
        <v>13.56</v>
      </c>
      <c r="H260" s="32">
        <v>12.92</v>
      </c>
      <c r="I260" s="32">
        <v>13.24</v>
      </c>
      <c r="J260" s="32">
        <v>13.6</v>
      </c>
      <c r="K260" s="32">
        <v>12.76</v>
      </c>
      <c r="L260" s="32">
        <v>12.72</v>
      </c>
      <c r="M260" s="23">
        <v>46</v>
      </c>
      <c r="N260" s="23">
        <v>4.4000000000000004</v>
      </c>
      <c r="O260" s="24">
        <v>0.30890000000000001</v>
      </c>
    </row>
    <row r="261" spans="1:15" x14ac:dyDescent="0.25">
      <c r="A261" s="18" t="s">
        <v>255</v>
      </c>
      <c r="B261" s="35">
        <v>12.4</v>
      </c>
      <c r="C261" s="32">
        <v>12.08</v>
      </c>
      <c r="D261" s="32">
        <v>12.96</v>
      </c>
      <c r="E261" s="32">
        <v>12.8</v>
      </c>
      <c r="F261" s="32">
        <v>12.56</v>
      </c>
      <c r="G261" s="32">
        <v>12.56</v>
      </c>
      <c r="H261" s="32">
        <v>12.6</v>
      </c>
      <c r="I261" s="32">
        <v>12.56</v>
      </c>
      <c r="J261" s="32">
        <v>12.48</v>
      </c>
      <c r="K261" s="32">
        <v>12.56</v>
      </c>
      <c r="L261" s="32">
        <v>12.08</v>
      </c>
      <c r="M261" s="23">
        <v>54</v>
      </c>
      <c r="N261" s="23">
        <v>1.6</v>
      </c>
      <c r="O261" s="24">
        <v>0.34789999999999999</v>
      </c>
    </row>
    <row r="262" spans="1:15" x14ac:dyDescent="0.25">
      <c r="A262" s="18" t="s">
        <v>256</v>
      </c>
      <c r="B262" s="35">
        <v>11.48</v>
      </c>
      <c r="C262" s="32">
        <v>11.16</v>
      </c>
      <c r="D262" s="32">
        <v>11.64</v>
      </c>
      <c r="E262" s="32">
        <v>11.64</v>
      </c>
      <c r="F262" s="32">
        <v>11.64</v>
      </c>
      <c r="G262" s="32">
        <v>11.64</v>
      </c>
      <c r="H262" s="32">
        <v>11.04</v>
      </c>
      <c r="I262" s="32">
        <v>11</v>
      </c>
      <c r="J262" s="32">
        <v>11.16</v>
      </c>
      <c r="K262" s="32">
        <v>11.64</v>
      </c>
      <c r="L262" s="32">
        <v>11</v>
      </c>
      <c r="M262" s="23">
        <v>51</v>
      </c>
      <c r="N262" s="23">
        <v>1</v>
      </c>
      <c r="O262" s="24">
        <v>0.3322</v>
      </c>
    </row>
    <row r="263" spans="1:15" x14ac:dyDescent="0.25">
      <c r="A263" s="18" t="s">
        <v>257</v>
      </c>
      <c r="B263" s="35">
        <v>20.399999999999999</v>
      </c>
      <c r="C263" s="32">
        <v>20.079999999999998</v>
      </c>
      <c r="D263" s="32">
        <v>19.920000000000002</v>
      </c>
      <c r="E263" s="32">
        <v>20.239999999999998</v>
      </c>
      <c r="F263" s="32">
        <v>20.399999999999999</v>
      </c>
      <c r="G263" s="32">
        <v>20.48</v>
      </c>
      <c r="H263" s="32">
        <v>20.48</v>
      </c>
      <c r="I263" s="32">
        <v>20.079999999999998</v>
      </c>
      <c r="J263" s="32">
        <v>20.48</v>
      </c>
      <c r="K263" s="32">
        <v>20.2</v>
      </c>
      <c r="L263" s="32">
        <v>19.920000000000002</v>
      </c>
      <c r="M263" s="23">
        <v>54</v>
      </c>
      <c r="N263" s="23">
        <v>11.4</v>
      </c>
      <c r="O263" s="24">
        <v>0.3548</v>
      </c>
    </row>
    <row r="264" spans="1:15" x14ac:dyDescent="0.25">
      <c r="A264" s="18" t="s">
        <v>258</v>
      </c>
      <c r="B264" s="35">
        <v>16.600000000000001</v>
      </c>
      <c r="C264" s="32">
        <v>16.64</v>
      </c>
      <c r="D264" s="32">
        <v>16.64</v>
      </c>
      <c r="E264" s="32">
        <v>16.64</v>
      </c>
      <c r="F264" s="32">
        <v>16.64</v>
      </c>
      <c r="G264" s="32">
        <v>16.28</v>
      </c>
      <c r="H264" s="32">
        <v>16.64</v>
      </c>
      <c r="I264" s="32">
        <v>16.64</v>
      </c>
      <c r="J264" s="32">
        <v>16.64</v>
      </c>
      <c r="K264" s="32">
        <v>16.64</v>
      </c>
      <c r="L264" s="32">
        <v>16.28</v>
      </c>
      <c r="M264" s="23">
        <v>51</v>
      </c>
      <c r="N264" s="23">
        <v>7.6</v>
      </c>
      <c r="O264" s="24">
        <v>0.33400000000000002</v>
      </c>
    </row>
    <row r="265" spans="1:15" x14ac:dyDescent="0.25">
      <c r="A265" s="18" t="s">
        <v>259</v>
      </c>
      <c r="B265" s="35">
        <v>12.56</v>
      </c>
      <c r="C265" s="32">
        <v>12.52</v>
      </c>
      <c r="D265" s="32">
        <v>12.36</v>
      </c>
      <c r="E265" s="32">
        <v>12.36</v>
      </c>
      <c r="F265" s="32">
        <v>12.36</v>
      </c>
      <c r="G265" s="32">
        <v>12.36</v>
      </c>
      <c r="H265" s="32">
        <v>12.48</v>
      </c>
      <c r="I265" s="32">
        <v>12.68</v>
      </c>
      <c r="J265" s="32">
        <v>12.16</v>
      </c>
      <c r="K265" s="32">
        <v>12.48</v>
      </c>
      <c r="L265" s="32">
        <v>12.16</v>
      </c>
      <c r="M265" s="23">
        <v>56</v>
      </c>
      <c r="N265" s="23">
        <v>1.2</v>
      </c>
      <c r="O265" s="24">
        <v>0.371</v>
      </c>
    </row>
    <row r="266" spans="1:15" x14ac:dyDescent="0.25">
      <c r="A266" s="18" t="s">
        <v>260</v>
      </c>
      <c r="B266" s="35">
        <v>12.76</v>
      </c>
      <c r="C266" s="32">
        <v>13.36</v>
      </c>
      <c r="D266" s="32">
        <v>12.68</v>
      </c>
      <c r="E266" s="32">
        <v>12.68</v>
      </c>
      <c r="F266" s="32">
        <v>13.28</v>
      </c>
      <c r="G266" s="32">
        <v>13.28</v>
      </c>
      <c r="H266" s="32">
        <v>13.52</v>
      </c>
      <c r="I266" s="32">
        <v>13.32</v>
      </c>
      <c r="J266" s="32">
        <v>12.72</v>
      </c>
      <c r="K266" s="32">
        <v>12.32</v>
      </c>
      <c r="L266" s="32">
        <v>12.32</v>
      </c>
      <c r="M266" s="23">
        <v>52</v>
      </c>
      <c r="N266" s="23">
        <v>2.4</v>
      </c>
      <c r="O266" s="24">
        <v>0.33939999999999998</v>
      </c>
    </row>
    <row r="267" spans="1:15" x14ac:dyDescent="0.25">
      <c r="A267" s="18" t="s">
        <v>261</v>
      </c>
      <c r="B267" s="35">
        <v>13.32</v>
      </c>
      <c r="C267" s="32">
        <v>13.32</v>
      </c>
      <c r="D267" s="32">
        <v>13.16</v>
      </c>
      <c r="E267" s="32">
        <v>13.32</v>
      </c>
      <c r="F267" s="32">
        <v>13.36</v>
      </c>
      <c r="G267" s="32">
        <v>13.16</v>
      </c>
      <c r="H267" s="32">
        <v>13.32</v>
      </c>
      <c r="I267" s="32">
        <v>13.2</v>
      </c>
      <c r="J267" s="32">
        <v>13.32</v>
      </c>
      <c r="K267" s="32">
        <v>13.16</v>
      </c>
      <c r="L267" s="32">
        <v>13.16</v>
      </c>
      <c r="M267" s="23">
        <v>53</v>
      </c>
      <c r="N267" s="23">
        <v>3.2</v>
      </c>
      <c r="O267" s="24">
        <v>0.3553</v>
      </c>
    </row>
    <row r="268" spans="1:15" x14ac:dyDescent="0.25">
      <c r="A268" s="18" t="s">
        <v>262</v>
      </c>
      <c r="B268" s="35">
        <v>13.4</v>
      </c>
      <c r="C268" s="32">
        <v>13.4</v>
      </c>
      <c r="D268" s="32">
        <v>13.4</v>
      </c>
      <c r="E268" s="32">
        <v>13.4</v>
      </c>
      <c r="F268" s="32">
        <v>13.24</v>
      </c>
      <c r="G268" s="32">
        <v>13.28</v>
      </c>
      <c r="H268" s="32">
        <v>13.2</v>
      </c>
      <c r="I268" s="32">
        <v>13.08</v>
      </c>
      <c r="J268" s="32">
        <v>13.2</v>
      </c>
      <c r="K268" s="32">
        <v>13.36</v>
      </c>
      <c r="L268" s="32">
        <v>13.08</v>
      </c>
      <c r="M268" s="23">
        <v>51</v>
      </c>
      <c r="N268" s="23">
        <v>3.6</v>
      </c>
      <c r="O268" s="24">
        <v>0.33460000000000001</v>
      </c>
    </row>
    <row r="269" spans="1:15" x14ac:dyDescent="0.25">
      <c r="A269" s="18" t="s">
        <v>263</v>
      </c>
      <c r="B269" s="35">
        <v>13</v>
      </c>
      <c r="C269" s="32">
        <v>13.04</v>
      </c>
      <c r="D269" s="32">
        <v>13</v>
      </c>
      <c r="E269" s="32">
        <v>12.84</v>
      </c>
      <c r="F269" s="32">
        <v>13.04</v>
      </c>
      <c r="G269" s="32">
        <v>13.04</v>
      </c>
      <c r="H269" s="32">
        <v>13.04</v>
      </c>
      <c r="I269" s="32">
        <v>12.84</v>
      </c>
      <c r="J269" s="32">
        <v>12.84</v>
      </c>
      <c r="K269" s="32">
        <v>12.84</v>
      </c>
      <c r="L269" s="32">
        <v>12.84</v>
      </c>
      <c r="M269" s="23">
        <v>49</v>
      </c>
      <c r="N269" s="23">
        <v>3.8</v>
      </c>
      <c r="O269" s="24">
        <v>0.33300000000000002</v>
      </c>
    </row>
    <row r="270" spans="1:15" x14ac:dyDescent="0.25">
      <c r="A270" s="18" t="s">
        <v>264</v>
      </c>
      <c r="B270" s="35">
        <v>11.2</v>
      </c>
      <c r="C270" s="32">
        <v>11.04</v>
      </c>
      <c r="D270" s="32">
        <v>11.2</v>
      </c>
      <c r="E270" s="32">
        <v>11.2</v>
      </c>
      <c r="F270" s="32">
        <v>11.16</v>
      </c>
      <c r="G270" s="32">
        <v>11.2</v>
      </c>
      <c r="H270" s="32">
        <v>11</v>
      </c>
      <c r="I270" s="32">
        <v>11.16</v>
      </c>
      <c r="J270" s="32">
        <v>11.2</v>
      </c>
      <c r="K270" s="32">
        <v>11.2</v>
      </c>
      <c r="L270" s="32">
        <v>11</v>
      </c>
      <c r="M270" s="23">
        <v>47</v>
      </c>
      <c r="N270" s="23">
        <v>2</v>
      </c>
      <c r="O270" s="24">
        <v>0.32640000000000002</v>
      </c>
    </row>
    <row r="271" spans="1:15" x14ac:dyDescent="0.25">
      <c r="A271" s="18" t="s">
        <v>265</v>
      </c>
      <c r="B271" s="35">
        <v>13.72</v>
      </c>
      <c r="C271" s="32">
        <v>14.12</v>
      </c>
      <c r="D271" s="32">
        <v>13.48</v>
      </c>
      <c r="E271" s="32">
        <v>13.44</v>
      </c>
      <c r="F271" s="32">
        <v>14.12</v>
      </c>
      <c r="G271" s="32">
        <v>13.44</v>
      </c>
      <c r="H271" s="32">
        <v>14.2</v>
      </c>
      <c r="I271" s="32">
        <v>13.64</v>
      </c>
      <c r="J271" s="32">
        <v>13.64</v>
      </c>
      <c r="K271" s="32">
        <v>13.28</v>
      </c>
      <c r="L271" s="32">
        <v>13.28</v>
      </c>
      <c r="M271" s="23">
        <v>48</v>
      </c>
      <c r="N271" s="23">
        <v>4.5999999999999996</v>
      </c>
      <c r="O271" s="24">
        <v>0.31890000000000002</v>
      </c>
    </row>
    <row r="272" spans="1:15" x14ac:dyDescent="0.25">
      <c r="A272" s="18" t="s">
        <v>266</v>
      </c>
      <c r="B272" s="35">
        <v>14.8</v>
      </c>
      <c r="C272" s="32">
        <v>14.8</v>
      </c>
      <c r="D272" s="32">
        <v>14.8</v>
      </c>
      <c r="E272" s="32">
        <v>14.8</v>
      </c>
      <c r="F272" s="32">
        <v>14.8</v>
      </c>
      <c r="G272" s="32">
        <v>14.8</v>
      </c>
      <c r="H272" s="32">
        <v>14.8</v>
      </c>
      <c r="I272" s="32">
        <v>14.8</v>
      </c>
      <c r="J272" s="32">
        <v>14.8</v>
      </c>
      <c r="K272" s="32">
        <v>14.8</v>
      </c>
      <c r="L272" s="32">
        <v>14.8</v>
      </c>
      <c r="M272" s="23">
        <v>54</v>
      </c>
      <c r="N272" s="23">
        <v>5</v>
      </c>
      <c r="O272" s="24">
        <v>0.36449999999999999</v>
      </c>
    </row>
    <row r="273" spans="1:15" x14ac:dyDescent="0.25">
      <c r="A273" s="18" t="s">
        <v>267</v>
      </c>
      <c r="B273" s="35">
        <v>13.68</v>
      </c>
      <c r="C273" s="32">
        <v>13.68</v>
      </c>
      <c r="D273" s="32">
        <v>13.68</v>
      </c>
      <c r="E273" s="32">
        <v>13.68</v>
      </c>
      <c r="F273" s="32">
        <v>13.68</v>
      </c>
      <c r="G273" s="32">
        <v>13.68</v>
      </c>
      <c r="H273" s="32">
        <v>13.68</v>
      </c>
      <c r="I273" s="32">
        <v>13.68</v>
      </c>
      <c r="J273" s="32">
        <v>13.68</v>
      </c>
      <c r="K273" s="32">
        <v>13.68</v>
      </c>
      <c r="L273" s="32">
        <v>13.68</v>
      </c>
      <c r="M273" s="23">
        <v>50</v>
      </c>
      <c r="N273" s="23">
        <v>4.5999999999999996</v>
      </c>
      <c r="O273" s="24">
        <v>0.34200000000000003</v>
      </c>
    </row>
    <row r="274" spans="1:15" x14ac:dyDescent="0.25">
      <c r="A274" s="18" t="s">
        <v>268</v>
      </c>
      <c r="B274" s="35">
        <v>10.32</v>
      </c>
      <c r="C274" s="32">
        <v>10.32</v>
      </c>
      <c r="D274" s="32">
        <v>10.32</v>
      </c>
      <c r="E274" s="32">
        <v>10.48</v>
      </c>
      <c r="F274" s="32">
        <v>10.32</v>
      </c>
      <c r="G274" s="32">
        <v>10.48</v>
      </c>
      <c r="H274" s="32">
        <v>10.32</v>
      </c>
      <c r="I274" s="32">
        <v>10.48</v>
      </c>
      <c r="J274" s="32">
        <v>10.28</v>
      </c>
      <c r="K274" s="32">
        <v>10.48</v>
      </c>
      <c r="L274" s="32">
        <v>10.28</v>
      </c>
      <c r="M274" s="23">
        <v>45</v>
      </c>
      <c r="N274" s="23">
        <v>1.6</v>
      </c>
      <c r="O274" s="24">
        <v>0.3029</v>
      </c>
    </row>
    <row r="275" spans="1:15" x14ac:dyDescent="0.25">
      <c r="A275" s="18" t="s">
        <v>269</v>
      </c>
      <c r="B275" s="35">
        <v>10.48</v>
      </c>
      <c r="C275" s="32">
        <v>10.52</v>
      </c>
      <c r="D275" s="32">
        <v>10.48</v>
      </c>
      <c r="E275" s="32">
        <v>10.32</v>
      </c>
      <c r="F275" s="32">
        <v>10.64</v>
      </c>
      <c r="G275" s="32">
        <v>10.32</v>
      </c>
      <c r="H275" s="32">
        <v>10.48</v>
      </c>
      <c r="I275" s="32">
        <v>10.48</v>
      </c>
      <c r="J275" s="32">
        <v>10.32</v>
      </c>
      <c r="K275" s="32">
        <v>10.52</v>
      </c>
      <c r="L275" s="32">
        <v>10.32</v>
      </c>
      <c r="M275" s="23">
        <v>46</v>
      </c>
      <c r="N275" s="23">
        <v>1.4</v>
      </c>
      <c r="O275" s="24">
        <v>0.31140000000000001</v>
      </c>
    </row>
    <row r="276" spans="1:15" x14ac:dyDescent="0.25">
      <c r="A276" s="18" t="s">
        <v>270</v>
      </c>
      <c r="B276" s="35">
        <v>10.88</v>
      </c>
      <c r="C276" s="32">
        <v>10.52</v>
      </c>
      <c r="D276" s="32">
        <v>10.68</v>
      </c>
      <c r="E276" s="32">
        <v>10.52</v>
      </c>
      <c r="F276" s="32">
        <v>10.72</v>
      </c>
      <c r="G276" s="32">
        <v>10.72</v>
      </c>
      <c r="H276" s="32">
        <v>10.68</v>
      </c>
      <c r="I276" s="32">
        <v>10.72</v>
      </c>
      <c r="J276" s="32">
        <v>10.72</v>
      </c>
      <c r="K276" s="32">
        <v>10.72</v>
      </c>
      <c r="L276" s="32">
        <v>10.52</v>
      </c>
      <c r="M276" s="23">
        <v>47</v>
      </c>
      <c r="N276" s="23">
        <v>1.4</v>
      </c>
      <c r="O276" s="24">
        <v>0.318</v>
      </c>
    </row>
    <row r="277" spans="1:15" x14ac:dyDescent="0.25">
      <c r="A277" s="18" t="s">
        <v>271</v>
      </c>
      <c r="B277" s="35">
        <v>11.12</v>
      </c>
      <c r="C277" s="32">
        <v>11.08</v>
      </c>
      <c r="D277" s="32">
        <v>11.12</v>
      </c>
      <c r="E277" s="32">
        <v>11.12</v>
      </c>
      <c r="F277" s="32">
        <v>11.12</v>
      </c>
      <c r="G277" s="32">
        <v>11.12</v>
      </c>
      <c r="H277" s="32">
        <v>11.12</v>
      </c>
      <c r="I277" s="32">
        <v>11.12</v>
      </c>
      <c r="J277" s="32">
        <v>11.12</v>
      </c>
      <c r="K277" s="32">
        <v>11.12</v>
      </c>
      <c r="L277" s="32">
        <v>11.08</v>
      </c>
      <c r="M277" s="23">
        <v>49</v>
      </c>
      <c r="N277" s="23">
        <v>1.6</v>
      </c>
      <c r="O277" s="24">
        <v>0.34439999999999998</v>
      </c>
    </row>
    <row r="278" spans="1:15" x14ac:dyDescent="0.25">
      <c r="A278" s="18" t="s">
        <v>272</v>
      </c>
      <c r="B278" s="35">
        <v>13.72</v>
      </c>
      <c r="C278" s="32">
        <v>13.72</v>
      </c>
      <c r="D278" s="32">
        <v>13.72</v>
      </c>
      <c r="E278" s="32">
        <v>13.72</v>
      </c>
      <c r="F278" s="32">
        <v>13.72</v>
      </c>
      <c r="G278" s="32">
        <v>13.72</v>
      </c>
      <c r="H278" s="32">
        <v>13.72</v>
      </c>
      <c r="I278" s="32">
        <v>13.72</v>
      </c>
      <c r="J278" s="32">
        <v>13.72</v>
      </c>
      <c r="K278" s="32">
        <v>13.72</v>
      </c>
      <c r="L278" s="32">
        <v>13.72</v>
      </c>
      <c r="M278" s="23">
        <v>51</v>
      </c>
      <c r="N278" s="23">
        <v>4.4000000000000004</v>
      </c>
      <c r="O278" s="24">
        <v>0.35520000000000002</v>
      </c>
    </row>
    <row r="279" spans="1:15" x14ac:dyDescent="0.25">
      <c r="A279" s="18" t="s">
        <v>273</v>
      </c>
      <c r="B279" s="35">
        <v>13.68</v>
      </c>
      <c r="C279" s="32">
        <v>13.56</v>
      </c>
      <c r="D279" s="32">
        <v>13.68</v>
      </c>
      <c r="E279" s="32">
        <v>13.56</v>
      </c>
      <c r="F279" s="32">
        <v>13.68</v>
      </c>
      <c r="G279" s="32">
        <v>13.68</v>
      </c>
      <c r="H279" s="32">
        <v>13.68</v>
      </c>
      <c r="I279" s="32">
        <v>13.68</v>
      </c>
      <c r="J279" s="32">
        <v>13.68</v>
      </c>
      <c r="K279" s="32">
        <v>13.6</v>
      </c>
      <c r="L279" s="32">
        <v>13.56</v>
      </c>
      <c r="M279" s="23">
        <v>51</v>
      </c>
      <c r="N279" s="23">
        <v>4.2</v>
      </c>
      <c r="O279" s="24">
        <v>0.34429999999999999</v>
      </c>
    </row>
    <row r="280" spans="1:15" x14ac:dyDescent="0.25">
      <c r="A280" s="18" t="s">
        <v>274</v>
      </c>
      <c r="B280" s="35">
        <v>11.6</v>
      </c>
      <c r="C280" s="32">
        <v>11.6</v>
      </c>
      <c r="D280" s="32">
        <v>11.6</v>
      </c>
      <c r="E280" s="32">
        <v>11.6</v>
      </c>
      <c r="F280" s="32">
        <v>11.6</v>
      </c>
      <c r="G280" s="32">
        <v>11.6</v>
      </c>
      <c r="H280" s="32">
        <v>11.6</v>
      </c>
      <c r="I280" s="32">
        <v>11.6</v>
      </c>
      <c r="J280" s="32">
        <v>11.6</v>
      </c>
      <c r="K280" s="32">
        <v>11.6</v>
      </c>
      <c r="L280" s="32">
        <v>11.6</v>
      </c>
      <c r="M280" s="23">
        <v>50</v>
      </c>
      <c r="N280" s="23">
        <v>2</v>
      </c>
      <c r="O280" s="24">
        <v>0.32769999999999999</v>
      </c>
    </row>
    <row r="281" spans="1:15" x14ac:dyDescent="0.25">
      <c r="A281" s="18" t="s">
        <v>275</v>
      </c>
      <c r="B281" s="35">
        <v>11.4</v>
      </c>
      <c r="C281" s="32">
        <v>11.4</v>
      </c>
      <c r="D281" s="32">
        <v>11.2</v>
      </c>
      <c r="E281" s="32">
        <v>11.36</v>
      </c>
      <c r="F281" s="32">
        <v>11.4</v>
      </c>
      <c r="G281" s="32">
        <v>11.4</v>
      </c>
      <c r="H281" s="32">
        <v>11.4</v>
      </c>
      <c r="I281" s="32">
        <v>11.4</v>
      </c>
      <c r="J281" s="32">
        <v>11.4</v>
      </c>
      <c r="K281" s="32">
        <v>11.4</v>
      </c>
      <c r="L281" s="32">
        <v>11.2</v>
      </c>
      <c r="M281" s="23">
        <v>48</v>
      </c>
      <c r="N281" s="23">
        <v>2</v>
      </c>
      <c r="O281" s="24">
        <v>0.32369999999999999</v>
      </c>
    </row>
    <row r="282" spans="1:15" x14ac:dyDescent="0.25">
      <c r="A282" s="18" t="s">
        <v>276</v>
      </c>
      <c r="B282" s="35">
        <v>11.4</v>
      </c>
      <c r="C282" s="32">
        <v>11.4</v>
      </c>
      <c r="D282" s="32">
        <v>11.4</v>
      </c>
      <c r="E282" s="32">
        <v>11.4</v>
      </c>
      <c r="F282" s="32">
        <v>11.4</v>
      </c>
      <c r="G282" s="32">
        <v>11.4</v>
      </c>
      <c r="H282" s="32">
        <v>11.4</v>
      </c>
      <c r="I282" s="32">
        <v>11.4</v>
      </c>
      <c r="J282" s="32">
        <v>11.4</v>
      </c>
      <c r="K282" s="32">
        <v>11.4</v>
      </c>
      <c r="L282" s="32">
        <v>11.4</v>
      </c>
      <c r="M282" s="23">
        <v>49</v>
      </c>
      <c r="N282" s="23">
        <v>2</v>
      </c>
      <c r="O282" s="24">
        <v>0.3241</v>
      </c>
    </row>
    <row r="283" spans="1:15" x14ac:dyDescent="0.25">
      <c r="A283" s="18" t="s">
        <v>277</v>
      </c>
      <c r="B283" s="35">
        <v>12.6</v>
      </c>
      <c r="C283" s="32">
        <v>12.84</v>
      </c>
      <c r="D283" s="32">
        <v>12.76</v>
      </c>
      <c r="E283" s="32">
        <v>12.84</v>
      </c>
      <c r="F283" s="32">
        <v>12.84</v>
      </c>
      <c r="G283" s="32">
        <v>12.84</v>
      </c>
      <c r="H283" s="32">
        <v>12.64</v>
      </c>
      <c r="I283" s="32">
        <v>12.64</v>
      </c>
      <c r="J283" s="32">
        <v>12.64</v>
      </c>
      <c r="K283" s="32">
        <v>12.8</v>
      </c>
      <c r="L283" s="32">
        <v>12.6</v>
      </c>
      <c r="M283" s="23">
        <v>51</v>
      </c>
      <c r="N283" s="23">
        <v>3</v>
      </c>
      <c r="O283" s="24">
        <v>0.34310000000000002</v>
      </c>
    </row>
    <row r="284" spans="1:15" x14ac:dyDescent="0.25">
      <c r="A284" s="18" t="s">
        <v>278</v>
      </c>
      <c r="B284" s="35">
        <v>14.08</v>
      </c>
      <c r="C284" s="32">
        <v>14.08</v>
      </c>
      <c r="D284" s="32">
        <v>14.08</v>
      </c>
      <c r="E284" s="32">
        <v>14.04</v>
      </c>
      <c r="F284" s="32">
        <v>14.2</v>
      </c>
      <c r="G284" s="32">
        <v>14.2</v>
      </c>
      <c r="H284" s="32">
        <v>14.08</v>
      </c>
      <c r="I284" s="32">
        <v>14.04</v>
      </c>
      <c r="J284" s="32">
        <v>14.24</v>
      </c>
      <c r="K284" s="32">
        <v>14.2</v>
      </c>
      <c r="L284" s="32">
        <v>14.04</v>
      </c>
      <c r="M284" s="23">
        <v>55</v>
      </c>
      <c r="N284" s="23">
        <v>3.8</v>
      </c>
      <c r="O284" s="24">
        <v>0.36149999999999999</v>
      </c>
    </row>
    <row r="285" spans="1:15" x14ac:dyDescent="0.25">
      <c r="A285" s="18" t="s">
        <v>279</v>
      </c>
      <c r="B285" s="35">
        <v>10.92</v>
      </c>
      <c r="C285" s="32">
        <v>10.92</v>
      </c>
      <c r="D285" s="32">
        <v>10.92</v>
      </c>
      <c r="E285" s="32">
        <v>10.72</v>
      </c>
      <c r="F285" s="32">
        <v>10.92</v>
      </c>
      <c r="G285" s="32">
        <v>10.92</v>
      </c>
      <c r="H285" s="32">
        <v>10.92</v>
      </c>
      <c r="I285" s="32">
        <v>10.92</v>
      </c>
      <c r="J285" s="32">
        <v>10.92</v>
      </c>
      <c r="K285" s="32">
        <v>10.8</v>
      </c>
      <c r="L285" s="32">
        <v>10.72</v>
      </c>
      <c r="M285" s="23">
        <v>52</v>
      </c>
      <c r="N285" s="23">
        <v>0.4</v>
      </c>
      <c r="O285" s="24">
        <v>0.33829999999999999</v>
      </c>
    </row>
    <row r="286" spans="1:15" x14ac:dyDescent="0.25">
      <c r="A286" s="18" t="s">
        <v>280</v>
      </c>
      <c r="B286" s="35">
        <v>10.16</v>
      </c>
      <c r="C286" s="32">
        <v>10.16</v>
      </c>
      <c r="D286" s="32">
        <v>10.16</v>
      </c>
      <c r="E286" s="32">
        <v>10.16</v>
      </c>
      <c r="F286" s="32">
        <v>10</v>
      </c>
      <c r="G286" s="32">
        <v>10.16</v>
      </c>
      <c r="H286" s="32">
        <v>10.16</v>
      </c>
      <c r="I286" s="32">
        <v>10.16</v>
      </c>
      <c r="J286" s="32">
        <v>10.16</v>
      </c>
      <c r="K286" s="32">
        <v>10.16</v>
      </c>
      <c r="L286" s="32">
        <v>10</v>
      </c>
      <c r="M286" s="23">
        <v>50</v>
      </c>
      <c r="N286" s="23">
        <v>0</v>
      </c>
      <c r="O286" s="24">
        <v>0.32379999999999998</v>
      </c>
    </row>
    <row r="287" spans="1:15" x14ac:dyDescent="0.25">
      <c r="A287" s="18" t="s">
        <v>281</v>
      </c>
      <c r="B287" s="35">
        <v>10.6</v>
      </c>
      <c r="C287" s="32">
        <v>10.76</v>
      </c>
      <c r="D287" s="32">
        <v>10.6</v>
      </c>
      <c r="E287" s="32">
        <v>10.6</v>
      </c>
      <c r="F287" s="32">
        <v>10.8</v>
      </c>
      <c r="G287" s="32">
        <v>10.6</v>
      </c>
      <c r="H287" s="32">
        <v>10.8</v>
      </c>
      <c r="I287" s="32">
        <v>10.6</v>
      </c>
      <c r="J287" s="32">
        <v>10.6</v>
      </c>
      <c r="K287" s="32">
        <v>10.6</v>
      </c>
      <c r="L287" s="32">
        <v>10.6</v>
      </c>
      <c r="M287" s="23">
        <v>53</v>
      </c>
      <c r="N287" s="23">
        <v>0</v>
      </c>
      <c r="O287" s="24">
        <v>0.3569</v>
      </c>
    </row>
    <row r="288" spans="1:15" x14ac:dyDescent="0.25">
      <c r="A288" s="18" t="s">
        <v>282</v>
      </c>
      <c r="B288" s="35">
        <v>10.4</v>
      </c>
      <c r="C288" s="32">
        <v>10.24</v>
      </c>
      <c r="D288" s="32">
        <v>10.44</v>
      </c>
      <c r="E288" s="32">
        <v>10.56</v>
      </c>
      <c r="F288" s="32">
        <v>10.44</v>
      </c>
      <c r="G288" s="32">
        <v>10.6</v>
      </c>
      <c r="H288" s="32">
        <v>10.6</v>
      </c>
      <c r="I288" s="32">
        <v>10.44</v>
      </c>
      <c r="J288" s="32">
        <v>10.6</v>
      </c>
      <c r="K288" s="32">
        <v>10.4</v>
      </c>
      <c r="L288" s="32">
        <v>10.24</v>
      </c>
      <c r="M288" s="23">
        <v>48</v>
      </c>
      <c r="N288" s="23">
        <v>0.8</v>
      </c>
      <c r="O288" s="24">
        <v>0.31259999999999999</v>
      </c>
    </row>
    <row r="289" spans="1:15" x14ac:dyDescent="0.25">
      <c r="A289" s="18" t="s">
        <v>283</v>
      </c>
      <c r="B289" s="35">
        <v>10.24</v>
      </c>
      <c r="C289" s="32">
        <v>10.24</v>
      </c>
      <c r="D289" s="32">
        <v>10.24</v>
      </c>
      <c r="E289" s="32">
        <v>10.24</v>
      </c>
      <c r="F289" s="32">
        <v>10.24</v>
      </c>
      <c r="G289" s="32">
        <v>10.24</v>
      </c>
      <c r="H289" s="32">
        <v>10.24</v>
      </c>
      <c r="I289" s="32">
        <v>10.24</v>
      </c>
      <c r="J289" s="32">
        <v>10.24</v>
      </c>
      <c r="K289" s="32">
        <v>10.24</v>
      </c>
      <c r="L289" s="32">
        <v>10.24</v>
      </c>
      <c r="M289" s="23">
        <v>48</v>
      </c>
      <c r="N289" s="23">
        <v>0.8</v>
      </c>
      <c r="O289" s="24">
        <v>0.32319999999999999</v>
      </c>
    </row>
    <row r="290" spans="1:15" x14ac:dyDescent="0.25">
      <c r="A290" s="18" t="s">
        <v>284</v>
      </c>
      <c r="B290" s="35">
        <v>10.8</v>
      </c>
      <c r="C290" s="32">
        <v>10.8</v>
      </c>
      <c r="D290" s="32">
        <v>10.8</v>
      </c>
      <c r="E290" s="32">
        <v>10.8</v>
      </c>
      <c r="F290" s="32">
        <v>10.8</v>
      </c>
      <c r="G290" s="32">
        <v>10.8</v>
      </c>
      <c r="H290" s="32">
        <v>10.8</v>
      </c>
      <c r="I290" s="32">
        <v>10.8</v>
      </c>
      <c r="J290" s="32">
        <v>10.8</v>
      </c>
      <c r="K290" s="32">
        <v>10.8</v>
      </c>
      <c r="L290" s="32">
        <v>10.8</v>
      </c>
      <c r="M290" s="23">
        <v>54</v>
      </c>
      <c r="N290" s="23">
        <v>0</v>
      </c>
      <c r="O290" s="24">
        <v>0.35670000000000002</v>
      </c>
    </row>
    <row r="291" spans="1:15" x14ac:dyDescent="0.25">
      <c r="A291" s="18" t="s">
        <v>285</v>
      </c>
      <c r="B291" s="35">
        <v>13.04</v>
      </c>
      <c r="C291" s="32">
        <v>13.04</v>
      </c>
      <c r="D291" s="32">
        <v>13.2</v>
      </c>
      <c r="E291" s="32">
        <v>13.2</v>
      </c>
      <c r="F291" s="32">
        <v>13.2</v>
      </c>
      <c r="G291" s="32">
        <v>13.2</v>
      </c>
      <c r="H291" s="32">
        <v>13.2</v>
      </c>
      <c r="I291" s="32">
        <v>13.2</v>
      </c>
      <c r="J291" s="32">
        <v>13.2</v>
      </c>
      <c r="K291" s="32">
        <v>13.2</v>
      </c>
      <c r="L291" s="32">
        <v>13.04</v>
      </c>
      <c r="M291" s="23">
        <v>50</v>
      </c>
      <c r="N291" s="23">
        <v>3.8</v>
      </c>
      <c r="O291" s="24">
        <v>0.35630000000000001</v>
      </c>
    </row>
    <row r="292" spans="1:15" x14ac:dyDescent="0.25">
      <c r="A292" s="18" t="s">
        <v>286</v>
      </c>
      <c r="B292" s="35">
        <v>16.12</v>
      </c>
      <c r="C292" s="32">
        <v>15.32</v>
      </c>
      <c r="D292" s="32">
        <v>15.84</v>
      </c>
      <c r="E292" s="32">
        <v>16.12</v>
      </c>
      <c r="F292" s="32">
        <v>15.96</v>
      </c>
      <c r="G292" s="32">
        <v>15.8</v>
      </c>
      <c r="H292" s="32">
        <v>15.84</v>
      </c>
      <c r="I292" s="32">
        <v>15.8</v>
      </c>
      <c r="J292" s="32">
        <v>15.96</v>
      </c>
      <c r="K292" s="32">
        <v>16.32</v>
      </c>
      <c r="L292" s="32">
        <v>15.32</v>
      </c>
      <c r="M292" s="23">
        <v>51</v>
      </c>
      <c r="N292" s="23">
        <v>6.4</v>
      </c>
      <c r="O292" s="24">
        <v>0.32800000000000001</v>
      </c>
    </row>
    <row r="293" spans="1:15" x14ac:dyDescent="0.25">
      <c r="A293" s="18" t="s">
        <v>287</v>
      </c>
      <c r="B293" s="35">
        <v>12.92</v>
      </c>
      <c r="C293" s="32">
        <v>12.92</v>
      </c>
      <c r="D293" s="32">
        <v>12.92</v>
      </c>
      <c r="E293" s="32">
        <v>12.92</v>
      </c>
      <c r="F293" s="32">
        <v>12.92</v>
      </c>
      <c r="G293" s="32">
        <v>12.92</v>
      </c>
      <c r="H293" s="32">
        <v>12.92</v>
      </c>
      <c r="I293" s="32">
        <v>12.92</v>
      </c>
      <c r="J293" s="32">
        <v>12.92</v>
      </c>
      <c r="K293" s="32">
        <v>12.92</v>
      </c>
      <c r="L293" s="32">
        <v>12.92</v>
      </c>
      <c r="M293" s="23">
        <v>55</v>
      </c>
      <c r="N293" s="23">
        <v>2.4</v>
      </c>
      <c r="O293" s="24">
        <v>0.37469999999999998</v>
      </c>
    </row>
    <row r="294" spans="1:15" x14ac:dyDescent="0.25">
      <c r="A294" s="18" t="s">
        <v>288</v>
      </c>
      <c r="B294" s="35">
        <v>10.16</v>
      </c>
      <c r="C294" s="32">
        <v>10.16</v>
      </c>
      <c r="D294" s="32">
        <v>10.16</v>
      </c>
      <c r="E294" s="32">
        <v>10.16</v>
      </c>
      <c r="F294" s="32">
        <v>10.16</v>
      </c>
      <c r="G294" s="32">
        <v>10.16</v>
      </c>
      <c r="H294" s="32">
        <v>10.16</v>
      </c>
      <c r="I294" s="32">
        <v>10.16</v>
      </c>
      <c r="J294" s="32">
        <v>10.16</v>
      </c>
      <c r="K294" s="32">
        <v>10.16</v>
      </c>
      <c r="L294" s="32">
        <v>10.16</v>
      </c>
      <c r="M294" s="23">
        <v>50</v>
      </c>
      <c r="N294" s="23">
        <v>0.2</v>
      </c>
      <c r="O294" s="24">
        <v>0.34239999999999998</v>
      </c>
    </row>
    <row r="295" spans="1:15" x14ac:dyDescent="0.25">
      <c r="A295" s="18" t="s">
        <v>289</v>
      </c>
      <c r="B295" s="35">
        <v>10.92</v>
      </c>
      <c r="C295" s="32">
        <v>11.04</v>
      </c>
      <c r="D295" s="32">
        <v>11.04</v>
      </c>
      <c r="E295" s="32">
        <v>10.92</v>
      </c>
      <c r="F295" s="32">
        <v>10.72</v>
      </c>
      <c r="G295" s="32">
        <v>10.96</v>
      </c>
      <c r="H295" s="32">
        <v>11.04</v>
      </c>
      <c r="I295" s="32">
        <v>10.92</v>
      </c>
      <c r="J295" s="32">
        <v>10.76</v>
      </c>
      <c r="K295" s="32">
        <v>11.16</v>
      </c>
      <c r="L295" s="32">
        <v>10.72</v>
      </c>
      <c r="M295" s="23">
        <v>52</v>
      </c>
      <c r="N295" s="23">
        <v>0.4</v>
      </c>
      <c r="O295" s="24">
        <v>0.33029999999999998</v>
      </c>
    </row>
    <row r="296" spans="1:15" x14ac:dyDescent="0.25">
      <c r="A296" s="18" t="s">
        <v>290</v>
      </c>
      <c r="B296" s="35">
        <v>10.08</v>
      </c>
      <c r="C296" s="32">
        <v>10.28</v>
      </c>
      <c r="D296" s="32">
        <v>10.28</v>
      </c>
      <c r="E296" s="32">
        <v>10.08</v>
      </c>
      <c r="F296" s="32">
        <v>10.24</v>
      </c>
      <c r="G296" s="32">
        <v>10.24</v>
      </c>
      <c r="H296" s="32">
        <v>10.24</v>
      </c>
      <c r="I296" s="32">
        <v>10.08</v>
      </c>
      <c r="J296" s="32">
        <v>10.08</v>
      </c>
      <c r="K296" s="32">
        <v>10.08</v>
      </c>
      <c r="L296" s="32">
        <v>10.08</v>
      </c>
      <c r="M296" s="23">
        <v>48</v>
      </c>
      <c r="N296" s="23">
        <v>0.6</v>
      </c>
      <c r="O296" s="24">
        <v>0.32669999999999999</v>
      </c>
    </row>
    <row r="297" spans="1:15" x14ac:dyDescent="0.25">
      <c r="A297" s="18" t="s">
        <v>291</v>
      </c>
      <c r="B297" s="35">
        <v>10.56</v>
      </c>
      <c r="C297" s="32">
        <v>10.36</v>
      </c>
      <c r="D297" s="32">
        <v>10.68</v>
      </c>
      <c r="E297" s="32">
        <v>10.76</v>
      </c>
      <c r="F297" s="32">
        <v>10.68</v>
      </c>
      <c r="G297" s="32">
        <v>10.72</v>
      </c>
      <c r="H297" s="32">
        <v>10.72</v>
      </c>
      <c r="I297" s="32">
        <v>10.76</v>
      </c>
      <c r="J297" s="32">
        <v>10.76</v>
      </c>
      <c r="K297" s="32">
        <v>10.76</v>
      </c>
      <c r="L297" s="32">
        <v>10.36</v>
      </c>
      <c r="M297" s="23">
        <v>51</v>
      </c>
      <c r="N297" s="23">
        <v>0.2</v>
      </c>
      <c r="O297" s="24">
        <v>0.3488</v>
      </c>
    </row>
    <row r="298" spans="1:15" x14ac:dyDescent="0.25">
      <c r="A298" s="18" t="s">
        <v>292</v>
      </c>
      <c r="B298" s="35">
        <v>10.36</v>
      </c>
      <c r="C298" s="32">
        <v>10.56</v>
      </c>
      <c r="D298" s="32">
        <v>10.56</v>
      </c>
      <c r="E298" s="32">
        <v>10.36</v>
      </c>
      <c r="F298" s="32">
        <v>10.36</v>
      </c>
      <c r="G298" s="32">
        <v>10.36</v>
      </c>
      <c r="H298" s="32">
        <v>10.52</v>
      </c>
      <c r="I298" s="32">
        <v>10.36</v>
      </c>
      <c r="J298" s="32">
        <v>10.36</v>
      </c>
      <c r="K298" s="32">
        <v>10.16</v>
      </c>
      <c r="L298" s="32">
        <v>10.16</v>
      </c>
      <c r="M298" s="23">
        <v>50</v>
      </c>
      <c r="N298" s="23">
        <v>0.2</v>
      </c>
      <c r="O298" s="24">
        <v>0.34749999999999998</v>
      </c>
    </row>
    <row r="299" spans="1:15" x14ac:dyDescent="0.25">
      <c r="A299" s="18" t="s">
        <v>293</v>
      </c>
      <c r="B299" s="35">
        <v>10.92</v>
      </c>
      <c r="C299" s="32">
        <v>10.76</v>
      </c>
      <c r="D299" s="32">
        <v>10.96</v>
      </c>
      <c r="E299" s="32">
        <v>10.96</v>
      </c>
      <c r="F299" s="32">
        <v>10.96</v>
      </c>
      <c r="G299" s="32">
        <v>10.92</v>
      </c>
      <c r="H299" s="32">
        <v>10.96</v>
      </c>
      <c r="I299" s="32">
        <v>10.96</v>
      </c>
      <c r="J299" s="32">
        <v>10.96</v>
      </c>
      <c r="K299" s="32">
        <v>10.96</v>
      </c>
      <c r="L299" s="32">
        <v>10.76</v>
      </c>
      <c r="M299" s="23">
        <v>53</v>
      </c>
      <c r="N299" s="23">
        <v>0.2</v>
      </c>
      <c r="O299" s="24">
        <v>0.3679</v>
      </c>
    </row>
    <row r="300" spans="1:15" x14ac:dyDescent="0.25">
      <c r="A300" s="18" t="s">
        <v>294</v>
      </c>
      <c r="B300" s="35">
        <v>22.28</v>
      </c>
      <c r="C300" s="32">
        <v>22.28</v>
      </c>
      <c r="D300" s="32">
        <v>22.28</v>
      </c>
      <c r="E300" s="32">
        <v>22.28</v>
      </c>
      <c r="F300" s="32">
        <v>21.56</v>
      </c>
      <c r="G300" s="32">
        <v>22.28</v>
      </c>
      <c r="H300" s="32">
        <v>21.92</v>
      </c>
      <c r="I300" s="32">
        <v>22.28</v>
      </c>
      <c r="J300" s="32">
        <v>22.28</v>
      </c>
      <c r="K300" s="32">
        <v>22.28</v>
      </c>
      <c r="L300" s="32">
        <v>21.56</v>
      </c>
      <c r="M300" s="23">
        <v>103</v>
      </c>
      <c r="N300" s="23">
        <v>1.2</v>
      </c>
      <c r="O300" s="24">
        <v>2.0264000000000002</v>
      </c>
    </row>
    <row r="301" spans="1:15" x14ac:dyDescent="0.25">
      <c r="A301" s="18" t="s">
        <v>295</v>
      </c>
      <c r="B301" s="35">
        <v>22.56</v>
      </c>
      <c r="C301" s="32">
        <v>22.56</v>
      </c>
      <c r="D301" s="32">
        <v>22.56</v>
      </c>
      <c r="E301" s="32">
        <v>22.56</v>
      </c>
      <c r="F301" s="32">
        <v>22.56</v>
      </c>
      <c r="G301" s="32">
        <v>22.56</v>
      </c>
      <c r="H301" s="32">
        <v>22.56</v>
      </c>
      <c r="I301" s="32">
        <v>22.56</v>
      </c>
      <c r="J301" s="32">
        <v>22.56</v>
      </c>
      <c r="K301" s="32">
        <v>22.56</v>
      </c>
      <c r="L301" s="32">
        <v>22.56</v>
      </c>
      <c r="M301" s="23">
        <v>104</v>
      </c>
      <c r="N301" s="23">
        <v>2.2000000000000002</v>
      </c>
      <c r="O301" s="24">
        <v>2.1816</v>
      </c>
    </row>
    <row r="302" spans="1:15" x14ac:dyDescent="0.25">
      <c r="A302" s="18" t="s">
        <v>296</v>
      </c>
      <c r="B302" s="35">
        <v>22.16</v>
      </c>
      <c r="C302" s="32">
        <v>22.08</v>
      </c>
      <c r="D302" s="32">
        <v>21.76</v>
      </c>
      <c r="E302" s="32">
        <v>22.28</v>
      </c>
      <c r="F302" s="32">
        <v>22.16</v>
      </c>
      <c r="G302" s="32">
        <v>22.08</v>
      </c>
      <c r="H302" s="32">
        <v>22.12</v>
      </c>
      <c r="I302" s="32">
        <v>22.12</v>
      </c>
      <c r="J302" s="32">
        <v>22.28</v>
      </c>
      <c r="K302" s="32">
        <v>22.16</v>
      </c>
      <c r="L302" s="32">
        <v>21.76</v>
      </c>
      <c r="M302" s="23">
        <v>104</v>
      </c>
      <c r="N302" s="23">
        <v>1.2</v>
      </c>
      <c r="O302" s="24">
        <v>2.0688</v>
      </c>
    </row>
    <row r="303" spans="1:15" x14ac:dyDescent="0.25">
      <c r="A303" s="18" t="s">
        <v>297</v>
      </c>
      <c r="B303" s="35">
        <v>23.6</v>
      </c>
      <c r="C303" s="32">
        <v>22.84</v>
      </c>
      <c r="D303" s="32">
        <v>22.84</v>
      </c>
      <c r="E303" s="32">
        <v>23.16</v>
      </c>
      <c r="F303" s="32">
        <v>23.64</v>
      </c>
      <c r="G303" s="32">
        <v>23.28</v>
      </c>
      <c r="H303" s="32">
        <v>23</v>
      </c>
      <c r="I303" s="32">
        <v>23.52</v>
      </c>
      <c r="J303" s="32">
        <v>22.84</v>
      </c>
      <c r="K303" s="32">
        <v>23</v>
      </c>
      <c r="L303" s="32">
        <v>22.84</v>
      </c>
      <c r="M303" s="23">
        <v>99</v>
      </c>
      <c r="N303" s="23">
        <v>3.8</v>
      </c>
      <c r="O303" s="24">
        <v>2.0405000000000002</v>
      </c>
    </row>
    <row r="304" spans="1:15" x14ac:dyDescent="0.25">
      <c r="A304" s="18" t="s">
        <v>298</v>
      </c>
      <c r="B304" s="35">
        <v>23.44</v>
      </c>
      <c r="C304" s="32">
        <v>23.52</v>
      </c>
      <c r="D304" s="32">
        <v>23.52</v>
      </c>
      <c r="E304" s="32">
        <v>23.6</v>
      </c>
      <c r="F304" s="32">
        <v>23.52</v>
      </c>
      <c r="G304" s="32">
        <v>23.04</v>
      </c>
      <c r="H304" s="32">
        <v>23.64</v>
      </c>
      <c r="I304" s="32">
        <v>23.64</v>
      </c>
      <c r="J304" s="32">
        <v>23.36</v>
      </c>
      <c r="K304" s="32">
        <v>23.56</v>
      </c>
      <c r="L304" s="32">
        <v>23.04</v>
      </c>
      <c r="M304" s="23">
        <v>100</v>
      </c>
      <c r="N304" s="23">
        <v>3.8</v>
      </c>
      <c r="O304" s="24">
        <v>1.9509000000000001</v>
      </c>
    </row>
    <row r="305" spans="1:15" x14ac:dyDescent="0.25">
      <c r="A305" s="18" t="s">
        <v>299</v>
      </c>
      <c r="B305" s="35">
        <v>20.88</v>
      </c>
      <c r="C305" s="32">
        <v>21.28</v>
      </c>
      <c r="D305" s="32">
        <v>21.16</v>
      </c>
      <c r="E305" s="32">
        <v>21.28</v>
      </c>
      <c r="F305" s="32">
        <v>21.12</v>
      </c>
      <c r="G305" s="32">
        <v>21.28</v>
      </c>
      <c r="H305" s="32">
        <v>21.12</v>
      </c>
      <c r="I305" s="32">
        <v>21.28</v>
      </c>
      <c r="J305" s="32">
        <v>21.28</v>
      </c>
      <c r="K305" s="32">
        <v>21.28</v>
      </c>
      <c r="L305" s="32">
        <v>20.88</v>
      </c>
      <c r="M305" s="23">
        <v>102</v>
      </c>
      <c r="N305" s="23">
        <v>0.6</v>
      </c>
      <c r="O305" s="24">
        <v>1.9519</v>
      </c>
    </row>
    <row r="306" spans="1:15" x14ac:dyDescent="0.25">
      <c r="A306" s="18" t="s">
        <v>300</v>
      </c>
      <c r="B306" s="35">
        <v>20.399999999999999</v>
      </c>
      <c r="C306" s="32">
        <v>20.399999999999999</v>
      </c>
      <c r="D306" s="32">
        <v>20.399999999999999</v>
      </c>
      <c r="E306" s="32">
        <v>20.399999999999999</v>
      </c>
      <c r="F306" s="32">
        <v>20.399999999999999</v>
      </c>
      <c r="G306" s="32">
        <v>20.399999999999999</v>
      </c>
      <c r="H306" s="32">
        <v>20.399999999999999</v>
      </c>
      <c r="I306" s="32">
        <v>20.399999999999999</v>
      </c>
      <c r="J306" s="32">
        <v>20.399999999999999</v>
      </c>
      <c r="K306" s="32">
        <v>20.399999999999999</v>
      </c>
      <c r="L306" s="32">
        <v>20.399999999999999</v>
      </c>
      <c r="M306" s="23">
        <v>98</v>
      </c>
      <c r="N306" s="23">
        <v>1</v>
      </c>
      <c r="O306" s="24">
        <v>1.9802</v>
      </c>
    </row>
    <row r="307" spans="1:15" x14ac:dyDescent="0.25">
      <c r="A307" s="18" t="s">
        <v>301</v>
      </c>
      <c r="B307" s="35">
        <v>21.92</v>
      </c>
      <c r="C307" s="32">
        <v>21.96</v>
      </c>
      <c r="D307" s="32">
        <v>21.96</v>
      </c>
      <c r="E307" s="32">
        <v>21.96</v>
      </c>
      <c r="F307" s="32">
        <v>21.96</v>
      </c>
      <c r="G307" s="32">
        <v>21.96</v>
      </c>
      <c r="H307" s="32">
        <v>21.92</v>
      </c>
      <c r="I307" s="32">
        <v>21.96</v>
      </c>
      <c r="J307" s="32">
        <v>21.96</v>
      </c>
      <c r="K307" s="32">
        <v>21.6</v>
      </c>
      <c r="L307" s="32">
        <v>21.6</v>
      </c>
      <c r="M307" s="23">
        <v>108</v>
      </c>
      <c r="N307" s="23">
        <v>0</v>
      </c>
      <c r="O307" s="24">
        <v>2.3294000000000001</v>
      </c>
    </row>
    <row r="308" spans="1:15" x14ac:dyDescent="0.25">
      <c r="A308" s="18" t="s">
        <v>302</v>
      </c>
      <c r="B308" s="35">
        <v>21</v>
      </c>
      <c r="C308" s="32">
        <v>20.84</v>
      </c>
      <c r="D308" s="32">
        <v>21.04</v>
      </c>
      <c r="E308" s="32">
        <v>21.04</v>
      </c>
      <c r="F308" s="32">
        <v>20.8</v>
      </c>
      <c r="G308" s="32">
        <v>21.04</v>
      </c>
      <c r="H308" s="32">
        <v>21.16</v>
      </c>
      <c r="I308" s="32">
        <v>20.84</v>
      </c>
      <c r="J308" s="32">
        <v>20.72</v>
      </c>
      <c r="K308" s="32">
        <v>20.84</v>
      </c>
      <c r="L308" s="32">
        <v>20.72</v>
      </c>
      <c r="M308" s="23">
        <v>98</v>
      </c>
      <c r="N308" s="23">
        <v>1.4</v>
      </c>
      <c r="O308" s="24">
        <v>1.9457</v>
      </c>
    </row>
    <row r="309" spans="1:15" x14ac:dyDescent="0.25">
      <c r="A309" s="18" t="s">
        <v>303</v>
      </c>
      <c r="B309" s="35">
        <v>20.72</v>
      </c>
      <c r="C309" s="32">
        <v>21.04</v>
      </c>
      <c r="D309" s="32">
        <v>21.04</v>
      </c>
      <c r="E309" s="32">
        <v>20.84</v>
      </c>
      <c r="F309" s="32">
        <v>21</v>
      </c>
      <c r="G309" s="32">
        <v>20.92</v>
      </c>
      <c r="H309" s="32">
        <v>21.04</v>
      </c>
      <c r="I309" s="32">
        <v>20.92</v>
      </c>
      <c r="J309" s="32">
        <v>21</v>
      </c>
      <c r="K309" s="32">
        <v>21</v>
      </c>
      <c r="L309" s="32">
        <v>20.72</v>
      </c>
      <c r="M309" s="23">
        <v>98</v>
      </c>
      <c r="N309" s="23">
        <v>1.4</v>
      </c>
      <c r="O309" s="24">
        <v>1.9413</v>
      </c>
    </row>
    <row r="310" spans="1:15" x14ac:dyDescent="0.25">
      <c r="A310" s="18" t="s">
        <v>304</v>
      </c>
      <c r="B310" s="35">
        <v>21.44</v>
      </c>
      <c r="C310" s="32">
        <v>21.6</v>
      </c>
      <c r="D310" s="32">
        <v>21.12</v>
      </c>
      <c r="E310" s="32">
        <v>20.96</v>
      </c>
      <c r="F310" s="32">
        <v>21.8</v>
      </c>
      <c r="G310" s="32">
        <v>21.8</v>
      </c>
      <c r="H310" s="32">
        <v>21.4</v>
      </c>
      <c r="I310" s="32">
        <v>21.48</v>
      </c>
      <c r="J310" s="32">
        <v>21.24</v>
      </c>
      <c r="K310" s="32">
        <v>21.16</v>
      </c>
      <c r="L310" s="32">
        <v>20.96</v>
      </c>
      <c r="M310" s="23">
        <v>104</v>
      </c>
      <c r="N310" s="23">
        <v>0.2</v>
      </c>
      <c r="O310" s="24">
        <v>2.0213000000000001</v>
      </c>
    </row>
    <row r="311" spans="1:15" x14ac:dyDescent="0.25">
      <c r="A311" s="18" t="s">
        <v>305</v>
      </c>
      <c r="B311" s="35">
        <v>24.12</v>
      </c>
      <c r="C311" s="32">
        <v>25.28</v>
      </c>
      <c r="D311" s="32">
        <v>25.28</v>
      </c>
      <c r="E311" s="32">
        <v>24.72</v>
      </c>
      <c r="F311" s="32">
        <v>25.28</v>
      </c>
      <c r="G311" s="32">
        <v>24.8</v>
      </c>
      <c r="H311" s="32">
        <v>24.12</v>
      </c>
      <c r="I311" s="32">
        <v>25.2</v>
      </c>
      <c r="J311" s="32">
        <v>24.76</v>
      </c>
      <c r="K311" s="32">
        <v>24.84</v>
      </c>
      <c r="L311" s="32">
        <v>24.12</v>
      </c>
      <c r="M311" s="23">
        <v>103</v>
      </c>
      <c r="N311" s="23">
        <v>4.4000000000000004</v>
      </c>
      <c r="O311" s="24">
        <v>2.0891999999999999</v>
      </c>
    </row>
    <row r="312" spans="1:15" x14ac:dyDescent="0.25">
      <c r="A312" s="18" t="s">
        <v>306</v>
      </c>
      <c r="B312" s="35">
        <v>19.84</v>
      </c>
      <c r="C312" s="32">
        <v>19.84</v>
      </c>
      <c r="D312" s="32">
        <v>19.84</v>
      </c>
      <c r="E312" s="32">
        <v>19.84</v>
      </c>
      <c r="F312" s="32">
        <v>19.84</v>
      </c>
      <c r="G312" s="32">
        <v>19.84</v>
      </c>
      <c r="H312" s="32">
        <v>19.84</v>
      </c>
      <c r="I312" s="32">
        <v>19.84</v>
      </c>
      <c r="J312" s="32">
        <v>19.84</v>
      </c>
      <c r="K312" s="32">
        <v>19.84</v>
      </c>
      <c r="L312" s="32">
        <v>19.84</v>
      </c>
      <c r="M312" s="23">
        <v>96</v>
      </c>
      <c r="N312" s="23">
        <v>0.8</v>
      </c>
      <c r="O312" s="24">
        <v>2.3267000000000002</v>
      </c>
    </row>
    <row r="313" spans="1:15" x14ac:dyDescent="0.25">
      <c r="A313" s="18" t="s">
        <v>307</v>
      </c>
      <c r="B313" s="35">
        <v>21.24</v>
      </c>
      <c r="C313" s="32">
        <v>21.4</v>
      </c>
      <c r="D313" s="32">
        <v>21.4</v>
      </c>
      <c r="E313" s="32">
        <v>21.4</v>
      </c>
      <c r="F313" s="32">
        <v>21.4</v>
      </c>
      <c r="G313" s="32">
        <v>21.4</v>
      </c>
      <c r="H313" s="32">
        <v>21.4</v>
      </c>
      <c r="I313" s="32">
        <v>21.4</v>
      </c>
      <c r="J313" s="32">
        <v>21.24</v>
      </c>
      <c r="K313" s="32">
        <v>21.36</v>
      </c>
      <c r="L313" s="32">
        <v>21.24</v>
      </c>
      <c r="M313" s="23">
        <v>99</v>
      </c>
      <c r="N313" s="23">
        <v>1.8</v>
      </c>
      <c r="O313" s="24">
        <v>2.1968999999999999</v>
      </c>
    </row>
    <row r="314" spans="1:15" x14ac:dyDescent="0.25">
      <c r="A314" s="18" t="s">
        <v>308</v>
      </c>
      <c r="B314" s="35">
        <v>23.52</v>
      </c>
      <c r="C314" s="32">
        <v>23.52</v>
      </c>
      <c r="D314" s="32">
        <v>23.52</v>
      </c>
      <c r="E314" s="32">
        <v>23.48</v>
      </c>
      <c r="F314" s="32">
        <v>23.52</v>
      </c>
      <c r="G314" s="32">
        <v>23.52</v>
      </c>
      <c r="H314" s="32">
        <v>23.32</v>
      </c>
      <c r="I314" s="32">
        <v>23.52</v>
      </c>
      <c r="J314" s="32">
        <v>23.52</v>
      </c>
      <c r="K314" s="32">
        <v>23.52</v>
      </c>
      <c r="L314" s="32">
        <v>23.32</v>
      </c>
      <c r="M314" s="23">
        <v>103</v>
      </c>
      <c r="N314" s="23">
        <v>3.4</v>
      </c>
      <c r="O314" s="24">
        <v>2.2513000000000001</v>
      </c>
    </row>
    <row r="315" spans="1:15" x14ac:dyDescent="0.25">
      <c r="A315" s="18" t="s">
        <v>309</v>
      </c>
      <c r="B315" s="35">
        <v>21.2</v>
      </c>
      <c r="C315" s="32">
        <v>21.2</v>
      </c>
      <c r="D315" s="32">
        <v>21.2</v>
      </c>
      <c r="E315" s="32">
        <v>21.2</v>
      </c>
      <c r="F315" s="32">
        <v>21.2</v>
      </c>
      <c r="G315" s="32">
        <v>21.2</v>
      </c>
      <c r="H315" s="32">
        <v>21.2</v>
      </c>
      <c r="I315" s="32">
        <v>21.2</v>
      </c>
      <c r="J315" s="32">
        <v>21.2</v>
      </c>
      <c r="K315" s="32">
        <v>21.2</v>
      </c>
      <c r="L315" s="32">
        <v>21.2</v>
      </c>
      <c r="M315" s="23">
        <v>98</v>
      </c>
      <c r="N315" s="23">
        <v>2</v>
      </c>
      <c r="O315" s="24">
        <v>1.9550000000000001</v>
      </c>
    </row>
    <row r="316" spans="1:15" x14ac:dyDescent="0.25">
      <c r="A316" s="18" t="s">
        <v>310</v>
      </c>
      <c r="B316" s="35">
        <v>20.2</v>
      </c>
      <c r="C316" s="32">
        <v>20.2</v>
      </c>
      <c r="D316" s="32">
        <v>20.2</v>
      </c>
      <c r="E316" s="32">
        <v>20.2</v>
      </c>
      <c r="F316" s="32">
        <v>20.2</v>
      </c>
      <c r="G316" s="32">
        <v>20.2</v>
      </c>
      <c r="H316" s="32">
        <v>20.2</v>
      </c>
      <c r="I316" s="32">
        <v>20.2</v>
      </c>
      <c r="J316" s="32">
        <v>20.2</v>
      </c>
      <c r="K316" s="32">
        <v>20.2</v>
      </c>
      <c r="L316" s="32">
        <v>20.2</v>
      </c>
      <c r="M316" s="23">
        <v>97</v>
      </c>
      <c r="N316" s="23">
        <v>1</v>
      </c>
      <c r="O316" s="24">
        <v>1.9555</v>
      </c>
    </row>
    <row r="317" spans="1:15" x14ac:dyDescent="0.25">
      <c r="A317" s="18" t="s">
        <v>311</v>
      </c>
      <c r="B317" s="35">
        <v>24.08</v>
      </c>
      <c r="C317" s="32">
        <v>24.08</v>
      </c>
      <c r="D317" s="32">
        <v>24.08</v>
      </c>
      <c r="E317" s="32">
        <v>24.08</v>
      </c>
      <c r="F317" s="32">
        <v>24.08</v>
      </c>
      <c r="G317" s="32">
        <v>24.08</v>
      </c>
      <c r="H317" s="32">
        <v>24.08</v>
      </c>
      <c r="I317" s="32">
        <v>24.08</v>
      </c>
      <c r="J317" s="32">
        <v>24.08</v>
      </c>
      <c r="K317" s="32">
        <v>24.08</v>
      </c>
      <c r="L317" s="32">
        <v>24.08</v>
      </c>
      <c r="M317" s="23">
        <v>98</v>
      </c>
      <c r="N317" s="23">
        <v>5.6</v>
      </c>
      <c r="O317" s="24">
        <v>1.9817</v>
      </c>
    </row>
    <row r="318" spans="1:15" x14ac:dyDescent="0.25">
      <c r="A318" s="18" t="s">
        <v>312</v>
      </c>
      <c r="B318" s="35">
        <v>28.8</v>
      </c>
      <c r="C318" s="32">
        <v>28.2</v>
      </c>
      <c r="D318" s="32">
        <v>28.8</v>
      </c>
      <c r="E318" s="32">
        <v>28.8</v>
      </c>
      <c r="F318" s="32">
        <v>28.8</v>
      </c>
      <c r="G318" s="32">
        <v>28.8</v>
      </c>
      <c r="H318" s="32">
        <v>28.8</v>
      </c>
      <c r="I318" s="32">
        <v>28.8</v>
      </c>
      <c r="J318" s="32">
        <v>27.76</v>
      </c>
      <c r="K318" s="32">
        <v>28.8</v>
      </c>
      <c r="L318" s="32">
        <v>27.76</v>
      </c>
      <c r="M318" s="23">
        <v>106</v>
      </c>
      <c r="N318" s="23">
        <v>8.1999999999999993</v>
      </c>
      <c r="O318" s="24">
        <v>2.0729000000000002</v>
      </c>
    </row>
    <row r="319" spans="1:15" x14ac:dyDescent="0.25">
      <c r="A319" s="18" t="s">
        <v>313</v>
      </c>
      <c r="B319" s="35">
        <v>23.32</v>
      </c>
      <c r="C319" s="32">
        <v>22.56</v>
      </c>
      <c r="D319" s="32">
        <v>23.24</v>
      </c>
      <c r="E319" s="32">
        <v>23.08</v>
      </c>
      <c r="F319" s="32">
        <v>23.36</v>
      </c>
      <c r="G319" s="32">
        <v>23.28</v>
      </c>
      <c r="H319" s="32">
        <v>22.76</v>
      </c>
      <c r="I319" s="32">
        <v>23.36</v>
      </c>
      <c r="J319" s="32">
        <v>22.92</v>
      </c>
      <c r="K319" s="32">
        <v>23.32</v>
      </c>
      <c r="L319" s="32">
        <v>22.56</v>
      </c>
      <c r="M319" s="23">
        <v>104</v>
      </c>
      <c r="N319" s="23">
        <v>2.2000000000000002</v>
      </c>
      <c r="O319" s="24">
        <v>2.0705</v>
      </c>
    </row>
    <row r="320" spans="1:15" x14ac:dyDescent="0.25">
      <c r="A320" s="18" t="s">
        <v>314</v>
      </c>
      <c r="B320" s="35">
        <v>25.92</v>
      </c>
      <c r="C320" s="32">
        <v>25.92</v>
      </c>
      <c r="D320" s="32">
        <v>25.8</v>
      </c>
      <c r="E320" s="32">
        <v>25.92</v>
      </c>
      <c r="F320" s="32">
        <v>25.92</v>
      </c>
      <c r="G320" s="32">
        <v>25.92</v>
      </c>
      <c r="H320" s="32">
        <v>25.92</v>
      </c>
      <c r="I320" s="32">
        <v>25.52</v>
      </c>
      <c r="J320" s="32">
        <v>25.92</v>
      </c>
      <c r="K320" s="32">
        <v>25.92</v>
      </c>
      <c r="L320" s="32">
        <v>25.52</v>
      </c>
      <c r="M320" s="23">
        <v>102</v>
      </c>
      <c r="N320" s="23">
        <v>6.4</v>
      </c>
      <c r="O320" s="24">
        <v>2.0057999999999998</v>
      </c>
    </row>
    <row r="321" spans="1:15" x14ac:dyDescent="0.25">
      <c r="A321" s="18" t="s">
        <v>315</v>
      </c>
      <c r="B321" s="35">
        <v>18.72</v>
      </c>
      <c r="C321" s="32">
        <v>18.64</v>
      </c>
      <c r="D321" s="32">
        <v>18.559999999999999</v>
      </c>
      <c r="E321" s="32">
        <v>18.72</v>
      </c>
      <c r="F321" s="32">
        <v>18.72</v>
      </c>
      <c r="G321" s="32">
        <v>18.72</v>
      </c>
      <c r="H321" s="32">
        <v>18.72</v>
      </c>
      <c r="I321" s="32">
        <v>18.72</v>
      </c>
      <c r="J321" s="32">
        <v>18.72</v>
      </c>
      <c r="K321" s="32">
        <v>18.600000000000001</v>
      </c>
      <c r="L321" s="32">
        <v>18.559999999999999</v>
      </c>
      <c r="M321" s="23">
        <v>92</v>
      </c>
      <c r="N321" s="23">
        <v>0.2</v>
      </c>
      <c r="O321" s="24">
        <v>1.9016999999999999</v>
      </c>
    </row>
    <row r="322" spans="1:15" x14ac:dyDescent="0.25">
      <c r="A322" s="18" t="s">
        <v>316</v>
      </c>
      <c r="B322" s="35">
        <v>22.76</v>
      </c>
      <c r="C322" s="32">
        <v>22.76</v>
      </c>
      <c r="D322" s="32">
        <v>22.76</v>
      </c>
      <c r="E322" s="32">
        <v>22.76</v>
      </c>
      <c r="F322" s="32">
        <v>22.76</v>
      </c>
      <c r="G322" s="32">
        <v>22.76</v>
      </c>
      <c r="H322" s="32">
        <v>22.76</v>
      </c>
      <c r="I322" s="32">
        <v>22.76</v>
      </c>
      <c r="J322" s="32">
        <v>22.76</v>
      </c>
      <c r="K322" s="32">
        <v>22.76</v>
      </c>
      <c r="L322" s="32">
        <v>22.76</v>
      </c>
      <c r="M322" s="23">
        <v>113</v>
      </c>
      <c r="N322" s="23">
        <v>0.2</v>
      </c>
      <c r="O322" s="24">
        <v>2.1892999999999998</v>
      </c>
    </row>
    <row r="323" spans="1:15" x14ac:dyDescent="0.25">
      <c r="A323" s="18" t="s">
        <v>317</v>
      </c>
      <c r="B323" s="35">
        <v>24.56</v>
      </c>
      <c r="C323" s="32">
        <v>24.56</v>
      </c>
      <c r="D323" s="32">
        <v>23.56</v>
      </c>
      <c r="E323" s="32">
        <v>24.4</v>
      </c>
      <c r="F323" s="32">
        <v>23.92</v>
      </c>
      <c r="G323" s="32">
        <v>23.52</v>
      </c>
      <c r="H323" s="32">
        <v>24.56</v>
      </c>
      <c r="I323" s="32">
        <v>24.4</v>
      </c>
      <c r="J323" s="32">
        <v>24.56</v>
      </c>
      <c r="K323" s="32">
        <v>24.44</v>
      </c>
      <c r="L323" s="32">
        <v>23.52</v>
      </c>
      <c r="M323" s="23">
        <v>100</v>
      </c>
      <c r="N323" s="23">
        <v>4.4000000000000004</v>
      </c>
      <c r="O323" s="24">
        <v>1.8825000000000001</v>
      </c>
    </row>
    <row r="324" spans="1:15" x14ac:dyDescent="0.25">
      <c r="A324" s="18" t="s">
        <v>318</v>
      </c>
      <c r="B324" s="35">
        <v>23</v>
      </c>
      <c r="C324" s="32">
        <v>23.12</v>
      </c>
      <c r="D324" s="32">
        <v>23.12</v>
      </c>
      <c r="E324" s="32">
        <v>23.2</v>
      </c>
      <c r="F324" s="32">
        <v>23.32</v>
      </c>
      <c r="G324" s="32">
        <v>23.52</v>
      </c>
      <c r="H324" s="32">
        <v>23.32</v>
      </c>
      <c r="I324" s="32">
        <v>23.36</v>
      </c>
      <c r="J324" s="32">
        <v>22.96</v>
      </c>
      <c r="K324" s="32">
        <v>23.12</v>
      </c>
      <c r="L324" s="32">
        <v>22.96</v>
      </c>
      <c r="M324" s="23">
        <v>106</v>
      </c>
      <c r="N324" s="23">
        <v>2.2000000000000002</v>
      </c>
      <c r="O324" s="24">
        <v>2.0507</v>
      </c>
    </row>
    <row r="325" spans="1:15" x14ac:dyDescent="0.25">
      <c r="A325" s="18" t="s">
        <v>319</v>
      </c>
      <c r="B325" s="35">
        <v>22.52</v>
      </c>
      <c r="C325" s="32">
        <v>22.36</v>
      </c>
      <c r="D325" s="32">
        <v>22.52</v>
      </c>
      <c r="E325" s="32">
        <v>22.72</v>
      </c>
      <c r="F325" s="32">
        <v>22.68</v>
      </c>
      <c r="G325" s="32">
        <v>22.68</v>
      </c>
      <c r="H325" s="32">
        <v>22.28</v>
      </c>
      <c r="I325" s="32">
        <v>22.32</v>
      </c>
      <c r="J325" s="32">
        <v>22.6</v>
      </c>
      <c r="K325" s="32">
        <v>22.12</v>
      </c>
      <c r="L325" s="32">
        <v>22.12</v>
      </c>
      <c r="M325" s="23">
        <v>101</v>
      </c>
      <c r="N325" s="23">
        <v>2.4</v>
      </c>
      <c r="O325" s="24">
        <v>2.0573000000000001</v>
      </c>
    </row>
    <row r="326" spans="1:15" x14ac:dyDescent="0.25">
      <c r="A326" s="18" t="s">
        <v>320</v>
      </c>
      <c r="B326" s="35">
        <v>22.32</v>
      </c>
      <c r="C326" s="32">
        <v>22.12</v>
      </c>
      <c r="D326" s="32">
        <v>22.32</v>
      </c>
      <c r="E326" s="32">
        <v>22.32</v>
      </c>
      <c r="F326" s="32">
        <v>21.76</v>
      </c>
      <c r="G326" s="32">
        <v>22.32</v>
      </c>
      <c r="H326" s="32">
        <v>22.32</v>
      </c>
      <c r="I326" s="32">
        <v>22.12</v>
      </c>
      <c r="J326" s="32">
        <v>22.32</v>
      </c>
      <c r="K326" s="32">
        <v>22.32</v>
      </c>
      <c r="L326" s="32">
        <v>21.76</v>
      </c>
      <c r="M326" s="23">
        <v>100</v>
      </c>
      <c r="N326" s="23">
        <v>2.2000000000000002</v>
      </c>
      <c r="O326" s="24">
        <v>1.8805000000000001</v>
      </c>
    </row>
    <row r="327" spans="1:15" x14ac:dyDescent="0.25">
      <c r="A327" s="18" t="s">
        <v>321</v>
      </c>
      <c r="B327" s="35">
        <v>24.88</v>
      </c>
      <c r="C327" s="32">
        <v>24.88</v>
      </c>
      <c r="D327" s="32">
        <v>24.68</v>
      </c>
      <c r="E327" s="32">
        <v>24.88</v>
      </c>
      <c r="F327" s="32">
        <v>24.88</v>
      </c>
      <c r="G327" s="32">
        <v>24.84</v>
      </c>
      <c r="H327" s="32">
        <v>24.88</v>
      </c>
      <c r="I327" s="32">
        <v>24.88</v>
      </c>
      <c r="J327" s="32">
        <v>24.64</v>
      </c>
      <c r="K327" s="32">
        <v>24.88</v>
      </c>
      <c r="L327" s="32">
        <v>24.64</v>
      </c>
      <c r="M327" s="23">
        <v>104</v>
      </c>
      <c r="N327" s="23">
        <v>4.8</v>
      </c>
      <c r="O327" s="24">
        <v>2.0364</v>
      </c>
    </row>
    <row r="328" spans="1:15" x14ac:dyDescent="0.25">
      <c r="A328" s="18" t="s">
        <v>322</v>
      </c>
      <c r="B328" s="35">
        <v>26.56</v>
      </c>
      <c r="C328" s="32">
        <v>26.56</v>
      </c>
      <c r="D328" s="32">
        <v>26.56</v>
      </c>
      <c r="E328" s="32">
        <v>26.56</v>
      </c>
      <c r="F328" s="32">
        <v>26.56</v>
      </c>
      <c r="G328" s="32">
        <v>26.56</v>
      </c>
      <c r="H328" s="32">
        <v>26.56</v>
      </c>
      <c r="I328" s="32">
        <v>26.56</v>
      </c>
      <c r="J328" s="32">
        <v>26.56</v>
      </c>
      <c r="K328" s="32">
        <v>26.56</v>
      </c>
      <c r="L328" s="32">
        <v>26.56</v>
      </c>
      <c r="M328" s="23">
        <v>96</v>
      </c>
      <c r="N328" s="23">
        <v>9.1999999999999993</v>
      </c>
      <c r="O328" s="24">
        <v>2.0186000000000002</v>
      </c>
    </row>
    <row r="329" spans="1:15" x14ac:dyDescent="0.25">
      <c r="A329" s="18" t="s">
        <v>323</v>
      </c>
      <c r="B329" s="35">
        <v>27.04</v>
      </c>
      <c r="C329" s="32">
        <v>27.04</v>
      </c>
      <c r="D329" s="32">
        <v>27.04</v>
      </c>
      <c r="E329" s="32">
        <v>27</v>
      </c>
      <c r="F329" s="32">
        <v>27.04</v>
      </c>
      <c r="G329" s="32">
        <v>27.04</v>
      </c>
      <c r="H329" s="32">
        <v>27.04</v>
      </c>
      <c r="I329" s="32">
        <v>27.04</v>
      </c>
      <c r="J329" s="32">
        <v>27.04</v>
      </c>
      <c r="K329" s="32">
        <v>27.04</v>
      </c>
      <c r="L329" s="32">
        <v>27</v>
      </c>
      <c r="M329" s="23">
        <v>107</v>
      </c>
      <c r="N329" s="23">
        <v>7</v>
      </c>
      <c r="O329" s="24">
        <v>2.2496</v>
      </c>
    </row>
    <row r="330" spans="1:15" x14ac:dyDescent="0.25">
      <c r="A330" s="18" t="s">
        <v>324</v>
      </c>
      <c r="B330" s="35">
        <v>25.44</v>
      </c>
      <c r="C330" s="32">
        <v>25.32</v>
      </c>
      <c r="D330" s="32">
        <v>25.64</v>
      </c>
      <c r="E330" s="32">
        <v>25</v>
      </c>
      <c r="F330" s="32">
        <v>25.52</v>
      </c>
      <c r="G330" s="32">
        <v>25.96</v>
      </c>
      <c r="H330" s="32">
        <v>26.04</v>
      </c>
      <c r="I330" s="32">
        <v>26.08</v>
      </c>
      <c r="J330" s="32">
        <v>25.88</v>
      </c>
      <c r="K330" s="32">
        <v>24.88</v>
      </c>
      <c r="L330" s="32">
        <v>24.88</v>
      </c>
      <c r="M330" s="23">
        <v>102</v>
      </c>
      <c r="N330" s="23">
        <v>5.6</v>
      </c>
      <c r="O330" s="24">
        <v>1.95</v>
      </c>
    </row>
    <row r="331" spans="1:15" x14ac:dyDescent="0.25">
      <c r="A331" s="18" t="s">
        <v>325</v>
      </c>
      <c r="B331" s="35">
        <v>26.52</v>
      </c>
      <c r="C331" s="32">
        <v>26.24</v>
      </c>
      <c r="D331" s="32">
        <v>25.04</v>
      </c>
      <c r="E331" s="32">
        <v>25.24</v>
      </c>
      <c r="F331" s="32">
        <v>25.4</v>
      </c>
      <c r="G331" s="32">
        <v>26.04</v>
      </c>
      <c r="H331" s="32">
        <v>25.84</v>
      </c>
      <c r="I331" s="32">
        <v>26</v>
      </c>
      <c r="J331" s="32">
        <v>26.04</v>
      </c>
      <c r="K331" s="32">
        <v>26.96</v>
      </c>
      <c r="L331" s="32">
        <v>25.04</v>
      </c>
      <c r="M331" s="23">
        <v>110</v>
      </c>
      <c r="N331" s="23">
        <v>3.8</v>
      </c>
      <c r="O331" s="24">
        <v>2.1097999999999999</v>
      </c>
    </row>
    <row r="332" spans="1:15" x14ac:dyDescent="0.25">
      <c r="A332" s="18" t="s">
        <v>326</v>
      </c>
      <c r="B332" s="35">
        <v>24.32</v>
      </c>
      <c r="C332" s="32">
        <v>23.8</v>
      </c>
      <c r="D332" s="32">
        <v>24.12</v>
      </c>
      <c r="E332" s="32">
        <v>23.96</v>
      </c>
      <c r="F332" s="32">
        <v>23.92</v>
      </c>
      <c r="G332" s="32">
        <v>24.16</v>
      </c>
      <c r="H332" s="32">
        <v>23.68</v>
      </c>
      <c r="I332" s="32">
        <v>24.32</v>
      </c>
      <c r="J332" s="32">
        <v>24.32</v>
      </c>
      <c r="K332" s="32">
        <v>23.84</v>
      </c>
      <c r="L332" s="32">
        <v>23.68</v>
      </c>
      <c r="M332" s="23">
        <v>100</v>
      </c>
      <c r="N332" s="23">
        <v>4.5999999999999996</v>
      </c>
      <c r="O332" s="24">
        <v>2.0998999999999999</v>
      </c>
    </row>
    <row r="333" spans="1:15" x14ac:dyDescent="0.25">
      <c r="A333" s="18" t="s">
        <v>327</v>
      </c>
      <c r="B333" s="35">
        <v>28.16</v>
      </c>
      <c r="C333" s="32">
        <v>28.16</v>
      </c>
      <c r="D333" s="32">
        <v>28.16</v>
      </c>
      <c r="E333" s="32">
        <v>28.16</v>
      </c>
      <c r="F333" s="32">
        <v>28.16</v>
      </c>
      <c r="G333" s="32">
        <v>28</v>
      </c>
      <c r="H333" s="32">
        <v>28.16</v>
      </c>
      <c r="I333" s="32">
        <v>28.16</v>
      </c>
      <c r="J333" s="32">
        <v>28.16</v>
      </c>
      <c r="K333" s="32">
        <v>28.16</v>
      </c>
      <c r="L333" s="32">
        <v>28</v>
      </c>
      <c r="M333" s="23">
        <v>100</v>
      </c>
      <c r="N333" s="23">
        <v>10</v>
      </c>
      <c r="O333" s="24">
        <v>2.1379999999999999</v>
      </c>
    </row>
    <row r="334" spans="1:15" x14ac:dyDescent="0.25">
      <c r="A334" s="18" t="s">
        <v>328</v>
      </c>
      <c r="B334" s="35">
        <v>26.04</v>
      </c>
      <c r="C334" s="32">
        <v>26.44</v>
      </c>
      <c r="D334" s="32">
        <v>26.08</v>
      </c>
      <c r="E334" s="32">
        <v>26.44</v>
      </c>
      <c r="F334" s="32">
        <v>26.28</v>
      </c>
      <c r="G334" s="32">
        <v>26.44</v>
      </c>
      <c r="H334" s="32">
        <v>26.44</v>
      </c>
      <c r="I334" s="32">
        <v>26.24</v>
      </c>
      <c r="J334" s="32">
        <v>26.4</v>
      </c>
      <c r="K334" s="32">
        <v>26.44</v>
      </c>
      <c r="L334" s="32">
        <v>26.04</v>
      </c>
      <c r="M334" s="23">
        <v>99</v>
      </c>
      <c r="N334" s="23">
        <v>7.8</v>
      </c>
      <c r="O334" s="24">
        <v>2.0596000000000001</v>
      </c>
    </row>
    <row r="335" spans="1:15" x14ac:dyDescent="0.25">
      <c r="A335" s="18" t="s">
        <v>329</v>
      </c>
      <c r="B335" s="35">
        <v>26.2</v>
      </c>
      <c r="C335" s="32">
        <v>25.24</v>
      </c>
      <c r="D335" s="32">
        <v>25.32</v>
      </c>
      <c r="E335" s="32">
        <v>25.4</v>
      </c>
      <c r="F335" s="32">
        <v>25.4</v>
      </c>
      <c r="G335" s="32">
        <v>25.04</v>
      </c>
      <c r="H335" s="32">
        <v>26.2</v>
      </c>
      <c r="I335" s="32">
        <v>25.72</v>
      </c>
      <c r="J335" s="32">
        <v>26.2</v>
      </c>
      <c r="K335" s="32">
        <v>25.88</v>
      </c>
      <c r="L335" s="32">
        <v>25.04</v>
      </c>
      <c r="M335" s="23">
        <v>106</v>
      </c>
      <c r="N335" s="23">
        <v>4.8</v>
      </c>
      <c r="O335" s="24">
        <v>2.1911999999999998</v>
      </c>
    </row>
    <row r="336" spans="1:15" x14ac:dyDescent="0.25">
      <c r="A336" s="18" t="s">
        <v>330</v>
      </c>
      <c r="B336" s="35">
        <v>22.28</v>
      </c>
      <c r="C336" s="32">
        <v>22.28</v>
      </c>
      <c r="D336" s="32">
        <v>22.28</v>
      </c>
      <c r="E336" s="32">
        <v>22.28</v>
      </c>
      <c r="F336" s="32">
        <v>22.28</v>
      </c>
      <c r="G336" s="32">
        <v>22.28</v>
      </c>
      <c r="H336" s="32">
        <v>22.28</v>
      </c>
      <c r="I336" s="32">
        <v>22.28</v>
      </c>
      <c r="J336" s="32">
        <v>22.28</v>
      </c>
      <c r="K336" s="32">
        <v>22.28</v>
      </c>
      <c r="L336" s="32">
        <v>22.28</v>
      </c>
      <c r="M336" s="23">
        <v>101</v>
      </c>
      <c r="N336" s="23">
        <v>2.6</v>
      </c>
      <c r="O336" s="24">
        <v>2.2336999999999998</v>
      </c>
    </row>
    <row r="337" spans="1:15" x14ac:dyDescent="0.25">
      <c r="A337" s="18" t="s">
        <v>331</v>
      </c>
      <c r="B337" s="35">
        <v>22.48</v>
      </c>
      <c r="C337" s="32">
        <v>22.48</v>
      </c>
      <c r="D337" s="32">
        <v>22.48</v>
      </c>
      <c r="E337" s="32">
        <v>22.48</v>
      </c>
      <c r="F337" s="32">
        <v>22.48</v>
      </c>
      <c r="G337" s="32">
        <v>22.48</v>
      </c>
      <c r="H337" s="32">
        <v>22.48</v>
      </c>
      <c r="I337" s="32">
        <v>22.48</v>
      </c>
      <c r="J337" s="32">
        <v>22.48</v>
      </c>
      <c r="K337" s="32">
        <v>22.48</v>
      </c>
      <c r="L337" s="32">
        <v>22.48</v>
      </c>
      <c r="M337" s="23">
        <v>94</v>
      </c>
      <c r="N337" s="23">
        <v>4.5999999999999996</v>
      </c>
      <c r="O337" s="24">
        <v>1.9847999999999999</v>
      </c>
    </row>
    <row r="338" spans="1:15" x14ac:dyDescent="0.25">
      <c r="A338" s="18" t="s">
        <v>332</v>
      </c>
      <c r="B338" s="35">
        <v>23.24</v>
      </c>
      <c r="C338" s="32">
        <v>24.24</v>
      </c>
      <c r="D338" s="32">
        <v>23.04</v>
      </c>
      <c r="E338" s="32">
        <v>24.24</v>
      </c>
      <c r="F338" s="32">
        <v>23.8</v>
      </c>
      <c r="G338" s="32">
        <v>23.52</v>
      </c>
      <c r="H338" s="32">
        <v>23.68</v>
      </c>
      <c r="I338" s="32">
        <v>24.24</v>
      </c>
      <c r="J338" s="32">
        <v>23.2</v>
      </c>
      <c r="K338" s="32">
        <v>23.24</v>
      </c>
      <c r="L338" s="32">
        <v>23.04</v>
      </c>
      <c r="M338" s="23">
        <v>104</v>
      </c>
      <c r="N338" s="23">
        <v>2.8</v>
      </c>
      <c r="O338" s="24">
        <v>2.1364000000000001</v>
      </c>
    </row>
    <row r="339" spans="1:15" x14ac:dyDescent="0.25">
      <c r="A339" s="18" t="s">
        <v>333</v>
      </c>
      <c r="B339" s="35">
        <v>21.84</v>
      </c>
      <c r="C339" s="32">
        <v>21.48</v>
      </c>
      <c r="D339" s="32">
        <v>21.84</v>
      </c>
      <c r="E339" s="32">
        <v>21.84</v>
      </c>
      <c r="F339" s="32">
        <v>21.84</v>
      </c>
      <c r="G339" s="32">
        <v>21.32</v>
      </c>
      <c r="H339" s="32">
        <v>21.84</v>
      </c>
      <c r="I339" s="32">
        <v>21.84</v>
      </c>
      <c r="J339" s="32">
        <v>21.84</v>
      </c>
      <c r="K339" s="32">
        <v>21.84</v>
      </c>
      <c r="L339" s="32">
        <v>21.32</v>
      </c>
      <c r="M339" s="23">
        <v>105</v>
      </c>
      <c r="N339" s="23">
        <v>0.4</v>
      </c>
      <c r="O339" s="24">
        <v>2.0609999999999999</v>
      </c>
    </row>
    <row r="340" spans="1:15" x14ac:dyDescent="0.25">
      <c r="A340" s="18" t="s">
        <v>334</v>
      </c>
      <c r="B340" s="35">
        <v>21.84</v>
      </c>
      <c r="C340" s="32">
        <v>21.64</v>
      </c>
      <c r="D340" s="32">
        <v>21.84</v>
      </c>
      <c r="E340" s="32">
        <v>21.84</v>
      </c>
      <c r="F340" s="32">
        <v>21.92</v>
      </c>
      <c r="G340" s="32">
        <v>21.6</v>
      </c>
      <c r="H340" s="32">
        <v>21.68</v>
      </c>
      <c r="I340" s="32">
        <v>21.96</v>
      </c>
      <c r="J340" s="32">
        <v>21.68</v>
      </c>
      <c r="K340" s="32">
        <v>21.84</v>
      </c>
      <c r="L340" s="32">
        <v>21.6</v>
      </c>
      <c r="M340" s="23">
        <v>100</v>
      </c>
      <c r="N340" s="23">
        <v>2</v>
      </c>
      <c r="O340" s="24">
        <v>1.9825999999999999</v>
      </c>
    </row>
    <row r="341" spans="1:15" x14ac:dyDescent="0.25">
      <c r="A341" s="18" t="s">
        <v>335</v>
      </c>
      <c r="B341" s="35">
        <v>23.64</v>
      </c>
      <c r="C341" s="32">
        <v>23.64</v>
      </c>
      <c r="D341" s="32">
        <v>23.64</v>
      </c>
      <c r="E341" s="32">
        <v>23.64</v>
      </c>
      <c r="F341" s="32">
        <v>23.64</v>
      </c>
      <c r="G341" s="32">
        <v>23.64</v>
      </c>
      <c r="H341" s="32">
        <v>23.64</v>
      </c>
      <c r="I341" s="32">
        <v>23.64</v>
      </c>
      <c r="J341" s="32">
        <v>23.64</v>
      </c>
      <c r="K341" s="32">
        <v>23.6</v>
      </c>
      <c r="L341" s="32">
        <v>23.6</v>
      </c>
      <c r="M341" s="23">
        <v>102</v>
      </c>
      <c r="N341" s="23">
        <v>4</v>
      </c>
      <c r="O341" s="24">
        <v>2.0705</v>
      </c>
    </row>
    <row r="342" spans="1:15" x14ac:dyDescent="0.25">
      <c r="A342" s="18" t="s">
        <v>336</v>
      </c>
      <c r="B342" s="35">
        <v>24</v>
      </c>
      <c r="C342" s="32">
        <v>24</v>
      </c>
      <c r="D342" s="32">
        <v>24</v>
      </c>
      <c r="E342" s="32">
        <v>23.84</v>
      </c>
      <c r="F342" s="32">
        <v>24</v>
      </c>
      <c r="G342" s="32">
        <v>23.44</v>
      </c>
      <c r="H342" s="32">
        <v>24</v>
      </c>
      <c r="I342" s="32">
        <v>23.76</v>
      </c>
      <c r="J342" s="32">
        <v>24</v>
      </c>
      <c r="K342" s="32">
        <v>24</v>
      </c>
      <c r="L342" s="32">
        <v>23.44</v>
      </c>
      <c r="M342" s="23">
        <v>102</v>
      </c>
      <c r="N342" s="23">
        <v>3.8</v>
      </c>
      <c r="O342" s="24">
        <v>1.9587000000000001</v>
      </c>
    </row>
    <row r="343" spans="1:15" x14ac:dyDescent="0.25">
      <c r="A343" s="18" t="s">
        <v>337</v>
      </c>
      <c r="B343" s="35">
        <v>25.52</v>
      </c>
      <c r="C343" s="32">
        <v>25.88</v>
      </c>
      <c r="D343" s="32">
        <v>26.2</v>
      </c>
      <c r="E343" s="32">
        <v>25.76</v>
      </c>
      <c r="F343" s="32">
        <v>25.56</v>
      </c>
      <c r="G343" s="32">
        <v>26.28</v>
      </c>
      <c r="H343" s="32">
        <v>25.56</v>
      </c>
      <c r="I343" s="32">
        <v>26.36</v>
      </c>
      <c r="J343" s="32">
        <v>26.36</v>
      </c>
      <c r="K343" s="32">
        <v>26.36</v>
      </c>
      <c r="L343" s="32">
        <v>25.52</v>
      </c>
      <c r="M343" s="23">
        <v>102</v>
      </c>
      <c r="N343" s="23">
        <v>6.4</v>
      </c>
      <c r="O343" s="24">
        <v>2.0093999999999999</v>
      </c>
    </row>
    <row r="344" spans="1:15" x14ac:dyDescent="0.25">
      <c r="A344" s="18" t="s">
        <v>338</v>
      </c>
      <c r="B344" s="35">
        <v>27.6</v>
      </c>
      <c r="C344" s="32">
        <v>27.84</v>
      </c>
      <c r="D344" s="32">
        <v>28.4</v>
      </c>
      <c r="E344" s="32">
        <v>27.6</v>
      </c>
      <c r="F344" s="32">
        <v>28.4</v>
      </c>
      <c r="G344" s="32">
        <v>28.24</v>
      </c>
      <c r="H344" s="32">
        <v>26.96</v>
      </c>
      <c r="I344" s="32">
        <v>28.4</v>
      </c>
      <c r="J344" s="32">
        <v>28.4</v>
      </c>
      <c r="K344" s="32">
        <v>27.76</v>
      </c>
      <c r="L344" s="32">
        <v>26.96</v>
      </c>
      <c r="M344" s="23">
        <v>110</v>
      </c>
      <c r="N344" s="23">
        <v>6.2</v>
      </c>
      <c r="O344" s="24">
        <v>2.1154000000000002</v>
      </c>
    </row>
    <row r="345" spans="1:15" x14ac:dyDescent="0.25">
      <c r="A345" s="18" t="s">
        <v>339</v>
      </c>
      <c r="B345" s="35">
        <v>25.24</v>
      </c>
      <c r="C345" s="32">
        <v>25.24</v>
      </c>
      <c r="D345" s="32">
        <v>25.24</v>
      </c>
      <c r="E345" s="32">
        <v>25.2</v>
      </c>
      <c r="F345" s="32">
        <v>25.24</v>
      </c>
      <c r="G345" s="32">
        <v>25.24</v>
      </c>
      <c r="H345" s="32">
        <v>25.24</v>
      </c>
      <c r="I345" s="32">
        <v>25.24</v>
      </c>
      <c r="J345" s="32">
        <v>25.24</v>
      </c>
      <c r="K345" s="32">
        <v>25.24</v>
      </c>
      <c r="L345" s="32">
        <v>25.2</v>
      </c>
      <c r="M345" s="23">
        <v>102</v>
      </c>
      <c r="N345" s="23">
        <v>6</v>
      </c>
      <c r="O345" s="24">
        <v>2.1315</v>
      </c>
    </row>
    <row r="346" spans="1:15" x14ac:dyDescent="0.25">
      <c r="A346" s="18" t="s">
        <v>340</v>
      </c>
      <c r="B346" s="35">
        <v>23.8</v>
      </c>
      <c r="C346" s="32">
        <v>23.8</v>
      </c>
      <c r="D346" s="32">
        <v>23.8</v>
      </c>
      <c r="E346" s="32">
        <v>23.8</v>
      </c>
      <c r="F346" s="32">
        <v>23.8</v>
      </c>
      <c r="G346" s="32">
        <v>23.8</v>
      </c>
      <c r="H346" s="32">
        <v>23.76</v>
      </c>
      <c r="I346" s="32">
        <v>23.8</v>
      </c>
      <c r="J346" s="32">
        <v>23.8</v>
      </c>
      <c r="K346" s="32">
        <v>23.72</v>
      </c>
      <c r="L346" s="32">
        <v>23.72</v>
      </c>
      <c r="M346" s="23">
        <v>105</v>
      </c>
      <c r="N346" s="23">
        <v>3.4</v>
      </c>
      <c r="O346" s="24">
        <v>2.2906</v>
      </c>
    </row>
    <row r="347" spans="1:15" x14ac:dyDescent="0.25">
      <c r="A347" s="18" t="s">
        <v>341</v>
      </c>
      <c r="B347" s="35">
        <v>29.76</v>
      </c>
      <c r="C347" s="32">
        <v>30.16</v>
      </c>
      <c r="D347" s="32">
        <v>29.2</v>
      </c>
      <c r="E347" s="32">
        <v>30.12</v>
      </c>
      <c r="F347" s="32">
        <v>30.68</v>
      </c>
      <c r="G347" s="32">
        <v>29.88</v>
      </c>
      <c r="H347" s="32">
        <v>30.16</v>
      </c>
      <c r="I347" s="32">
        <v>29.4</v>
      </c>
      <c r="J347" s="32">
        <v>29.48</v>
      </c>
      <c r="K347" s="32">
        <v>29.96</v>
      </c>
      <c r="L347" s="32">
        <v>29.2</v>
      </c>
      <c r="M347" s="23">
        <v>110</v>
      </c>
      <c r="N347" s="23">
        <v>9</v>
      </c>
      <c r="O347" s="24">
        <v>2.1172</v>
      </c>
    </row>
    <row r="348" spans="1:15" x14ac:dyDescent="0.25">
      <c r="A348" s="18" t="s">
        <v>342</v>
      </c>
      <c r="B348" s="35">
        <v>22.92</v>
      </c>
      <c r="C348" s="32">
        <v>22.72</v>
      </c>
      <c r="D348" s="32">
        <v>22.76</v>
      </c>
      <c r="E348" s="32">
        <v>22.88</v>
      </c>
      <c r="F348" s="32">
        <v>23.16</v>
      </c>
      <c r="G348" s="32">
        <v>22.52</v>
      </c>
      <c r="H348" s="32">
        <v>22.72</v>
      </c>
      <c r="I348" s="32">
        <v>22.56</v>
      </c>
      <c r="J348" s="32">
        <v>23.12</v>
      </c>
      <c r="K348" s="32">
        <v>23.2</v>
      </c>
      <c r="L348" s="32">
        <v>22.52</v>
      </c>
      <c r="M348" s="23">
        <v>103</v>
      </c>
      <c r="N348" s="23">
        <v>2.4</v>
      </c>
      <c r="O348" s="24">
        <v>2.089</v>
      </c>
    </row>
    <row r="349" spans="1:15" x14ac:dyDescent="0.25">
      <c r="A349" s="18" t="s">
        <v>343</v>
      </c>
      <c r="B349" s="35">
        <v>21.72</v>
      </c>
      <c r="C349" s="32">
        <v>22.16</v>
      </c>
      <c r="D349" s="32">
        <v>21.76</v>
      </c>
      <c r="E349" s="32">
        <v>21.96</v>
      </c>
      <c r="F349" s="32">
        <v>21.96</v>
      </c>
      <c r="G349" s="32">
        <v>22</v>
      </c>
      <c r="H349" s="32">
        <v>21.92</v>
      </c>
      <c r="I349" s="32">
        <v>21.96</v>
      </c>
      <c r="J349" s="32">
        <v>21.72</v>
      </c>
      <c r="K349" s="32">
        <v>21.96</v>
      </c>
      <c r="L349" s="32">
        <v>21.72</v>
      </c>
      <c r="M349" s="23">
        <v>99</v>
      </c>
      <c r="N349" s="23">
        <v>2.4</v>
      </c>
      <c r="O349" s="24">
        <v>2.0165000000000002</v>
      </c>
    </row>
    <row r="350" spans="1:15" x14ac:dyDescent="0.25">
      <c r="A350" s="18" t="s">
        <v>344</v>
      </c>
      <c r="B350" s="35">
        <v>20.72</v>
      </c>
      <c r="C350" s="32">
        <v>20.76</v>
      </c>
      <c r="D350" s="32">
        <v>20.76</v>
      </c>
      <c r="E350" s="32">
        <v>20.56</v>
      </c>
      <c r="F350" s="32">
        <v>20.76</v>
      </c>
      <c r="G350" s="32">
        <v>20.72</v>
      </c>
      <c r="H350" s="32">
        <v>20.76</v>
      </c>
      <c r="I350" s="32">
        <v>20.56</v>
      </c>
      <c r="J350" s="32">
        <v>20.76</v>
      </c>
      <c r="K350" s="32">
        <v>20.52</v>
      </c>
      <c r="L350" s="32">
        <v>20.52</v>
      </c>
      <c r="M350" s="23">
        <v>101</v>
      </c>
      <c r="N350" s="23">
        <v>0.4</v>
      </c>
      <c r="O350" s="24">
        <v>2.1642000000000001</v>
      </c>
    </row>
    <row r="351" spans="1:15" x14ac:dyDescent="0.25">
      <c r="A351" s="18" t="s">
        <v>345</v>
      </c>
      <c r="B351" s="35">
        <v>28.48</v>
      </c>
      <c r="C351" s="32">
        <v>28.48</v>
      </c>
      <c r="D351" s="32">
        <v>28.6</v>
      </c>
      <c r="E351" s="32">
        <v>28.32</v>
      </c>
      <c r="F351" s="32">
        <v>28.28</v>
      </c>
      <c r="G351" s="32">
        <v>28.28</v>
      </c>
      <c r="H351" s="32">
        <v>28.28</v>
      </c>
      <c r="I351" s="32">
        <v>28.32</v>
      </c>
      <c r="J351" s="32">
        <v>28.44</v>
      </c>
      <c r="K351" s="32">
        <v>28.12</v>
      </c>
      <c r="L351" s="32">
        <v>28.12</v>
      </c>
      <c r="M351" s="23">
        <v>107</v>
      </c>
      <c r="N351" s="23">
        <v>8.4</v>
      </c>
      <c r="O351" s="24">
        <v>2.0206</v>
      </c>
    </row>
    <row r="352" spans="1:15" x14ac:dyDescent="0.25">
      <c r="A352" s="18" t="s">
        <v>346</v>
      </c>
      <c r="B352" s="35">
        <v>25.2</v>
      </c>
      <c r="C352" s="32">
        <v>24.96</v>
      </c>
      <c r="D352" s="32">
        <v>25.68</v>
      </c>
      <c r="E352" s="32">
        <v>25</v>
      </c>
      <c r="F352" s="32">
        <v>24.4</v>
      </c>
      <c r="G352" s="32">
        <v>25.2</v>
      </c>
      <c r="H352" s="32">
        <v>25.36</v>
      </c>
      <c r="I352" s="32">
        <v>25.28</v>
      </c>
      <c r="J352" s="32">
        <v>25.48</v>
      </c>
      <c r="K352" s="32">
        <v>25.64</v>
      </c>
      <c r="L352" s="32">
        <v>24.4</v>
      </c>
      <c r="M352" s="23">
        <v>94</v>
      </c>
      <c r="N352" s="23">
        <v>7</v>
      </c>
      <c r="O352" s="24">
        <v>1.7831999999999999</v>
      </c>
    </row>
    <row r="353" spans="1:15" x14ac:dyDescent="0.25">
      <c r="A353" s="18" t="s">
        <v>347</v>
      </c>
      <c r="B353" s="35">
        <v>22.68</v>
      </c>
      <c r="C353" s="32">
        <v>22.68</v>
      </c>
      <c r="D353" s="32">
        <v>22.68</v>
      </c>
      <c r="E353" s="32">
        <v>22.68</v>
      </c>
      <c r="F353" s="32">
        <v>22.68</v>
      </c>
      <c r="G353" s="32">
        <v>22.68</v>
      </c>
      <c r="H353" s="32">
        <v>22.68</v>
      </c>
      <c r="I353" s="32">
        <v>22.68</v>
      </c>
      <c r="J353" s="32">
        <v>22.68</v>
      </c>
      <c r="K353" s="32">
        <v>22.68</v>
      </c>
      <c r="L353" s="32">
        <v>22.68</v>
      </c>
      <c r="M353" s="23">
        <v>99</v>
      </c>
      <c r="N353" s="23">
        <v>3.6</v>
      </c>
      <c r="O353" s="24">
        <v>1.9995000000000001</v>
      </c>
    </row>
    <row r="354" spans="1:15" x14ac:dyDescent="0.25">
      <c r="A354" s="18" t="s">
        <v>348</v>
      </c>
      <c r="B354" s="35">
        <v>25.92</v>
      </c>
      <c r="C354" s="32">
        <v>25.84</v>
      </c>
      <c r="D354" s="32">
        <v>25.72</v>
      </c>
      <c r="E354" s="32">
        <v>25.92</v>
      </c>
      <c r="F354" s="32">
        <v>25.76</v>
      </c>
      <c r="G354" s="32">
        <v>25.36</v>
      </c>
      <c r="H354" s="32">
        <v>26.32</v>
      </c>
      <c r="I354" s="32">
        <v>26.32</v>
      </c>
      <c r="J354" s="32">
        <v>26.32</v>
      </c>
      <c r="K354" s="32">
        <v>25.6</v>
      </c>
      <c r="L354" s="32">
        <v>25.36</v>
      </c>
      <c r="M354" s="23">
        <v>102</v>
      </c>
      <c r="N354" s="23">
        <v>6.2</v>
      </c>
      <c r="O354" s="24">
        <v>1.9611000000000001</v>
      </c>
    </row>
    <row r="355" spans="1:15" x14ac:dyDescent="0.25">
      <c r="A355" s="18" t="s">
        <v>349</v>
      </c>
      <c r="B355" s="35">
        <v>20.48</v>
      </c>
      <c r="C355" s="32">
        <v>20.48</v>
      </c>
      <c r="D355" s="32">
        <v>20.48</v>
      </c>
      <c r="E355" s="32">
        <v>20.48</v>
      </c>
      <c r="F355" s="32">
        <v>20.48</v>
      </c>
      <c r="G355" s="32">
        <v>20.48</v>
      </c>
      <c r="H355" s="32">
        <v>20.48</v>
      </c>
      <c r="I355" s="32">
        <v>20.48</v>
      </c>
      <c r="J355" s="32">
        <v>20.48</v>
      </c>
      <c r="K355" s="32">
        <v>20.48</v>
      </c>
      <c r="L355" s="32">
        <v>20.48</v>
      </c>
      <c r="M355" s="23">
        <v>100</v>
      </c>
      <c r="N355" s="23">
        <v>0.6</v>
      </c>
      <c r="O355" s="24">
        <v>2.0602999999999998</v>
      </c>
    </row>
    <row r="356" spans="1:15" x14ac:dyDescent="0.25">
      <c r="A356" s="18" t="s">
        <v>350</v>
      </c>
      <c r="B356" s="35">
        <v>21.56</v>
      </c>
      <c r="C356" s="32">
        <v>21.68</v>
      </c>
      <c r="D356" s="32">
        <v>21.96</v>
      </c>
      <c r="E356" s="32">
        <v>21.48</v>
      </c>
      <c r="F356" s="32">
        <v>22.16</v>
      </c>
      <c r="G356" s="32">
        <v>22.48</v>
      </c>
      <c r="H356" s="32">
        <v>21.88</v>
      </c>
      <c r="I356" s="32">
        <v>21.56</v>
      </c>
      <c r="J356" s="32">
        <v>21.72</v>
      </c>
      <c r="K356" s="32">
        <v>22.08</v>
      </c>
      <c r="L356" s="32">
        <v>21.48</v>
      </c>
      <c r="M356" s="23">
        <v>105</v>
      </c>
      <c r="N356" s="23">
        <v>0.6</v>
      </c>
      <c r="O356" s="24">
        <v>2.1107999999999998</v>
      </c>
    </row>
    <row r="357" spans="1:15" x14ac:dyDescent="0.25">
      <c r="A357" s="18" t="s">
        <v>351</v>
      </c>
      <c r="B357" s="35">
        <v>21.16</v>
      </c>
      <c r="C357" s="32">
        <v>21.16</v>
      </c>
      <c r="D357" s="32">
        <v>21.32</v>
      </c>
      <c r="E357" s="32">
        <v>21.68</v>
      </c>
      <c r="F357" s="32">
        <v>21.04</v>
      </c>
      <c r="G357" s="32">
        <v>21.32</v>
      </c>
      <c r="H357" s="32">
        <v>21.4</v>
      </c>
      <c r="I357" s="32">
        <v>22.12</v>
      </c>
      <c r="J357" s="32">
        <v>21.56</v>
      </c>
      <c r="K357" s="32">
        <v>21.04</v>
      </c>
      <c r="L357" s="32">
        <v>21.04</v>
      </c>
      <c r="M357" s="23">
        <v>102</v>
      </c>
      <c r="N357" s="23">
        <v>0.8</v>
      </c>
      <c r="O357" s="24">
        <v>1.9899</v>
      </c>
    </row>
    <row r="358" spans="1:15" x14ac:dyDescent="0.25">
      <c r="A358" s="18" t="s">
        <v>352</v>
      </c>
      <c r="B358" s="35">
        <v>24.36</v>
      </c>
      <c r="C358" s="32">
        <v>24.36</v>
      </c>
      <c r="D358" s="32">
        <v>24.36</v>
      </c>
      <c r="E358" s="32">
        <v>24.36</v>
      </c>
      <c r="F358" s="32">
        <v>24.36</v>
      </c>
      <c r="G358" s="32">
        <v>24.36</v>
      </c>
      <c r="H358" s="32">
        <v>24.36</v>
      </c>
      <c r="I358" s="32">
        <v>24.36</v>
      </c>
      <c r="J358" s="32">
        <v>24.36</v>
      </c>
      <c r="K358" s="32">
        <v>24.36</v>
      </c>
      <c r="L358" s="32">
        <v>24.36</v>
      </c>
      <c r="M358" s="23">
        <v>105</v>
      </c>
      <c r="N358" s="23">
        <v>4.2</v>
      </c>
      <c r="O358" s="24">
        <v>2.2239</v>
      </c>
    </row>
    <row r="359" spans="1:15" x14ac:dyDescent="0.25">
      <c r="A359" s="18" t="s">
        <v>353</v>
      </c>
      <c r="B359" s="35">
        <v>24.28</v>
      </c>
      <c r="C359" s="32">
        <v>24.28</v>
      </c>
      <c r="D359" s="32">
        <v>23.28</v>
      </c>
      <c r="E359" s="32">
        <v>24.28</v>
      </c>
      <c r="F359" s="32">
        <v>23.24</v>
      </c>
      <c r="G359" s="32">
        <v>23.28</v>
      </c>
      <c r="H359" s="32">
        <v>23.28</v>
      </c>
      <c r="I359" s="32">
        <v>24.12</v>
      </c>
      <c r="J359" s="32">
        <v>23.28</v>
      </c>
      <c r="K359" s="32">
        <v>24.12</v>
      </c>
      <c r="L359" s="32">
        <v>23.24</v>
      </c>
      <c r="M359" s="23">
        <v>101</v>
      </c>
      <c r="N359" s="23">
        <v>3.8</v>
      </c>
      <c r="O359" s="24">
        <v>2.0558000000000001</v>
      </c>
    </row>
    <row r="360" spans="1:15" x14ac:dyDescent="0.25">
      <c r="A360" s="18" t="s">
        <v>354</v>
      </c>
      <c r="B360" s="35">
        <v>20</v>
      </c>
      <c r="C360" s="32">
        <v>20</v>
      </c>
      <c r="D360" s="32">
        <v>20</v>
      </c>
      <c r="E360" s="32">
        <v>19.96</v>
      </c>
      <c r="F360" s="32">
        <v>19.96</v>
      </c>
      <c r="G360" s="32">
        <v>20</v>
      </c>
      <c r="H360" s="32">
        <v>20</v>
      </c>
      <c r="I360" s="32">
        <v>20</v>
      </c>
      <c r="J360" s="32">
        <v>20</v>
      </c>
      <c r="K360" s="32">
        <v>20</v>
      </c>
      <c r="L360" s="32">
        <v>19.96</v>
      </c>
      <c r="M360" s="23">
        <v>99</v>
      </c>
      <c r="N360" s="23">
        <v>0.2</v>
      </c>
      <c r="O360" s="24">
        <v>2.0598999999999998</v>
      </c>
    </row>
    <row r="361" spans="1:15" x14ac:dyDescent="0.25">
      <c r="A361" s="18" t="s">
        <v>355</v>
      </c>
      <c r="B361" s="35">
        <v>23.92</v>
      </c>
      <c r="C361" s="32">
        <v>23.76</v>
      </c>
      <c r="D361" s="32">
        <v>23.92</v>
      </c>
      <c r="E361" s="32">
        <v>23.92</v>
      </c>
      <c r="F361" s="32">
        <v>23.36</v>
      </c>
      <c r="G361" s="32">
        <v>23.72</v>
      </c>
      <c r="H361" s="32">
        <v>23.88</v>
      </c>
      <c r="I361" s="32">
        <v>23.76</v>
      </c>
      <c r="J361" s="32">
        <v>23.52</v>
      </c>
      <c r="K361" s="32">
        <v>24.08</v>
      </c>
      <c r="L361" s="32">
        <v>23.36</v>
      </c>
      <c r="M361" s="23">
        <v>104</v>
      </c>
      <c r="N361" s="23">
        <v>3.2</v>
      </c>
      <c r="O361" s="24">
        <v>2.1682000000000001</v>
      </c>
    </row>
    <row r="362" spans="1:15" x14ac:dyDescent="0.25">
      <c r="A362" s="18" t="s">
        <v>356</v>
      </c>
      <c r="B362" s="35">
        <v>21.28</v>
      </c>
      <c r="C362" s="32">
        <v>21.28</v>
      </c>
      <c r="D362" s="32">
        <v>21.28</v>
      </c>
      <c r="E362" s="32">
        <v>21.28</v>
      </c>
      <c r="F362" s="32">
        <v>21.28</v>
      </c>
      <c r="G362" s="32">
        <v>21.28</v>
      </c>
      <c r="H362" s="32">
        <v>21.28</v>
      </c>
      <c r="I362" s="32">
        <v>21.28</v>
      </c>
      <c r="J362" s="32">
        <v>21.28</v>
      </c>
      <c r="K362" s="32">
        <v>21.28</v>
      </c>
      <c r="L362" s="32">
        <v>21.28</v>
      </c>
      <c r="M362" s="23">
        <v>104</v>
      </c>
      <c r="N362" s="23">
        <v>0.6</v>
      </c>
      <c r="O362" s="24">
        <v>2.1930999999999998</v>
      </c>
    </row>
    <row r="363" spans="1:15" x14ac:dyDescent="0.25">
      <c r="A363" s="18" t="s">
        <v>357</v>
      </c>
      <c r="B363" s="35">
        <v>29.28</v>
      </c>
      <c r="C363" s="32">
        <v>29.28</v>
      </c>
      <c r="D363" s="32">
        <v>29.28</v>
      </c>
      <c r="E363" s="32">
        <v>29.28</v>
      </c>
      <c r="F363" s="32">
        <v>29.28</v>
      </c>
      <c r="G363" s="32">
        <v>29.28</v>
      </c>
      <c r="H363" s="32">
        <v>29.28</v>
      </c>
      <c r="I363" s="32">
        <v>29.28</v>
      </c>
      <c r="J363" s="32">
        <v>29.28</v>
      </c>
      <c r="K363" s="32">
        <v>29.28</v>
      </c>
      <c r="L363" s="32">
        <v>29.28</v>
      </c>
      <c r="M363" s="23">
        <v>108</v>
      </c>
      <c r="N363" s="23">
        <v>9.6</v>
      </c>
      <c r="O363" s="24">
        <v>2.2275999999999998</v>
      </c>
    </row>
    <row r="364" spans="1:15" x14ac:dyDescent="0.25">
      <c r="A364" s="18" t="s">
        <v>358</v>
      </c>
      <c r="B364" s="35">
        <v>28.32</v>
      </c>
      <c r="C364" s="32">
        <v>27.92</v>
      </c>
      <c r="D364" s="32">
        <v>28.32</v>
      </c>
      <c r="E364" s="32">
        <v>27.92</v>
      </c>
      <c r="F364" s="32">
        <v>28.32</v>
      </c>
      <c r="G364" s="32">
        <v>28.28</v>
      </c>
      <c r="H364" s="32">
        <v>28.32</v>
      </c>
      <c r="I364" s="32">
        <v>27.64</v>
      </c>
      <c r="J364" s="32">
        <v>28.16</v>
      </c>
      <c r="K364" s="32">
        <v>27.92</v>
      </c>
      <c r="L364" s="32">
        <v>27.64</v>
      </c>
      <c r="M364" s="23">
        <v>103</v>
      </c>
      <c r="N364" s="23">
        <v>8.8000000000000007</v>
      </c>
      <c r="O364" s="24">
        <v>1.9497</v>
      </c>
    </row>
    <row r="365" spans="1:15" x14ac:dyDescent="0.25">
      <c r="A365" s="18" t="s">
        <v>359</v>
      </c>
      <c r="B365" s="35">
        <v>20.64</v>
      </c>
      <c r="C365" s="32">
        <v>20.64</v>
      </c>
      <c r="D365" s="32">
        <v>20.64</v>
      </c>
      <c r="E365" s="32">
        <v>20.64</v>
      </c>
      <c r="F365" s="32">
        <v>20.64</v>
      </c>
      <c r="G365" s="32">
        <v>20.64</v>
      </c>
      <c r="H365" s="32">
        <v>20.64</v>
      </c>
      <c r="I365" s="32">
        <v>20.64</v>
      </c>
      <c r="J365" s="32">
        <v>20.64</v>
      </c>
      <c r="K365" s="32">
        <v>20.64</v>
      </c>
      <c r="L365" s="32">
        <v>20.64</v>
      </c>
      <c r="M365" s="23">
        <v>96</v>
      </c>
      <c r="N365" s="23">
        <v>1.8</v>
      </c>
      <c r="O365" s="24">
        <v>2.0312999999999999</v>
      </c>
    </row>
    <row r="366" spans="1:15" x14ac:dyDescent="0.25">
      <c r="A366" s="18" t="s">
        <v>360</v>
      </c>
      <c r="B366" s="35">
        <v>23.56</v>
      </c>
      <c r="C366" s="32">
        <v>23.52</v>
      </c>
      <c r="D366" s="32">
        <v>23.72</v>
      </c>
      <c r="E366" s="32">
        <v>23.52</v>
      </c>
      <c r="F366" s="32">
        <v>24.08</v>
      </c>
      <c r="G366" s="32">
        <v>24.12</v>
      </c>
      <c r="H366" s="32">
        <v>24.32</v>
      </c>
      <c r="I366" s="32">
        <v>23.72</v>
      </c>
      <c r="J366" s="32">
        <v>23.72</v>
      </c>
      <c r="K366" s="32">
        <v>23.56</v>
      </c>
      <c r="L366" s="32">
        <v>23.52</v>
      </c>
      <c r="M366" s="23">
        <v>104</v>
      </c>
      <c r="N366" s="23">
        <v>3.4</v>
      </c>
      <c r="O366" s="24">
        <v>2.0638999999999998</v>
      </c>
    </row>
    <row r="367" spans="1:15" x14ac:dyDescent="0.25">
      <c r="A367" s="18" t="s">
        <v>361</v>
      </c>
      <c r="B367" s="35">
        <v>21.32</v>
      </c>
      <c r="C367" s="32">
        <v>21.48</v>
      </c>
      <c r="D367" s="32">
        <v>21.48</v>
      </c>
      <c r="E367" s="32">
        <v>21.88</v>
      </c>
      <c r="F367" s="32">
        <v>21.48</v>
      </c>
      <c r="G367" s="32">
        <v>21.84</v>
      </c>
      <c r="H367" s="32">
        <v>21.56</v>
      </c>
      <c r="I367" s="32">
        <v>21.4</v>
      </c>
      <c r="J367" s="32">
        <v>21.64</v>
      </c>
      <c r="K367" s="32">
        <v>21.68</v>
      </c>
      <c r="L367" s="32">
        <v>21.32</v>
      </c>
      <c r="M367" s="23">
        <v>101</v>
      </c>
      <c r="N367" s="23">
        <v>1.4</v>
      </c>
      <c r="O367" s="24">
        <v>1.9438</v>
      </c>
    </row>
    <row r="368" spans="1:15" x14ac:dyDescent="0.25">
      <c r="A368" s="18" t="s">
        <v>362</v>
      </c>
      <c r="B368" s="35">
        <v>24.32</v>
      </c>
      <c r="C368" s="32">
        <v>24.08</v>
      </c>
      <c r="D368" s="32">
        <v>24.32</v>
      </c>
      <c r="E368" s="32">
        <v>24.32</v>
      </c>
      <c r="F368" s="32">
        <v>24.04</v>
      </c>
      <c r="G368" s="32">
        <v>24</v>
      </c>
      <c r="H368" s="32">
        <v>23.92</v>
      </c>
      <c r="I368" s="32">
        <v>23.96</v>
      </c>
      <c r="J368" s="32">
        <v>24.32</v>
      </c>
      <c r="K368" s="32">
        <v>24.32</v>
      </c>
      <c r="L368" s="32">
        <v>23.92</v>
      </c>
      <c r="M368" s="23">
        <v>102</v>
      </c>
      <c r="N368" s="23">
        <v>4.4000000000000004</v>
      </c>
      <c r="O368" s="24">
        <v>2.0350999999999999</v>
      </c>
    </row>
    <row r="369" spans="1:15" x14ac:dyDescent="0.25">
      <c r="A369" s="18" t="s">
        <v>363</v>
      </c>
      <c r="B369" s="35">
        <v>23.88</v>
      </c>
      <c r="C369" s="32">
        <v>23.92</v>
      </c>
      <c r="D369" s="32">
        <v>23.92</v>
      </c>
      <c r="E369" s="32">
        <v>23.92</v>
      </c>
      <c r="F369" s="32">
        <v>23.92</v>
      </c>
      <c r="G369" s="32">
        <v>23.92</v>
      </c>
      <c r="H369" s="32">
        <v>23.84</v>
      </c>
      <c r="I369" s="32">
        <v>23.92</v>
      </c>
      <c r="J369" s="32">
        <v>23.92</v>
      </c>
      <c r="K369" s="32">
        <v>23.92</v>
      </c>
      <c r="L369" s="32">
        <v>23.84</v>
      </c>
      <c r="M369" s="23">
        <v>108</v>
      </c>
      <c r="N369" s="23">
        <v>2.8</v>
      </c>
      <c r="O369" s="24">
        <v>2.1589999999999998</v>
      </c>
    </row>
    <row r="370" spans="1:15" x14ac:dyDescent="0.25">
      <c r="A370" s="18" t="s">
        <v>364</v>
      </c>
      <c r="B370" s="35">
        <v>29.4</v>
      </c>
      <c r="C370" s="32">
        <v>30.6</v>
      </c>
      <c r="D370" s="32">
        <v>30.84</v>
      </c>
      <c r="E370" s="32">
        <v>30.6</v>
      </c>
      <c r="F370" s="32">
        <v>29.96</v>
      </c>
      <c r="G370" s="32">
        <v>30.92</v>
      </c>
      <c r="H370" s="32">
        <v>30.64</v>
      </c>
      <c r="I370" s="32">
        <v>31</v>
      </c>
      <c r="J370" s="32">
        <v>30.84</v>
      </c>
      <c r="K370" s="32">
        <v>29.64</v>
      </c>
      <c r="L370" s="32">
        <v>29.4</v>
      </c>
      <c r="M370" s="23">
        <v>107</v>
      </c>
      <c r="N370" s="23">
        <v>10</v>
      </c>
      <c r="O370" s="24">
        <v>2.1465000000000001</v>
      </c>
    </row>
    <row r="371" spans="1:15" x14ac:dyDescent="0.25">
      <c r="A371" s="18" t="s">
        <v>365</v>
      </c>
      <c r="B371" s="35">
        <v>20.92</v>
      </c>
      <c r="C371" s="32">
        <v>21.12</v>
      </c>
      <c r="D371" s="32">
        <v>21.08</v>
      </c>
      <c r="E371" s="32">
        <v>20.72</v>
      </c>
      <c r="F371" s="32">
        <v>20.92</v>
      </c>
      <c r="G371" s="32">
        <v>21.12</v>
      </c>
      <c r="H371" s="32">
        <v>21.08</v>
      </c>
      <c r="I371" s="32">
        <v>20.84</v>
      </c>
      <c r="J371" s="32">
        <v>21.08</v>
      </c>
      <c r="K371" s="32">
        <v>21.12</v>
      </c>
      <c r="L371" s="32">
        <v>20.72</v>
      </c>
      <c r="M371" s="23">
        <v>102</v>
      </c>
      <c r="N371" s="23">
        <v>0.4</v>
      </c>
      <c r="O371" s="24">
        <v>1.9742999999999999</v>
      </c>
    </row>
    <row r="372" spans="1:15" x14ac:dyDescent="0.25">
      <c r="A372" s="18" t="s">
        <v>366</v>
      </c>
      <c r="B372" s="35">
        <v>23.4</v>
      </c>
      <c r="C372" s="32">
        <v>23.44</v>
      </c>
      <c r="D372" s="32">
        <v>23.56</v>
      </c>
      <c r="E372" s="32">
        <v>23.4</v>
      </c>
      <c r="F372" s="32">
        <v>23.6</v>
      </c>
      <c r="G372" s="32">
        <v>23.2</v>
      </c>
      <c r="H372" s="32">
        <v>23.6</v>
      </c>
      <c r="I372" s="32">
        <v>23.4</v>
      </c>
      <c r="J372" s="32">
        <v>23.4</v>
      </c>
      <c r="K372" s="32">
        <v>23.6</v>
      </c>
      <c r="L372" s="32">
        <v>23.2</v>
      </c>
      <c r="M372" s="23">
        <v>108</v>
      </c>
      <c r="N372" s="23">
        <v>2</v>
      </c>
      <c r="O372" s="24">
        <v>2.129</v>
      </c>
    </row>
    <row r="373" spans="1:15" x14ac:dyDescent="0.25">
      <c r="A373" s="18" t="s">
        <v>367</v>
      </c>
      <c r="B373" s="35">
        <v>24.64</v>
      </c>
      <c r="C373" s="32">
        <v>24.64</v>
      </c>
      <c r="D373" s="32">
        <v>24.64</v>
      </c>
      <c r="E373" s="32">
        <v>24.64</v>
      </c>
      <c r="F373" s="32">
        <v>24.64</v>
      </c>
      <c r="G373" s="32">
        <v>24.64</v>
      </c>
      <c r="H373" s="32">
        <v>24.64</v>
      </c>
      <c r="I373" s="32">
        <v>24.64</v>
      </c>
      <c r="J373" s="32">
        <v>24.52</v>
      </c>
      <c r="K373" s="32">
        <v>24.64</v>
      </c>
      <c r="L373" s="32">
        <v>24.52</v>
      </c>
      <c r="M373" s="23">
        <v>105</v>
      </c>
      <c r="N373" s="23">
        <v>4.4000000000000004</v>
      </c>
      <c r="O373" s="24">
        <v>2.2538</v>
      </c>
    </row>
    <row r="374" spans="1:15" x14ac:dyDescent="0.25">
      <c r="A374" s="18" t="s">
        <v>368</v>
      </c>
      <c r="B374" s="35">
        <v>28.2</v>
      </c>
      <c r="C374" s="32">
        <v>27.56</v>
      </c>
      <c r="D374" s="32">
        <v>27.2</v>
      </c>
      <c r="E374" s="32">
        <v>27.52</v>
      </c>
      <c r="F374" s="32">
        <v>27.8</v>
      </c>
      <c r="G374" s="32">
        <v>27.16</v>
      </c>
      <c r="H374" s="32">
        <v>27.64</v>
      </c>
      <c r="I374" s="32">
        <v>27.32</v>
      </c>
      <c r="J374" s="32">
        <v>27.16</v>
      </c>
      <c r="K374" s="32">
        <v>27.4</v>
      </c>
      <c r="L374" s="32">
        <v>27.16</v>
      </c>
      <c r="M374" s="23">
        <v>103</v>
      </c>
      <c r="N374" s="23">
        <v>8.1999999999999993</v>
      </c>
      <c r="O374" s="24">
        <v>2.0213999999999999</v>
      </c>
    </row>
    <row r="375" spans="1:15" x14ac:dyDescent="0.25">
      <c r="A375" s="18" t="s">
        <v>369</v>
      </c>
      <c r="B375" s="35">
        <v>22.68</v>
      </c>
      <c r="C375" s="32">
        <v>22.52</v>
      </c>
      <c r="D375" s="32">
        <v>22.68</v>
      </c>
      <c r="E375" s="32">
        <v>22.24</v>
      </c>
      <c r="F375" s="32">
        <v>22.68</v>
      </c>
      <c r="G375" s="32">
        <v>22.68</v>
      </c>
      <c r="H375" s="32">
        <v>22.68</v>
      </c>
      <c r="I375" s="32">
        <v>22.68</v>
      </c>
      <c r="J375" s="32">
        <v>22.68</v>
      </c>
      <c r="K375" s="32">
        <v>22.68</v>
      </c>
      <c r="L375" s="32">
        <v>22.24</v>
      </c>
      <c r="M375" s="23">
        <v>96</v>
      </c>
      <c r="N375" s="23">
        <v>3.8</v>
      </c>
      <c r="O375" s="24">
        <v>1.8849</v>
      </c>
    </row>
    <row r="376" spans="1:15" x14ac:dyDescent="0.25">
      <c r="A376" s="18" t="s">
        <v>370</v>
      </c>
      <c r="B376" s="35">
        <v>21</v>
      </c>
      <c r="C376" s="32">
        <v>21</v>
      </c>
      <c r="D376" s="32">
        <v>21</v>
      </c>
      <c r="E376" s="32">
        <v>21</v>
      </c>
      <c r="F376" s="32">
        <v>21</v>
      </c>
      <c r="G376" s="32">
        <v>21</v>
      </c>
      <c r="H376" s="32">
        <v>21</v>
      </c>
      <c r="I376" s="32">
        <v>21</v>
      </c>
      <c r="J376" s="32">
        <v>21</v>
      </c>
      <c r="K376" s="32">
        <v>21</v>
      </c>
      <c r="L376" s="32">
        <v>21</v>
      </c>
      <c r="M376" s="23">
        <v>97</v>
      </c>
      <c r="N376" s="23">
        <v>2</v>
      </c>
      <c r="O376" s="24">
        <v>1.9998</v>
      </c>
    </row>
    <row r="377" spans="1:15" x14ac:dyDescent="0.25">
      <c r="A377" s="18" t="s">
        <v>371</v>
      </c>
      <c r="B377" s="35">
        <v>22.56</v>
      </c>
      <c r="C377" s="32">
        <v>23.24</v>
      </c>
      <c r="D377" s="32">
        <v>23.24</v>
      </c>
      <c r="E377" s="32">
        <v>22.48</v>
      </c>
      <c r="F377" s="32">
        <v>21.88</v>
      </c>
      <c r="G377" s="32">
        <v>23.24</v>
      </c>
      <c r="H377" s="32">
        <v>23.24</v>
      </c>
      <c r="I377" s="32">
        <v>22.64</v>
      </c>
      <c r="J377" s="32">
        <v>22.72</v>
      </c>
      <c r="K377" s="32">
        <v>22.56</v>
      </c>
      <c r="L377" s="32">
        <v>21.88</v>
      </c>
      <c r="M377" s="23">
        <v>103</v>
      </c>
      <c r="N377" s="23">
        <v>1.6</v>
      </c>
      <c r="O377" s="24">
        <v>2.0042</v>
      </c>
    </row>
    <row r="378" spans="1:15" x14ac:dyDescent="0.25">
      <c r="A378" s="18" t="s">
        <v>372</v>
      </c>
      <c r="B378" s="35">
        <v>21.04</v>
      </c>
      <c r="C378" s="32">
        <v>21.04</v>
      </c>
      <c r="D378" s="32">
        <v>21.04</v>
      </c>
      <c r="E378" s="32">
        <v>21.04</v>
      </c>
      <c r="F378" s="32">
        <v>21.04</v>
      </c>
      <c r="G378" s="32">
        <v>21.04</v>
      </c>
      <c r="H378" s="32">
        <v>21.04</v>
      </c>
      <c r="I378" s="32">
        <v>21.04</v>
      </c>
      <c r="J378" s="32">
        <v>21.04</v>
      </c>
      <c r="K378" s="32">
        <v>21.04</v>
      </c>
      <c r="L378" s="32">
        <v>21.04</v>
      </c>
      <c r="M378" s="23">
        <v>102</v>
      </c>
      <c r="N378" s="23">
        <v>0.8</v>
      </c>
      <c r="O378" s="24">
        <v>2.0358000000000001</v>
      </c>
    </row>
    <row r="379" spans="1:15" x14ac:dyDescent="0.25">
      <c r="A379" s="18" t="s">
        <v>373</v>
      </c>
      <c r="B379" s="35">
        <v>22.72</v>
      </c>
      <c r="C379" s="32">
        <v>22.72</v>
      </c>
      <c r="D379" s="32">
        <v>22.72</v>
      </c>
      <c r="E379" s="32">
        <v>22.72</v>
      </c>
      <c r="F379" s="32">
        <v>22.72</v>
      </c>
      <c r="G379" s="32">
        <v>22.72</v>
      </c>
      <c r="H379" s="32">
        <v>22.72</v>
      </c>
      <c r="I379" s="32">
        <v>22.72</v>
      </c>
      <c r="J379" s="32">
        <v>22.72</v>
      </c>
      <c r="K379" s="32">
        <v>22.72</v>
      </c>
      <c r="L379" s="32">
        <v>22.72</v>
      </c>
      <c r="M379" s="23">
        <v>104</v>
      </c>
      <c r="N379" s="23">
        <v>2.4</v>
      </c>
      <c r="O379" s="24">
        <v>2.1366999999999998</v>
      </c>
    </row>
    <row r="380" spans="1:15" x14ac:dyDescent="0.25">
      <c r="A380" s="18" t="s">
        <v>374</v>
      </c>
      <c r="B380" s="35">
        <v>24.36</v>
      </c>
      <c r="C380" s="32">
        <v>24.36</v>
      </c>
      <c r="D380" s="32">
        <v>24.36</v>
      </c>
      <c r="E380" s="32">
        <v>24.36</v>
      </c>
      <c r="F380" s="32">
        <v>24.32</v>
      </c>
      <c r="G380" s="32">
        <v>24.36</v>
      </c>
      <c r="H380" s="32">
        <v>24.36</v>
      </c>
      <c r="I380" s="32">
        <v>24.36</v>
      </c>
      <c r="J380" s="32">
        <v>24.36</v>
      </c>
      <c r="K380" s="32">
        <v>24.2</v>
      </c>
      <c r="L380" s="32">
        <v>24.2</v>
      </c>
      <c r="M380" s="23">
        <v>109</v>
      </c>
      <c r="N380" s="23">
        <v>3</v>
      </c>
      <c r="O380" s="24">
        <v>2.1101000000000001</v>
      </c>
    </row>
    <row r="381" spans="1:15" x14ac:dyDescent="0.25">
      <c r="A381" s="18" t="s">
        <v>375</v>
      </c>
      <c r="B381" s="35">
        <v>26.76</v>
      </c>
      <c r="C381" s="32">
        <v>26.76</v>
      </c>
      <c r="D381" s="32">
        <v>26.76</v>
      </c>
      <c r="E381" s="32">
        <v>26.76</v>
      </c>
      <c r="F381" s="32">
        <v>26.76</v>
      </c>
      <c r="G381" s="32">
        <v>26.76</v>
      </c>
      <c r="H381" s="32">
        <v>26.76</v>
      </c>
      <c r="I381" s="32">
        <v>25.84</v>
      </c>
      <c r="J381" s="32">
        <v>26.76</v>
      </c>
      <c r="K381" s="32">
        <v>26.76</v>
      </c>
      <c r="L381" s="32">
        <v>25.84</v>
      </c>
      <c r="M381" s="23">
        <v>102</v>
      </c>
      <c r="N381" s="23">
        <v>6.8</v>
      </c>
      <c r="O381" s="24">
        <v>2.0703</v>
      </c>
    </row>
    <row r="382" spans="1:15" x14ac:dyDescent="0.25">
      <c r="A382" s="18" t="s">
        <v>376</v>
      </c>
      <c r="B382" s="35">
        <v>26.4</v>
      </c>
      <c r="C382" s="32">
        <v>26.2</v>
      </c>
      <c r="D382" s="32">
        <v>25.08</v>
      </c>
      <c r="E382" s="32">
        <v>26.4</v>
      </c>
      <c r="F382" s="32">
        <v>26.4</v>
      </c>
      <c r="G382" s="32">
        <v>26.24</v>
      </c>
      <c r="H382" s="32">
        <v>26.36</v>
      </c>
      <c r="I382" s="32">
        <v>26.4</v>
      </c>
      <c r="J382" s="32">
        <v>26.4</v>
      </c>
      <c r="K382" s="32">
        <v>25.88</v>
      </c>
      <c r="L382" s="32">
        <v>25.08</v>
      </c>
      <c r="M382" s="23">
        <v>91</v>
      </c>
      <c r="N382" s="23">
        <v>8.6</v>
      </c>
      <c r="O382" s="24">
        <v>1.9145000000000001</v>
      </c>
    </row>
    <row r="383" spans="1:15" x14ac:dyDescent="0.25">
      <c r="A383" s="18" t="s">
        <v>377</v>
      </c>
      <c r="B383" s="35">
        <v>30.56</v>
      </c>
      <c r="C383" s="32">
        <v>29.84</v>
      </c>
      <c r="D383" s="32">
        <v>30.6</v>
      </c>
      <c r="E383" s="32">
        <v>30.84</v>
      </c>
      <c r="F383" s="32">
        <v>29.68</v>
      </c>
      <c r="G383" s="32">
        <v>29.84</v>
      </c>
      <c r="H383" s="32">
        <v>30.84</v>
      </c>
      <c r="I383" s="32">
        <v>30.84</v>
      </c>
      <c r="J383" s="32">
        <v>30.84</v>
      </c>
      <c r="K383" s="32">
        <v>30.48</v>
      </c>
      <c r="L383" s="32">
        <v>29.68</v>
      </c>
      <c r="M383" s="23">
        <v>102</v>
      </c>
      <c r="N383" s="23">
        <v>11.6</v>
      </c>
      <c r="O383" s="24">
        <v>2.0762</v>
      </c>
    </row>
    <row r="384" spans="1:15" x14ac:dyDescent="0.25">
      <c r="A384" s="18" t="s">
        <v>378</v>
      </c>
      <c r="B384" s="35">
        <v>23.28</v>
      </c>
      <c r="C384" s="32">
        <v>23.2</v>
      </c>
      <c r="D384" s="32">
        <v>23.32</v>
      </c>
      <c r="E384" s="32">
        <v>23.28</v>
      </c>
      <c r="F384" s="32">
        <v>23</v>
      </c>
      <c r="G384" s="32">
        <v>23.24</v>
      </c>
      <c r="H384" s="32">
        <v>23.2</v>
      </c>
      <c r="I384" s="32">
        <v>23.2</v>
      </c>
      <c r="J384" s="32">
        <v>22.92</v>
      </c>
      <c r="K384" s="32">
        <v>23.32</v>
      </c>
      <c r="L384" s="32">
        <v>22.92</v>
      </c>
      <c r="M384" s="23">
        <v>101</v>
      </c>
      <c r="N384" s="23">
        <v>3.4</v>
      </c>
      <c r="O384" s="24">
        <v>2.0486</v>
      </c>
    </row>
    <row r="385" spans="1:15" x14ac:dyDescent="0.25">
      <c r="A385" s="18" t="s">
        <v>379</v>
      </c>
      <c r="B385" s="35">
        <v>22.8</v>
      </c>
      <c r="C385" s="32">
        <v>22.44</v>
      </c>
      <c r="D385" s="32">
        <v>22.76</v>
      </c>
      <c r="E385" s="32">
        <v>22.6</v>
      </c>
      <c r="F385" s="32">
        <v>22.92</v>
      </c>
      <c r="G385" s="32">
        <v>22.6</v>
      </c>
      <c r="H385" s="32">
        <v>23</v>
      </c>
      <c r="I385" s="32">
        <v>22.8</v>
      </c>
      <c r="J385" s="32">
        <v>23</v>
      </c>
      <c r="K385" s="32">
        <v>22.76</v>
      </c>
      <c r="L385" s="32">
        <v>22.44</v>
      </c>
      <c r="M385" s="23">
        <v>105</v>
      </c>
      <c r="N385" s="23">
        <v>1.8</v>
      </c>
      <c r="O385" s="24">
        <v>2.1257999999999999</v>
      </c>
    </row>
    <row r="386" spans="1:15" x14ac:dyDescent="0.25">
      <c r="A386" s="18" t="s">
        <v>380</v>
      </c>
      <c r="B386" s="35">
        <v>22.64</v>
      </c>
      <c r="C386" s="32">
        <v>22.76</v>
      </c>
      <c r="D386" s="32">
        <v>22.76</v>
      </c>
      <c r="E386" s="32">
        <v>22.76</v>
      </c>
      <c r="F386" s="32">
        <v>22.76</v>
      </c>
      <c r="G386" s="32">
        <v>23</v>
      </c>
      <c r="H386" s="32">
        <v>22.96</v>
      </c>
      <c r="I386" s="32">
        <v>22.6</v>
      </c>
      <c r="J386" s="32">
        <v>22.64</v>
      </c>
      <c r="K386" s="32">
        <v>22.88</v>
      </c>
      <c r="L386" s="32">
        <v>22.6</v>
      </c>
      <c r="M386" s="23">
        <v>105</v>
      </c>
      <c r="N386" s="23">
        <v>2</v>
      </c>
      <c r="O386" s="24">
        <v>2.2881</v>
      </c>
    </row>
    <row r="387" spans="1:15" x14ac:dyDescent="0.25">
      <c r="A387" s="18" t="s">
        <v>381</v>
      </c>
      <c r="B387" s="35">
        <v>26.84</v>
      </c>
      <c r="C387" s="32">
        <v>26.84</v>
      </c>
      <c r="D387" s="32">
        <v>26.84</v>
      </c>
      <c r="E387" s="32">
        <v>26.84</v>
      </c>
      <c r="F387" s="32">
        <v>26.84</v>
      </c>
      <c r="G387" s="32">
        <v>26.84</v>
      </c>
      <c r="H387" s="32">
        <v>26.84</v>
      </c>
      <c r="I387" s="32">
        <v>26.84</v>
      </c>
      <c r="J387" s="32">
        <v>26.84</v>
      </c>
      <c r="K387" s="32">
        <v>26.84</v>
      </c>
      <c r="L387" s="32">
        <v>26.84</v>
      </c>
      <c r="M387" s="23">
        <v>99</v>
      </c>
      <c r="N387" s="23">
        <v>8.8000000000000007</v>
      </c>
      <c r="O387" s="24">
        <v>2.0367999999999999</v>
      </c>
    </row>
    <row r="388" spans="1:15" x14ac:dyDescent="0.25">
      <c r="A388" s="18" t="s">
        <v>382</v>
      </c>
      <c r="B388" s="35">
        <v>28.32</v>
      </c>
      <c r="C388" s="32">
        <v>28.32</v>
      </c>
      <c r="D388" s="32">
        <v>28.32</v>
      </c>
      <c r="E388" s="32">
        <v>28.32</v>
      </c>
      <c r="F388" s="32">
        <v>28.12</v>
      </c>
      <c r="G388" s="32">
        <v>28.32</v>
      </c>
      <c r="H388" s="32">
        <v>28.32</v>
      </c>
      <c r="I388" s="32">
        <v>28.32</v>
      </c>
      <c r="J388" s="32">
        <v>28.32</v>
      </c>
      <c r="K388" s="32">
        <v>28.32</v>
      </c>
      <c r="L388" s="32">
        <v>28.12</v>
      </c>
      <c r="M388" s="23">
        <v>115</v>
      </c>
      <c r="N388" s="23">
        <v>6.4</v>
      </c>
      <c r="O388" s="24">
        <v>2.3258000000000001</v>
      </c>
    </row>
    <row r="389" spans="1:15" x14ac:dyDescent="0.25">
      <c r="A389" s="18" t="s">
        <v>383</v>
      </c>
      <c r="B389" s="35">
        <v>26.6</v>
      </c>
      <c r="C389" s="32">
        <v>26.36</v>
      </c>
      <c r="D389" s="32">
        <v>26.72</v>
      </c>
      <c r="E389" s="32">
        <v>26.72</v>
      </c>
      <c r="F389" s="32">
        <v>26.08</v>
      </c>
      <c r="G389" s="32">
        <v>25.96</v>
      </c>
      <c r="H389" s="32">
        <v>26.72</v>
      </c>
      <c r="I389" s="32">
        <v>26.28</v>
      </c>
      <c r="J389" s="32">
        <v>26.72</v>
      </c>
      <c r="K389" s="32">
        <v>26.32</v>
      </c>
      <c r="L389" s="32">
        <v>25.96</v>
      </c>
      <c r="M389" s="23">
        <v>105</v>
      </c>
      <c r="N389" s="23">
        <v>6.2</v>
      </c>
      <c r="O389" s="24">
        <v>2.0687000000000002</v>
      </c>
    </row>
    <row r="390" spans="1:15" x14ac:dyDescent="0.25">
      <c r="A390" s="18" t="s">
        <v>384</v>
      </c>
      <c r="B390" s="35">
        <v>20.68</v>
      </c>
      <c r="C390" s="32">
        <v>20.72</v>
      </c>
      <c r="D390" s="32">
        <v>20.68</v>
      </c>
      <c r="E390" s="32">
        <v>20.2</v>
      </c>
      <c r="F390" s="32">
        <v>20.84</v>
      </c>
      <c r="G390" s="32">
        <v>20.84</v>
      </c>
      <c r="H390" s="32">
        <v>20.68</v>
      </c>
      <c r="I390" s="32">
        <v>20.68</v>
      </c>
      <c r="J390" s="32">
        <v>20.84</v>
      </c>
      <c r="K390" s="32">
        <v>20.68</v>
      </c>
      <c r="L390" s="32">
        <v>20.2</v>
      </c>
      <c r="M390" s="23">
        <v>89</v>
      </c>
      <c r="N390" s="23">
        <v>3</v>
      </c>
      <c r="O390" s="24">
        <v>1.8395999999999999</v>
      </c>
    </row>
    <row r="391" spans="1:15" x14ac:dyDescent="0.25">
      <c r="A391" s="18" t="s">
        <v>385</v>
      </c>
      <c r="B391" s="35">
        <v>22.6</v>
      </c>
      <c r="C391" s="32">
        <v>22.92</v>
      </c>
      <c r="D391" s="32">
        <v>22.56</v>
      </c>
      <c r="E391" s="32">
        <v>22.84</v>
      </c>
      <c r="F391" s="32">
        <v>22.64</v>
      </c>
      <c r="G391" s="32">
        <v>22.88</v>
      </c>
      <c r="H391" s="32">
        <v>22.56</v>
      </c>
      <c r="I391" s="32">
        <v>22.56</v>
      </c>
      <c r="J391" s="32">
        <v>22.76</v>
      </c>
      <c r="K391" s="32">
        <v>22.92</v>
      </c>
      <c r="L391" s="32">
        <v>22.56</v>
      </c>
      <c r="M391" s="23">
        <v>100</v>
      </c>
      <c r="N391" s="23">
        <v>3.2</v>
      </c>
      <c r="O391" s="24">
        <v>2.0127000000000002</v>
      </c>
    </row>
    <row r="392" spans="1:15" x14ac:dyDescent="0.25">
      <c r="A392" s="18" t="s">
        <v>386</v>
      </c>
      <c r="B392" s="35">
        <v>24.04</v>
      </c>
      <c r="C392" s="32">
        <v>23.72</v>
      </c>
      <c r="D392" s="32">
        <v>23.88</v>
      </c>
      <c r="E392" s="32">
        <v>23.88</v>
      </c>
      <c r="F392" s="32">
        <v>23.48</v>
      </c>
      <c r="G392" s="32">
        <v>23.88</v>
      </c>
      <c r="H392" s="32">
        <v>23.64</v>
      </c>
      <c r="I392" s="32">
        <v>24.04</v>
      </c>
      <c r="J392" s="32">
        <v>23.32</v>
      </c>
      <c r="K392" s="32">
        <v>24</v>
      </c>
      <c r="L392" s="32">
        <v>23.32</v>
      </c>
      <c r="M392" s="23">
        <v>95</v>
      </c>
      <c r="N392" s="23">
        <v>5.4</v>
      </c>
      <c r="O392" s="24">
        <v>1.8605</v>
      </c>
    </row>
    <row r="393" spans="1:15" x14ac:dyDescent="0.25">
      <c r="A393" s="18" t="s">
        <v>387</v>
      </c>
      <c r="B393" s="35">
        <v>22.44</v>
      </c>
      <c r="C393" s="32">
        <v>23.2</v>
      </c>
      <c r="D393" s="32">
        <v>22.84</v>
      </c>
      <c r="E393" s="32">
        <v>22.6</v>
      </c>
      <c r="F393" s="32">
        <v>22.76</v>
      </c>
      <c r="G393" s="32">
        <v>22.64</v>
      </c>
      <c r="H393" s="32">
        <v>22.84</v>
      </c>
      <c r="I393" s="32">
        <v>23</v>
      </c>
      <c r="J393" s="32">
        <v>22.96</v>
      </c>
      <c r="K393" s="32">
        <v>22.92</v>
      </c>
      <c r="L393" s="32">
        <v>22.44</v>
      </c>
      <c r="M393" s="23">
        <v>101</v>
      </c>
      <c r="N393" s="23">
        <v>2.8</v>
      </c>
      <c r="O393" s="24">
        <v>1.9946999999999999</v>
      </c>
    </row>
    <row r="394" spans="1:15" x14ac:dyDescent="0.25">
      <c r="A394" s="18" t="s">
        <v>388</v>
      </c>
      <c r="B394" s="35">
        <v>20.56</v>
      </c>
      <c r="C394" s="32">
        <v>20.56</v>
      </c>
      <c r="D394" s="32">
        <v>20.56</v>
      </c>
      <c r="E394" s="32">
        <v>20.56</v>
      </c>
      <c r="F394" s="32">
        <v>20.56</v>
      </c>
      <c r="G394" s="32">
        <v>20.16</v>
      </c>
      <c r="H394" s="32">
        <v>20.56</v>
      </c>
      <c r="I394" s="32">
        <v>20.36</v>
      </c>
      <c r="J394" s="32">
        <v>20.56</v>
      </c>
      <c r="K394" s="32">
        <v>20.52</v>
      </c>
      <c r="L394" s="32">
        <v>20.16</v>
      </c>
      <c r="M394" s="23">
        <v>100</v>
      </c>
      <c r="N394" s="23">
        <v>0.2</v>
      </c>
      <c r="O394" s="24">
        <v>2.0224000000000002</v>
      </c>
    </row>
    <row r="395" spans="1:15" x14ac:dyDescent="0.25">
      <c r="A395" s="18" t="s">
        <v>389</v>
      </c>
      <c r="B395" s="35">
        <v>21.28</v>
      </c>
      <c r="C395" s="32">
        <v>21.32</v>
      </c>
      <c r="D395" s="32">
        <v>21.32</v>
      </c>
      <c r="E395" s="32">
        <v>21.32</v>
      </c>
      <c r="F395" s="32">
        <v>21.32</v>
      </c>
      <c r="G395" s="32">
        <v>21.32</v>
      </c>
      <c r="H395" s="32">
        <v>21.28</v>
      </c>
      <c r="I395" s="32">
        <v>21.32</v>
      </c>
      <c r="J395" s="32">
        <v>21.32</v>
      </c>
      <c r="K395" s="32">
        <v>21.32</v>
      </c>
      <c r="L395" s="32">
        <v>21.28</v>
      </c>
      <c r="M395" s="23">
        <v>104</v>
      </c>
      <c r="N395" s="23">
        <v>0.6</v>
      </c>
      <c r="O395" s="24">
        <v>2.1318999999999999</v>
      </c>
    </row>
    <row r="396" spans="1:15" x14ac:dyDescent="0.25">
      <c r="A396" s="18" t="s">
        <v>390</v>
      </c>
      <c r="B396" s="35">
        <v>21.88</v>
      </c>
      <c r="C396" s="32">
        <v>21.84</v>
      </c>
      <c r="D396" s="32">
        <v>21.84</v>
      </c>
      <c r="E396" s="32">
        <v>21.68</v>
      </c>
      <c r="F396" s="32">
        <v>21.72</v>
      </c>
      <c r="G396" s="32">
        <v>21.84</v>
      </c>
      <c r="H396" s="32">
        <v>21.56</v>
      </c>
      <c r="I396" s="32">
        <v>21.68</v>
      </c>
      <c r="J396" s="32">
        <v>21.88</v>
      </c>
      <c r="K396" s="32">
        <v>21.56</v>
      </c>
      <c r="L396" s="32">
        <v>21.56</v>
      </c>
      <c r="M396" s="23">
        <v>107</v>
      </c>
      <c r="N396" s="23">
        <v>0.2</v>
      </c>
      <c r="O396" s="24">
        <v>2.0876000000000001</v>
      </c>
    </row>
    <row r="397" spans="1:15" x14ac:dyDescent="0.25">
      <c r="A397" s="18" t="s">
        <v>391</v>
      </c>
      <c r="B397" s="35">
        <v>21.64</v>
      </c>
      <c r="C397" s="32">
        <v>21.64</v>
      </c>
      <c r="D397" s="32">
        <v>21.6</v>
      </c>
      <c r="E397" s="32">
        <v>21.64</v>
      </c>
      <c r="F397" s="32">
        <v>21.64</v>
      </c>
      <c r="G397" s="32">
        <v>21.64</v>
      </c>
      <c r="H397" s="32">
        <v>21.64</v>
      </c>
      <c r="I397" s="32">
        <v>21.64</v>
      </c>
      <c r="J397" s="32">
        <v>21.64</v>
      </c>
      <c r="K397" s="32">
        <v>21.64</v>
      </c>
      <c r="L397" s="32">
        <v>21.6</v>
      </c>
      <c r="M397" s="23">
        <v>96</v>
      </c>
      <c r="N397" s="23">
        <v>3</v>
      </c>
      <c r="O397" s="24">
        <v>1.9505999999999999</v>
      </c>
    </row>
    <row r="398" spans="1:15" x14ac:dyDescent="0.25">
      <c r="A398" s="18" t="s">
        <v>392</v>
      </c>
      <c r="B398" s="35">
        <v>21.72</v>
      </c>
      <c r="C398" s="32">
        <v>21.72</v>
      </c>
      <c r="D398" s="32">
        <v>21.72</v>
      </c>
      <c r="E398" s="32">
        <v>21.72</v>
      </c>
      <c r="F398" s="32">
        <v>21.72</v>
      </c>
      <c r="G398" s="32">
        <v>21.56</v>
      </c>
      <c r="H398" s="32">
        <v>21.64</v>
      </c>
      <c r="I398" s="32">
        <v>21.72</v>
      </c>
      <c r="J398" s="32">
        <v>21.72</v>
      </c>
      <c r="K398" s="32">
        <v>21.72</v>
      </c>
      <c r="L398" s="32">
        <v>21.56</v>
      </c>
      <c r="M398" s="23">
        <v>95</v>
      </c>
      <c r="N398" s="23">
        <v>3.2</v>
      </c>
      <c r="O398" s="24">
        <v>1.9379</v>
      </c>
    </row>
    <row r="399" spans="1:15" x14ac:dyDescent="0.25">
      <c r="A399" s="18" t="s">
        <v>393</v>
      </c>
      <c r="B399" s="35">
        <v>23.36</v>
      </c>
      <c r="C399" s="32">
        <v>23.32</v>
      </c>
      <c r="D399" s="32">
        <v>23.56</v>
      </c>
      <c r="E399" s="32">
        <v>23.36</v>
      </c>
      <c r="F399" s="32">
        <v>23.32</v>
      </c>
      <c r="G399" s="32">
        <v>23.32</v>
      </c>
      <c r="H399" s="32">
        <v>23.36</v>
      </c>
      <c r="I399" s="32">
        <v>23.16</v>
      </c>
      <c r="J399" s="32">
        <v>23.48</v>
      </c>
      <c r="K399" s="32">
        <v>23.32</v>
      </c>
      <c r="L399" s="32">
        <v>23.16</v>
      </c>
      <c r="M399" s="23">
        <v>99</v>
      </c>
      <c r="N399" s="23">
        <v>4.2</v>
      </c>
      <c r="O399" s="24">
        <v>2.0682</v>
      </c>
    </row>
    <row r="400" spans="1:15" x14ac:dyDescent="0.25">
      <c r="A400" s="18" t="s">
        <v>394</v>
      </c>
      <c r="B400" s="35">
        <v>30.32</v>
      </c>
      <c r="C400" s="32">
        <v>30.56</v>
      </c>
      <c r="D400" s="32">
        <v>30.56</v>
      </c>
      <c r="E400" s="32">
        <v>30.24</v>
      </c>
      <c r="F400" s="32">
        <v>30.56</v>
      </c>
      <c r="G400" s="32">
        <v>30.56</v>
      </c>
      <c r="H400" s="32">
        <v>30.56</v>
      </c>
      <c r="I400" s="32">
        <v>30.56</v>
      </c>
      <c r="J400" s="32">
        <v>30.52</v>
      </c>
      <c r="K400" s="32">
        <v>30.44</v>
      </c>
      <c r="L400" s="32">
        <v>30.24</v>
      </c>
      <c r="M400" s="23">
        <v>104</v>
      </c>
      <c r="N400" s="23">
        <v>11.8</v>
      </c>
      <c r="O400" s="24">
        <v>2.0304000000000002</v>
      </c>
    </row>
    <row r="401" spans="1:15" x14ac:dyDescent="0.25">
      <c r="A401" s="18" t="s">
        <v>395</v>
      </c>
      <c r="B401" s="35">
        <v>27.72</v>
      </c>
      <c r="C401" s="32">
        <v>27.72</v>
      </c>
      <c r="D401" s="32">
        <v>27.56</v>
      </c>
      <c r="E401" s="32">
        <v>27.72</v>
      </c>
      <c r="F401" s="32">
        <v>27.72</v>
      </c>
      <c r="G401" s="32">
        <v>26.72</v>
      </c>
      <c r="H401" s="32">
        <v>27.56</v>
      </c>
      <c r="I401" s="32">
        <v>27.72</v>
      </c>
      <c r="J401" s="32">
        <v>27.72</v>
      </c>
      <c r="K401" s="32">
        <v>27.28</v>
      </c>
      <c r="L401" s="32">
        <v>26.72</v>
      </c>
      <c r="M401" s="23">
        <v>100</v>
      </c>
      <c r="N401" s="23">
        <v>8.4</v>
      </c>
      <c r="O401" s="24">
        <v>2.0110000000000001</v>
      </c>
    </row>
    <row r="402" spans="1:15" x14ac:dyDescent="0.25">
      <c r="A402" s="18" t="s">
        <v>396</v>
      </c>
      <c r="B402" s="35">
        <v>26.12</v>
      </c>
      <c r="C402" s="32">
        <v>26.12</v>
      </c>
      <c r="D402" s="32">
        <v>26.12</v>
      </c>
      <c r="E402" s="32">
        <v>26.12</v>
      </c>
      <c r="F402" s="32">
        <v>26.12</v>
      </c>
      <c r="G402" s="32">
        <v>26.12</v>
      </c>
      <c r="H402" s="32">
        <v>26.12</v>
      </c>
      <c r="I402" s="32">
        <v>26.12</v>
      </c>
      <c r="J402" s="32">
        <v>26.12</v>
      </c>
      <c r="K402" s="32">
        <v>26.12</v>
      </c>
      <c r="L402" s="32">
        <v>26.12</v>
      </c>
      <c r="M402" s="23">
        <v>101</v>
      </c>
      <c r="N402" s="23">
        <v>7.4</v>
      </c>
      <c r="O402" s="24">
        <v>2.0956000000000001</v>
      </c>
    </row>
    <row r="403" spans="1:15" x14ac:dyDescent="0.25">
      <c r="A403" s="18" t="s">
        <v>397</v>
      </c>
      <c r="B403" s="35">
        <v>29.88</v>
      </c>
      <c r="C403" s="32">
        <v>29.88</v>
      </c>
      <c r="D403" s="32">
        <v>29.88</v>
      </c>
      <c r="E403" s="32">
        <v>29.52</v>
      </c>
      <c r="F403" s="32">
        <v>29.88</v>
      </c>
      <c r="G403" s="32">
        <v>29.84</v>
      </c>
      <c r="H403" s="32">
        <v>28.88</v>
      </c>
      <c r="I403" s="32">
        <v>29.72</v>
      </c>
      <c r="J403" s="32">
        <v>29.88</v>
      </c>
      <c r="K403" s="32">
        <v>29.44</v>
      </c>
      <c r="L403" s="32">
        <v>28.88</v>
      </c>
      <c r="M403" s="23">
        <v>102</v>
      </c>
      <c r="N403" s="23">
        <v>10.6</v>
      </c>
      <c r="O403" s="24">
        <v>2.0023</v>
      </c>
    </row>
    <row r="404" spans="1:15" x14ac:dyDescent="0.25">
      <c r="A404" s="18" t="s">
        <v>398</v>
      </c>
      <c r="B404" s="35">
        <v>22.04</v>
      </c>
      <c r="C404" s="32">
        <v>21.96</v>
      </c>
      <c r="D404" s="32">
        <v>21.6</v>
      </c>
      <c r="E404" s="32">
        <v>22.04</v>
      </c>
      <c r="F404" s="32">
        <v>22</v>
      </c>
      <c r="G404" s="32">
        <v>21.84</v>
      </c>
      <c r="H404" s="32">
        <v>22</v>
      </c>
      <c r="I404" s="32">
        <v>21.84</v>
      </c>
      <c r="J404" s="32">
        <v>21.76</v>
      </c>
      <c r="K404" s="32">
        <v>22.04</v>
      </c>
      <c r="L404" s="32">
        <v>21.6</v>
      </c>
      <c r="M404" s="23">
        <v>100</v>
      </c>
      <c r="N404" s="23">
        <v>2</v>
      </c>
      <c r="O404" s="24">
        <v>2.0407999999999999</v>
      </c>
    </row>
    <row r="405" spans="1:15" x14ac:dyDescent="0.25">
      <c r="A405" s="18" t="s">
        <v>399</v>
      </c>
      <c r="B405" s="35">
        <v>24.96</v>
      </c>
      <c r="C405" s="32">
        <v>24.76</v>
      </c>
      <c r="D405" s="32">
        <v>25.04</v>
      </c>
      <c r="E405" s="32">
        <v>25.04</v>
      </c>
      <c r="F405" s="32">
        <v>25.04</v>
      </c>
      <c r="G405" s="32">
        <v>24.76</v>
      </c>
      <c r="H405" s="32">
        <v>25</v>
      </c>
      <c r="I405" s="32">
        <v>25.04</v>
      </c>
      <c r="J405" s="32">
        <v>25.04</v>
      </c>
      <c r="K405" s="32">
        <v>24.52</v>
      </c>
      <c r="L405" s="32">
        <v>24.52</v>
      </c>
      <c r="M405" s="23">
        <v>97</v>
      </c>
      <c r="N405" s="23">
        <v>6.4</v>
      </c>
      <c r="O405" s="24">
        <v>1.8986000000000001</v>
      </c>
    </row>
    <row r="406" spans="1:15" x14ac:dyDescent="0.25">
      <c r="A406" s="18" t="s">
        <v>400</v>
      </c>
      <c r="B406" s="35">
        <v>24.08</v>
      </c>
      <c r="C406" s="32">
        <v>24.08</v>
      </c>
      <c r="D406" s="32">
        <v>23.84</v>
      </c>
      <c r="E406" s="32">
        <v>24</v>
      </c>
      <c r="F406" s="32">
        <v>24.36</v>
      </c>
      <c r="G406" s="32">
        <v>24.36</v>
      </c>
      <c r="H406" s="32">
        <v>24.24</v>
      </c>
      <c r="I406" s="32">
        <v>24.32</v>
      </c>
      <c r="J406" s="32">
        <v>24.28</v>
      </c>
      <c r="K406" s="32">
        <v>24.08</v>
      </c>
      <c r="L406" s="32">
        <v>23.84</v>
      </c>
      <c r="M406" s="23">
        <v>104</v>
      </c>
      <c r="N406" s="23">
        <v>3.8</v>
      </c>
      <c r="O406" s="24">
        <v>1.9822</v>
      </c>
    </row>
    <row r="407" spans="1:15" x14ac:dyDescent="0.25">
      <c r="A407" s="18" t="s">
        <v>401</v>
      </c>
      <c r="B407" s="35">
        <v>24.24</v>
      </c>
      <c r="C407" s="32">
        <v>24.32</v>
      </c>
      <c r="D407" s="32">
        <v>24.44</v>
      </c>
      <c r="E407" s="32">
        <v>24.48</v>
      </c>
      <c r="F407" s="32">
        <v>24.48</v>
      </c>
      <c r="G407" s="32">
        <v>24.32</v>
      </c>
      <c r="H407" s="32">
        <v>24.44</v>
      </c>
      <c r="I407" s="32">
        <v>24.48</v>
      </c>
      <c r="J407" s="32">
        <v>24.2</v>
      </c>
      <c r="K407" s="32">
        <v>24</v>
      </c>
      <c r="L407" s="32">
        <v>24</v>
      </c>
      <c r="M407" s="23">
        <v>104</v>
      </c>
      <c r="N407" s="23">
        <v>4</v>
      </c>
      <c r="O407" s="24">
        <v>2.0169000000000001</v>
      </c>
    </row>
    <row r="408" spans="1:15" x14ac:dyDescent="0.25">
      <c r="A408" s="18" t="s">
        <v>402</v>
      </c>
      <c r="B408" s="35">
        <v>22.24</v>
      </c>
      <c r="C408" s="32">
        <v>22.84</v>
      </c>
      <c r="D408" s="32">
        <v>22.52</v>
      </c>
      <c r="E408" s="32">
        <v>22.56</v>
      </c>
      <c r="F408" s="32">
        <v>22.84</v>
      </c>
      <c r="G408" s="32">
        <v>22.84</v>
      </c>
      <c r="H408" s="32">
        <v>22.88</v>
      </c>
      <c r="I408" s="32">
        <v>22.64</v>
      </c>
      <c r="J408" s="32">
        <v>22.88</v>
      </c>
      <c r="K408" s="32">
        <v>22.88</v>
      </c>
      <c r="L408" s="32">
        <v>22.24</v>
      </c>
      <c r="M408" s="23">
        <v>100</v>
      </c>
      <c r="N408" s="23">
        <v>2.8</v>
      </c>
      <c r="O408" s="24">
        <v>2.0533999999999999</v>
      </c>
    </row>
    <row r="409" spans="1:15" x14ac:dyDescent="0.25">
      <c r="A409" s="18" t="s">
        <v>403</v>
      </c>
      <c r="B409" s="35">
        <v>24.44</v>
      </c>
      <c r="C409" s="32">
        <v>24.44</v>
      </c>
      <c r="D409" s="32">
        <v>24.44</v>
      </c>
      <c r="E409" s="32">
        <v>24.44</v>
      </c>
      <c r="F409" s="32">
        <v>24.44</v>
      </c>
      <c r="G409" s="32">
        <v>24.44</v>
      </c>
      <c r="H409" s="32">
        <v>24.44</v>
      </c>
      <c r="I409" s="32">
        <v>24.44</v>
      </c>
      <c r="J409" s="32">
        <v>24.44</v>
      </c>
      <c r="K409" s="32">
        <v>24.44</v>
      </c>
      <c r="L409" s="32">
        <v>24.44</v>
      </c>
      <c r="M409" s="23">
        <v>107</v>
      </c>
      <c r="N409" s="23">
        <v>3.8</v>
      </c>
      <c r="O409" s="24">
        <v>2.2172999999999998</v>
      </c>
    </row>
    <row r="410" spans="1:15" x14ac:dyDescent="0.25">
      <c r="A410" s="18" t="s">
        <v>404</v>
      </c>
      <c r="B410" s="35">
        <v>22.32</v>
      </c>
      <c r="C410" s="32">
        <v>22.4</v>
      </c>
      <c r="D410" s="32">
        <v>22.32</v>
      </c>
      <c r="E410" s="32">
        <v>22.04</v>
      </c>
      <c r="F410" s="32">
        <v>22.36</v>
      </c>
      <c r="G410" s="32">
        <v>22.2</v>
      </c>
      <c r="H410" s="32">
        <v>22.04</v>
      </c>
      <c r="I410" s="32">
        <v>22.16</v>
      </c>
      <c r="J410" s="32">
        <v>21.68</v>
      </c>
      <c r="K410" s="32">
        <v>22.68</v>
      </c>
      <c r="L410" s="32">
        <v>21.68</v>
      </c>
      <c r="M410" s="23">
        <v>98</v>
      </c>
      <c r="N410" s="23">
        <v>2.6</v>
      </c>
      <c r="O410" s="24">
        <v>1.9835</v>
      </c>
    </row>
    <row r="411" spans="1:15" x14ac:dyDescent="0.25">
      <c r="A411" s="18" t="s">
        <v>405</v>
      </c>
      <c r="B411" s="35">
        <v>22.48</v>
      </c>
      <c r="C411" s="32">
        <v>22.48</v>
      </c>
      <c r="D411" s="32">
        <v>22.48</v>
      </c>
      <c r="E411" s="32">
        <v>22.48</v>
      </c>
      <c r="F411" s="32">
        <v>22.48</v>
      </c>
      <c r="G411" s="32">
        <v>22.48</v>
      </c>
      <c r="H411" s="32">
        <v>22.48</v>
      </c>
      <c r="I411" s="32">
        <v>22.48</v>
      </c>
      <c r="J411" s="32">
        <v>22.48</v>
      </c>
      <c r="K411" s="32">
        <v>22.48</v>
      </c>
      <c r="L411" s="32">
        <v>22.48</v>
      </c>
      <c r="M411" s="23">
        <v>102</v>
      </c>
      <c r="N411" s="23">
        <v>2.6</v>
      </c>
      <c r="O411" s="24">
        <v>2.1516000000000002</v>
      </c>
    </row>
    <row r="412" spans="1:15" x14ac:dyDescent="0.25">
      <c r="A412" s="18" t="s">
        <v>406</v>
      </c>
      <c r="B412" s="35">
        <v>19.16</v>
      </c>
      <c r="C412" s="32">
        <v>19.16</v>
      </c>
      <c r="D412" s="32">
        <v>19.16</v>
      </c>
      <c r="E412" s="32">
        <v>19.16</v>
      </c>
      <c r="F412" s="32">
        <v>19.16</v>
      </c>
      <c r="G412" s="32">
        <v>19.16</v>
      </c>
      <c r="H412" s="32">
        <v>19.16</v>
      </c>
      <c r="I412" s="32">
        <v>19.16</v>
      </c>
      <c r="J412" s="32">
        <v>19.16</v>
      </c>
      <c r="K412" s="32">
        <v>19.16</v>
      </c>
      <c r="L412" s="32">
        <v>19.16</v>
      </c>
      <c r="M412" s="23">
        <v>95</v>
      </c>
      <c r="N412" s="23">
        <v>0.2</v>
      </c>
      <c r="O412" s="24">
        <v>2.1208999999999998</v>
      </c>
    </row>
    <row r="413" spans="1:15" x14ac:dyDescent="0.25">
      <c r="A413" s="18" t="s">
        <v>407</v>
      </c>
      <c r="B413" s="35">
        <v>25.36</v>
      </c>
      <c r="C413" s="32">
        <v>25.36</v>
      </c>
      <c r="D413" s="32">
        <v>25.36</v>
      </c>
      <c r="E413" s="32">
        <v>25.36</v>
      </c>
      <c r="F413" s="32">
        <v>25.36</v>
      </c>
      <c r="G413" s="32">
        <v>25.36</v>
      </c>
      <c r="H413" s="32">
        <v>25.36</v>
      </c>
      <c r="I413" s="32">
        <v>25.36</v>
      </c>
      <c r="J413" s="32">
        <v>25.36</v>
      </c>
      <c r="K413" s="32">
        <v>25.36</v>
      </c>
      <c r="L413" s="32">
        <v>25.36</v>
      </c>
      <c r="M413" s="23">
        <v>110</v>
      </c>
      <c r="N413" s="23">
        <v>4.2</v>
      </c>
      <c r="O413" s="24">
        <v>2.3191999999999999</v>
      </c>
    </row>
    <row r="414" spans="1:15" x14ac:dyDescent="0.25">
      <c r="A414" s="18" t="s">
        <v>408</v>
      </c>
      <c r="B414" s="35">
        <v>22.08</v>
      </c>
      <c r="C414" s="32">
        <v>22.08</v>
      </c>
      <c r="D414" s="32">
        <v>22.08</v>
      </c>
      <c r="E414" s="32">
        <v>22.08</v>
      </c>
      <c r="F414" s="32">
        <v>22.08</v>
      </c>
      <c r="G414" s="32">
        <v>21.4</v>
      </c>
      <c r="H414" s="32">
        <v>22.08</v>
      </c>
      <c r="I414" s="32">
        <v>22.08</v>
      </c>
      <c r="J414" s="32">
        <v>22.08</v>
      </c>
      <c r="K414" s="32">
        <v>22.08</v>
      </c>
      <c r="L414" s="32">
        <v>21.4</v>
      </c>
      <c r="M414" s="23">
        <v>103</v>
      </c>
      <c r="N414" s="23">
        <v>1</v>
      </c>
      <c r="O414" s="24">
        <v>2.0998999999999999</v>
      </c>
    </row>
    <row r="415" spans="1:15" x14ac:dyDescent="0.25">
      <c r="A415" s="18" t="s">
        <v>409</v>
      </c>
      <c r="B415" s="35">
        <v>23.64</v>
      </c>
      <c r="C415" s="32">
        <v>23.64</v>
      </c>
      <c r="D415" s="32">
        <v>23.64</v>
      </c>
      <c r="E415" s="32">
        <v>23.64</v>
      </c>
      <c r="F415" s="32">
        <v>23.64</v>
      </c>
      <c r="G415" s="32">
        <v>23.64</v>
      </c>
      <c r="H415" s="32">
        <v>23.64</v>
      </c>
      <c r="I415" s="32">
        <v>23.64</v>
      </c>
      <c r="J415" s="32">
        <v>23.64</v>
      </c>
      <c r="K415" s="32">
        <v>23.64</v>
      </c>
      <c r="L415" s="32">
        <v>23.64</v>
      </c>
      <c r="M415" s="23">
        <v>99</v>
      </c>
      <c r="N415" s="23">
        <v>4.8</v>
      </c>
      <c r="O415" s="24">
        <v>2.0350000000000001</v>
      </c>
    </row>
    <row r="416" spans="1:15" x14ac:dyDescent="0.25">
      <c r="A416" s="18" t="s">
        <v>410</v>
      </c>
      <c r="B416" s="35">
        <v>24.24</v>
      </c>
      <c r="C416" s="32">
        <v>24.2</v>
      </c>
      <c r="D416" s="32">
        <v>24.04</v>
      </c>
      <c r="E416" s="32">
        <v>24.2</v>
      </c>
      <c r="F416" s="32">
        <v>24.4</v>
      </c>
      <c r="G416" s="32">
        <v>24.08</v>
      </c>
      <c r="H416" s="32">
        <v>24.04</v>
      </c>
      <c r="I416" s="32">
        <v>24.2</v>
      </c>
      <c r="J416" s="32">
        <v>24</v>
      </c>
      <c r="K416" s="32">
        <v>24.4</v>
      </c>
      <c r="L416" s="32">
        <v>24</v>
      </c>
      <c r="M416" s="23">
        <v>92</v>
      </c>
      <c r="N416" s="23">
        <v>7</v>
      </c>
      <c r="O416" s="24">
        <v>1.956</v>
      </c>
    </row>
    <row r="417" spans="1:15" x14ac:dyDescent="0.25">
      <c r="A417" s="18" t="s">
        <v>411</v>
      </c>
      <c r="B417" s="35">
        <v>24.32</v>
      </c>
      <c r="C417" s="32">
        <v>24.16</v>
      </c>
      <c r="D417" s="32">
        <v>24.16</v>
      </c>
      <c r="E417" s="32">
        <v>24.28</v>
      </c>
      <c r="F417" s="32">
        <v>24.28</v>
      </c>
      <c r="G417" s="32">
        <v>24.12</v>
      </c>
      <c r="H417" s="32">
        <v>24.32</v>
      </c>
      <c r="I417" s="32">
        <v>23.92</v>
      </c>
      <c r="J417" s="32">
        <v>24.04</v>
      </c>
      <c r="K417" s="32">
        <v>24.12</v>
      </c>
      <c r="L417" s="32">
        <v>23.92</v>
      </c>
      <c r="M417" s="23">
        <v>102</v>
      </c>
      <c r="N417" s="23">
        <v>4.4000000000000004</v>
      </c>
      <c r="O417" s="24">
        <v>2.1509</v>
      </c>
    </row>
    <row r="418" spans="1:15" x14ac:dyDescent="0.25">
      <c r="A418" s="18" t="s">
        <v>412</v>
      </c>
      <c r="B418" s="35">
        <v>24.48</v>
      </c>
      <c r="C418" s="32">
        <v>23.68</v>
      </c>
      <c r="D418" s="32">
        <v>24.48</v>
      </c>
      <c r="E418" s="32">
        <v>24.48</v>
      </c>
      <c r="F418" s="32">
        <v>24.48</v>
      </c>
      <c r="G418" s="32">
        <v>24.48</v>
      </c>
      <c r="H418" s="32">
        <v>24.08</v>
      </c>
      <c r="I418" s="32">
        <v>23.88</v>
      </c>
      <c r="J418" s="32">
        <v>24.48</v>
      </c>
      <c r="K418" s="32">
        <v>24.48</v>
      </c>
      <c r="L418" s="32">
        <v>23.68</v>
      </c>
      <c r="M418" s="23">
        <v>96</v>
      </c>
      <c r="N418" s="23">
        <v>5.6</v>
      </c>
      <c r="O418" s="24">
        <v>2.0419999999999998</v>
      </c>
    </row>
    <row r="419" spans="1:15" x14ac:dyDescent="0.25">
      <c r="A419" s="18" t="s">
        <v>413</v>
      </c>
      <c r="B419" s="35">
        <v>28.72</v>
      </c>
      <c r="C419" s="32">
        <v>28.8</v>
      </c>
      <c r="D419" s="32">
        <v>29.08</v>
      </c>
      <c r="E419" s="32">
        <v>28.88</v>
      </c>
      <c r="F419" s="32">
        <v>28.84</v>
      </c>
      <c r="G419" s="32">
        <v>28.64</v>
      </c>
      <c r="H419" s="32">
        <v>29.08</v>
      </c>
      <c r="I419" s="32">
        <v>28.68</v>
      </c>
      <c r="J419" s="32">
        <v>28.64</v>
      </c>
      <c r="K419" s="32">
        <v>28.84</v>
      </c>
      <c r="L419" s="32">
        <v>28.64</v>
      </c>
      <c r="M419" s="23">
        <v>104</v>
      </c>
      <c r="N419" s="23">
        <v>9.8000000000000007</v>
      </c>
      <c r="O419" s="24">
        <v>2.1078999999999999</v>
      </c>
    </row>
    <row r="420" spans="1:15" x14ac:dyDescent="0.25">
      <c r="A420" s="18" t="s">
        <v>414</v>
      </c>
      <c r="B420" s="35">
        <v>11.52</v>
      </c>
      <c r="C420" s="32">
        <v>11.04</v>
      </c>
      <c r="D420" s="32">
        <v>11.88</v>
      </c>
      <c r="E420" s="32">
        <v>12.16</v>
      </c>
      <c r="F420" s="32">
        <v>12.2</v>
      </c>
      <c r="G420" s="32">
        <v>11.56</v>
      </c>
      <c r="H420" s="32">
        <v>11.52</v>
      </c>
      <c r="I420" s="32">
        <v>11.56</v>
      </c>
      <c r="J420" s="32">
        <v>12.04</v>
      </c>
      <c r="K420" s="32">
        <v>12.2</v>
      </c>
      <c r="L420" s="32">
        <v>11.04</v>
      </c>
      <c r="M420" s="23">
        <v>24</v>
      </c>
      <c r="N420" s="23">
        <v>7.8</v>
      </c>
      <c r="O420" s="24">
        <v>6.6200000000000009E-2</v>
      </c>
    </row>
    <row r="421" spans="1:15" x14ac:dyDescent="0.25">
      <c r="A421" s="18" t="s">
        <v>415</v>
      </c>
      <c r="B421" s="35">
        <v>11.2</v>
      </c>
      <c r="C421" s="32">
        <v>11.4</v>
      </c>
      <c r="D421" s="32">
        <v>11.52</v>
      </c>
      <c r="E421" s="32">
        <v>11.4</v>
      </c>
      <c r="F421" s="32">
        <v>11.24</v>
      </c>
      <c r="G421" s="32">
        <v>11.36</v>
      </c>
      <c r="H421" s="32">
        <v>11.4</v>
      </c>
      <c r="I421" s="32">
        <v>11.4</v>
      </c>
      <c r="J421" s="32">
        <v>11.52</v>
      </c>
      <c r="K421" s="32">
        <v>11.52</v>
      </c>
      <c r="L421" s="32">
        <v>11.2</v>
      </c>
      <c r="M421" s="23">
        <v>24</v>
      </c>
      <c r="N421" s="23">
        <v>8</v>
      </c>
      <c r="O421" s="24">
        <v>6.6400000000000001E-2</v>
      </c>
    </row>
    <row r="422" spans="1:15" x14ac:dyDescent="0.25">
      <c r="A422" s="18" t="s">
        <v>416</v>
      </c>
      <c r="B422" s="35">
        <v>11.2</v>
      </c>
      <c r="C422" s="32">
        <v>11.04</v>
      </c>
      <c r="D422" s="32">
        <v>11.2</v>
      </c>
      <c r="E422" s="32">
        <v>11.32</v>
      </c>
      <c r="F422" s="32">
        <v>11.2</v>
      </c>
      <c r="G422" s="32">
        <v>11.2</v>
      </c>
      <c r="H422" s="32">
        <v>11.2</v>
      </c>
      <c r="I422" s="32">
        <v>11.32</v>
      </c>
      <c r="J422" s="32">
        <v>11.32</v>
      </c>
      <c r="K422" s="32">
        <v>11.2</v>
      </c>
      <c r="L422" s="32">
        <v>11.04</v>
      </c>
      <c r="M422" s="23">
        <v>24</v>
      </c>
      <c r="N422" s="23">
        <v>7.8</v>
      </c>
      <c r="O422" s="24">
        <v>6.7000000000000004E-2</v>
      </c>
    </row>
    <row r="423" spans="1:15" x14ac:dyDescent="0.25">
      <c r="A423" s="18" t="s">
        <v>417</v>
      </c>
      <c r="B423" s="35">
        <v>10.8</v>
      </c>
      <c r="C423" s="32">
        <v>10.8</v>
      </c>
      <c r="D423" s="32">
        <v>10.8</v>
      </c>
      <c r="E423" s="32">
        <v>10.96</v>
      </c>
      <c r="F423" s="32">
        <v>10.76</v>
      </c>
      <c r="G423" s="32">
        <v>10.8</v>
      </c>
      <c r="H423" s="32">
        <v>10.76</v>
      </c>
      <c r="I423" s="32">
        <v>10.92</v>
      </c>
      <c r="J423" s="32">
        <v>10.96</v>
      </c>
      <c r="K423" s="32">
        <v>10.96</v>
      </c>
      <c r="L423" s="32">
        <v>10.76</v>
      </c>
      <c r="M423" s="23">
        <v>25</v>
      </c>
      <c r="N423" s="23">
        <v>7.2</v>
      </c>
      <c r="O423" s="24">
        <v>6.9800000000000001E-2</v>
      </c>
    </row>
    <row r="424" spans="1:15" x14ac:dyDescent="0.25">
      <c r="A424" s="18" t="s">
        <v>418</v>
      </c>
      <c r="B424" s="35">
        <v>7.44</v>
      </c>
      <c r="C424" s="32">
        <v>7.6</v>
      </c>
      <c r="D424" s="32">
        <v>7.6</v>
      </c>
      <c r="E424" s="32">
        <v>7.6</v>
      </c>
      <c r="F424" s="32">
        <v>7.4</v>
      </c>
      <c r="G424" s="32">
        <v>7.6</v>
      </c>
      <c r="H424" s="32">
        <v>6.96</v>
      </c>
      <c r="I424" s="32">
        <v>7.6</v>
      </c>
      <c r="J424" s="32">
        <v>7.6</v>
      </c>
      <c r="K424" s="32">
        <v>7.44</v>
      </c>
      <c r="L424" s="32">
        <v>6.96</v>
      </c>
      <c r="M424" s="23">
        <v>26</v>
      </c>
      <c r="N424" s="23">
        <v>2.2000000000000002</v>
      </c>
      <c r="O424" s="24">
        <v>6.7100000000000007E-2</v>
      </c>
    </row>
    <row r="425" spans="1:15" x14ac:dyDescent="0.25">
      <c r="A425" s="18" t="s">
        <v>419</v>
      </c>
      <c r="B425" s="35">
        <v>7.56</v>
      </c>
      <c r="C425" s="32">
        <v>7.24</v>
      </c>
      <c r="D425" s="32">
        <v>7.56</v>
      </c>
      <c r="E425" s="32">
        <v>7.4</v>
      </c>
      <c r="F425" s="32">
        <v>7.4</v>
      </c>
      <c r="G425" s="32">
        <v>7.4</v>
      </c>
      <c r="H425" s="32">
        <v>7.56</v>
      </c>
      <c r="I425" s="32">
        <v>7.24</v>
      </c>
      <c r="J425" s="32">
        <v>7.24</v>
      </c>
      <c r="K425" s="32">
        <v>7.4</v>
      </c>
      <c r="L425" s="32">
        <v>7.24</v>
      </c>
      <c r="M425" s="23">
        <v>29</v>
      </c>
      <c r="N425" s="23">
        <v>1.8</v>
      </c>
      <c r="O425" s="24">
        <v>7.5200000000000003E-2</v>
      </c>
    </row>
    <row r="426" spans="1:15" x14ac:dyDescent="0.25">
      <c r="A426" s="18" t="s">
        <v>420</v>
      </c>
      <c r="B426" s="35">
        <v>7.04</v>
      </c>
      <c r="C426" s="32">
        <v>7.2</v>
      </c>
      <c r="D426" s="32">
        <v>7.2</v>
      </c>
      <c r="E426" s="32">
        <v>7.2</v>
      </c>
      <c r="F426" s="32">
        <v>7.2</v>
      </c>
      <c r="G426" s="32">
        <v>6.88</v>
      </c>
      <c r="H426" s="32">
        <v>7.36</v>
      </c>
      <c r="I426" s="32">
        <v>6.88</v>
      </c>
      <c r="J426" s="32">
        <v>7.04</v>
      </c>
      <c r="K426" s="32">
        <v>7.04</v>
      </c>
      <c r="L426" s="32">
        <v>6.88</v>
      </c>
      <c r="M426" s="23">
        <v>24</v>
      </c>
      <c r="N426" s="23">
        <v>2.6</v>
      </c>
      <c r="O426" s="24">
        <v>6.7000000000000004E-2</v>
      </c>
    </row>
    <row r="427" spans="1:15" x14ac:dyDescent="0.25">
      <c r="A427" s="18" t="s">
        <v>421</v>
      </c>
      <c r="B427" s="35">
        <v>6.8</v>
      </c>
      <c r="C427" s="32">
        <v>6.32</v>
      </c>
      <c r="D427" s="32">
        <v>6.48</v>
      </c>
      <c r="E427" s="32">
        <v>6.96</v>
      </c>
      <c r="F427" s="32">
        <v>6.6</v>
      </c>
      <c r="G427" s="32">
        <v>6.56</v>
      </c>
      <c r="H427" s="32">
        <v>6</v>
      </c>
      <c r="I427" s="32">
        <v>6.76</v>
      </c>
      <c r="J427" s="32">
        <v>6.76</v>
      </c>
      <c r="K427" s="32">
        <v>6.44</v>
      </c>
      <c r="L427" s="32">
        <v>6</v>
      </c>
      <c r="M427" s="23">
        <v>26</v>
      </c>
      <c r="N427" s="23">
        <v>1</v>
      </c>
      <c r="O427" s="24">
        <v>6.720000000000001E-2</v>
      </c>
    </row>
    <row r="428" spans="1:15" x14ac:dyDescent="0.25">
      <c r="A428" s="18" t="s">
        <v>422</v>
      </c>
      <c r="B428" s="35">
        <v>6</v>
      </c>
      <c r="C428" s="32">
        <v>5.96</v>
      </c>
      <c r="D428" s="32">
        <v>6.12</v>
      </c>
      <c r="E428" s="32">
        <v>5.96</v>
      </c>
      <c r="F428" s="32">
        <v>5.96</v>
      </c>
      <c r="G428" s="32">
        <v>6.12</v>
      </c>
      <c r="H428" s="32">
        <v>5.8</v>
      </c>
      <c r="I428" s="32">
        <v>6</v>
      </c>
      <c r="J428" s="32">
        <v>6.12</v>
      </c>
      <c r="K428" s="32">
        <v>5.96</v>
      </c>
      <c r="L428" s="32">
        <v>5.8</v>
      </c>
      <c r="M428" s="23">
        <v>21</v>
      </c>
      <c r="N428" s="23">
        <v>2</v>
      </c>
      <c r="O428" s="24">
        <v>5.9299999999999999E-2</v>
      </c>
    </row>
    <row r="429" spans="1:15" x14ac:dyDescent="0.25">
      <c r="A429" s="18" t="s">
        <v>423</v>
      </c>
      <c r="B429" s="35">
        <v>6.56</v>
      </c>
      <c r="C429" s="32">
        <v>6.4</v>
      </c>
      <c r="D429" s="32">
        <v>6.56</v>
      </c>
      <c r="E429" s="32">
        <v>6.56</v>
      </c>
      <c r="F429" s="32">
        <v>6.56</v>
      </c>
      <c r="G429" s="32">
        <v>6.56</v>
      </c>
      <c r="H429" s="32">
        <v>6.72</v>
      </c>
      <c r="I429" s="32">
        <v>6.4</v>
      </c>
      <c r="J429" s="32">
        <v>6.56</v>
      </c>
      <c r="K429" s="32">
        <v>6.56</v>
      </c>
      <c r="L429" s="32">
        <v>6.4</v>
      </c>
      <c r="M429" s="23">
        <v>24</v>
      </c>
      <c r="N429" s="23">
        <v>2</v>
      </c>
      <c r="O429" s="24">
        <v>6.4799999999999996E-2</v>
      </c>
    </row>
    <row r="430" spans="1:15" x14ac:dyDescent="0.25">
      <c r="A430" s="18" t="s">
        <v>424</v>
      </c>
      <c r="B430" s="35">
        <v>6.36</v>
      </c>
      <c r="C430" s="32">
        <v>6.16</v>
      </c>
      <c r="D430" s="32">
        <v>6.36</v>
      </c>
      <c r="E430" s="32">
        <v>6.16</v>
      </c>
      <c r="F430" s="32">
        <v>6.16</v>
      </c>
      <c r="G430" s="32">
        <v>6.16</v>
      </c>
      <c r="H430" s="32">
        <v>6.16</v>
      </c>
      <c r="I430" s="32">
        <v>6.36</v>
      </c>
      <c r="J430" s="32">
        <v>6.16</v>
      </c>
      <c r="K430" s="32">
        <v>6.16</v>
      </c>
      <c r="L430" s="32">
        <v>6.16</v>
      </c>
      <c r="M430" s="23">
        <v>30</v>
      </c>
      <c r="N430" s="23">
        <v>0.2</v>
      </c>
      <c r="O430" s="24">
        <v>7.85E-2</v>
      </c>
    </row>
    <row r="431" spans="1:15" x14ac:dyDescent="0.25">
      <c r="A431" s="18" t="s">
        <v>425</v>
      </c>
      <c r="B431" s="35">
        <v>6.08</v>
      </c>
      <c r="C431" s="32">
        <v>6.08</v>
      </c>
      <c r="D431" s="32">
        <v>6.08</v>
      </c>
      <c r="E431" s="32">
        <v>6.08</v>
      </c>
      <c r="F431" s="32">
        <v>6.08</v>
      </c>
      <c r="G431" s="32">
        <v>6.08</v>
      </c>
      <c r="H431" s="32">
        <v>6.08</v>
      </c>
      <c r="I431" s="32">
        <v>6.08</v>
      </c>
      <c r="J431" s="32">
        <v>6.08</v>
      </c>
      <c r="K431" s="32">
        <v>6.08</v>
      </c>
      <c r="L431" s="32">
        <v>6.08</v>
      </c>
      <c r="M431" s="23">
        <v>28</v>
      </c>
      <c r="N431" s="23">
        <v>0.6</v>
      </c>
      <c r="O431" s="24">
        <v>7.0500000000000007E-2</v>
      </c>
    </row>
    <row r="432" spans="1:15" x14ac:dyDescent="0.25">
      <c r="A432" s="18" t="s">
        <v>426</v>
      </c>
      <c r="B432" s="35">
        <v>5.68</v>
      </c>
      <c r="C432" s="32">
        <v>5.64</v>
      </c>
      <c r="D432" s="32">
        <v>5.68</v>
      </c>
      <c r="E432" s="32">
        <v>5.68</v>
      </c>
      <c r="F432" s="32">
        <v>5.68</v>
      </c>
      <c r="G432" s="32">
        <v>5.64</v>
      </c>
      <c r="H432" s="32">
        <v>5.68</v>
      </c>
      <c r="I432" s="32">
        <v>5.68</v>
      </c>
      <c r="J432" s="32">
        <v>5.68</v>
      </c>
      <c r="K432" s="32">
        <v>5.64</v>
      </c>
      <c r="L432" s="32">
        <v>5.64</v>
      </c>
      <c r="M432" s="23">
        <v>25</v>
      </c>
      <c r="N432" s="23">
        <v>0.8</v>
      </c>
      <c r="O432" s="24">
        <v>6.6200000000000009E-2</v>
      </c>
    </row>
    <row r="433" spans="1:15" x14ac:dyDescent="0.25">
      <c r="A433" s="18" t="s">
        <v>427</v>
      </c>
      <c r="B433" s="35">
        <v>4.88</v>
      </c>
      <c r="C433" s="32">
        <v>5.04</v>
      </c>
      <c r="D433" s="32">
        <v>4.68</v>
      </c>
      <c r="E433" s="32">
        <v>5.2</v>
      </c>
      <c r="F433" s="32">
        <v>5</v>
      </c>
      <c r="G433" s="32">
        <v>5.04</v>
      </c>
      <c r="H433" s="32">
        <v>5.08</v>
      </c>
      <c r="I433" s="32">
        <v>5.04</v>
      </c>
      <c r="J433" s="32">
        <v>4.88</v>
      </c>
      <c r="K433" s="32">
        <v>5.04</v>
      </c>
      <c r="L433" s="32">
        <v>4.68</v>
      </c>
      <c r="M433" s="23">
        <v>21</v>
      </c>
      <c r="N433" s="23">
        <v>0.6</v>
      </c>
      <c r="O433" s="24">
        <v>6.0499999999999998E-2</v>
      </c>
    </row>
    <row r="434" spans="1:15" x14ac:dyDescent="0.25">
      <c r="A434" s="18" t="s">
        <v>428</v>
      </c>
      <c r="B434" s="35">
        <v>5.4</v>
      </c>
      <c r="C434" s="32">
        <v>5.4</v>
      </c>
      <c r="D434" s="32">
        <v>5.56</v>
      </c>
      <c r="E434" s="32">
        <v>5.4</v>
      </c>
      <c r="F434" s="32">
        <v>5.56</v>
      </c>
      <c r="G434" s="32">
        <v>5.56</v>
      </c>
      <c r="H434" s="32">
        <v>5.4</v>
      </c>
      <c r="I434" s="32">
        <v>5.56</v>
      </c>
      <c r="J434" s="32">
        <v>5.4</v>
      </c>
      <c r="K434" s="32">
        <v>5.56</v>
      </c>
      <c r="L434" s="32">
        <v>5.4</v>
      </c>
      <c r="M434" s="23">
        <v>27</v>
      </c>
      <c r="N434" s="23">
        <v>0</v>
      </c>
      <c r="O434" s="24">
        <v>7.1199999999999999E-2</v>
      </c>
    </row>
    <row r="435" spans="1:15" x14ac:dyDescent="0.25">
      <c r="A435" s="18" t="s">
        <v>429</v>
      </c>
      <c r="B435" s="35">
        <v>5.96</v>
      </c>
      <c r="C435" s="32">
        <v>5.76</v>
      </c>
      <c r="D435" s="32">
        <v>5.96</v>
      </c>
      <c r="E435" s="32">
        <v>5.8</v>
      </c>
      <c r="F435" s="32">
        <v>5.76</v>
      </c>
      <c r="G435" s="32">
        <v>5.8</v>
      </c>
      <c r="H435" s="32">
        <v>5.8</v>
      </c>
      <c r="I435" s="32">
        <v>5.96</v>
      </c>
      <c r="J435" s="32">
        <v>5.76</v>
      </c>
      <c r="K435" s="32">
        <v>5.76</v>
      </c>
      <c r="L435" s="32">
        <v>5.76</v>
      </c>
      <c r="M435" s="23">
        <v>24</v>
      </c>
      <c r="N435" s="23">
        <v>1.2</v>
      </c>
      <c r="O435" s="24">
        <v>7.0000000000000007E-2</v>
      </c>
    </row>
    <row r="436" spans="1:15" x14ac:dyDescent="0.25">
      <c r="A436" s="18" t="s">
        <v>430</v>
      </c>
      <c r="B436" s="35">
        <v>5.84</v>
      </c>
      <c r="C436" s="32">
        <v>6</v>
      </c>
      <c r="D436" s="32">
        <v>5.84</v>
      </c>
      <c r="E436" s="32">
        <v>5.96</v>
      </c>
      <c r="F436" s="32">
        <v>6</v>
      </c>
      <c r="G436" s="32">
        <v>6</v>
      </c>
      <c r="H436" s="32">
        <v>6</v>
      </c>
      <c r="I436" s="32">
        <v>6</v>
      </c>
      <c r="J436" s="32">
        <v>5.8</v>
      </c>
      <c r="K436" s="32">
        <v>5.84</v>
      </c>
      <c r="L436" s="32">
        <v>5.8</v>
      </c>
      <c r="M436" s="23">
        <v>25</v>
      </c>
      <c r="N436" s="23">
        <v>1</v>
      </c>
      <c r="O436" s="24">
        <v>7.2800000000000004E-2</v>
      </c>
    </row>
    <row r="437" spans="1:15" x14ac:dyDescent="0.25">
      <c r="A437" s="18" t="s">
        <v>431</v>
      </c>
      <c r="B437" s="35">
        <v>7.6</v>
      </c>
      <c r="C437" s="32">
        <v>7.6</v>
      </c>
      <c r="D437" s="32">
        <v>7.6</v>
      </c>
      <c r="E437" s="32">
        <v>7.16</v>
      </c>
      <c r="F437" s="32">
        <v>7.6</v>
      </c>
      <c r="G437" s="32">
        <v>7.6</v>
      </c>
      <c r="H437" s="32">
        <v>7.16</v>
      </c>
      <c r="I437" s="32">
        <v>7.76</v>
      </c>
      <c r="J437" s="32">
        <v>7.64</v>
      </c>
      <c r="K437" s="32">
        <v>6.96</v>
      </c>
      <c r="L437" s="32">
        <v>6.96</v>
      </c>
      <c r="M437" s="23">
        <v>26</v>
      </c>
      <c r="N437" s="23">
        <v>2.2000000000000002</v>
      </c>
      <c r="O437" s="24">
        <v>6.9700000000000012E-2</v>
      </c>
    </row>
    <row r="438" spans="1:15" x14ac:dyDescent="0.25">
      <c r="A438" s="18" t="s">
        <v>432</v>
      </c>
      <c r="B438" s="35">
        <v>5.08</v>
      </c>
      <c r="C438" s="32">
        <v>4.88</v>
      </c>
      <c r="D438" s="32">
        <v>5.2</v>
      </c>
      <c r="E438" s="32">
        <v>5.04</v>
      </c>
      <c r="F438" s="32">
        <v>5.04</v>
      </c>
      <c r="G438" s="32">
        <v>5.08</v>
      </c>
      <c r="H438" s="32">
        <v>5.08</v>
      </c>
      <c r="I438" s="32">
        <v>4.68</v>
      </c>
      <c r="J438" s="32">
        <v>5.08</v>
      </c>
      <c r="K438" s="32">
        <v>4.72</v>
      </c>
      <c r="L438" s="32">
        <v>4.68</v>
      </c>
      <c r="M438" s="23">
        <v>21</v>
      </c>
      <c r="N438" s="23">
        <v>0.6</v>
      </c>
      <c r="O438" s="24">
        <v>6.3700000000000007E-2</v>
      </c>
    </row>
    <row r="439" spans="1:15" x14ac:dyDescent="0.25">
      <c r="A439" s="18" t="s">
        <v>433</v>
      </c>
      <c r="B439" s="35">
        <v>6.08</v>
      </c>
      <c r="C439" s="32">
        <v>6.08</v>
      </c>
      <c r="D439" s="32">
        <v>5.92</v>
      </c>
      <c r="E439" s="32">
        <v>6.08</v>
      </c>
      <c r="F439" s="32">
        <v>6.08</v>
      </c>
      <c r="G439" s="32">
        <v>6.08</v>
      </c>
      <c r="H439" s="32">
        <v>6.08</v>
      </c>
      <c r="I439" s="32">
        <v>5.92</v>
      </c>
      <c r="J439" s="32">
        <v>6.08</v>
      </c>
      <c r="K439" s="32">
        <v>5.92</v>
      </c>
      <c r="L439" s="32">
        <v>5.92</v>
      </c>
      <c r="M439" s="23">
        <v>24</v>
      </c>
      <c r="N439" s="23">
        <v>1.4</v>
      </c>
      <c r="O439" s="24">
        <v>6.4200000000000007E-2</v>
      </c>
    </row>
    <row r="440" spans="1:15" x14ac:dyDescent="0.25">
      <c r="A440" s="18" t="s">
        <v>434</v>
      </c>
      <c r="B440" s="35">
        <v>6.2</v>
      </c>
      <c r="C440" s="32">
        <v>6.2</v>
      </c>
      <c r="D440" s="32">
        <v>6.2</v>
      </c>
      <c r="E440" s="32">
        <v>6.16</v>
      </c>
      <c r="F440" s="32">
        <v>6.2</v>
      </c>
      <c r="G440" s="32">
        <v>6.2</v>
      </c>
      <c r="H440" s="32">
        <v>6.2</v>
      </c>
      <c r="I440" s="32">
        <v>6.2</v>
      </c>
      <c r="J440" s="32">
        <v>6.16</v>
      </c>
      <c r="K440" s="32">
        <v>6.2</v>
      </c>
      <c r="L440" s="32">
        <v>6.16</v>
      </c>
      <c r="M440" s="23">
        <v>26</v>
      </c>
      <c r="N440" s="23">
        <v>1.2</v>
      </c>
      <c r="O440" s="24">
        <v>7.1800000000000003E-2</v>
      </c>
    </row>
    <row r="441" spans="1:15" x14ac:dyDescent="0.25">
      <c r="A441" s="18" t="s">
        <v>435</v>
      </c>
      <c r="B441" s="35">
        <v>4.72</v>
      </c>
      <c r="C441" s="32">
        <v>4.72</v>
      </c>
      <c r="D441" s="32">
        <v>4.72</v>
      </c>
      <c r="E441" s="32">
        <v>4.72</v>
      </c>
      <c r="F441" s="32">
        <v>4.72</v>
      </c>
      <c r="G441" s="32">
        <v>4.72</v>
      </c>
      <c r="H441" s="32">
        <v>4.72</v>
      </c>
      <c r="I441" s="32">
        <v>4.72</v>
      </c>
      <c r="J441" s="32">
        <v>4.5999999999999996</v>
      </c>
      <c r="K441" s="32">
        <v>4.72</v>
      </c>
      <c r="L441" s="32">
        <v>4.5999999999999996</v>
      </c>
      <c r="M441" s="23">
        <v>23</v>
      </c>
      <c r="N441" s="23">
        <v>0</v>
      </c>
      <c r="O441" s="24">
        <v>6.1499999999999999E-2</v>
      </c>
    </row>
    <row r="442" spans="1:15" x14ac:dyDescent="0.25">
      <c r="A442" s="18" t="s">
        <v>436</v>
      </c>
      <c r="B442" s="35">
        <v>7.8</v>
      </c>
      <c r="C442" s="32">
        <v>7.8</v>
      </c>
      <c r="D442" s="32">
        <v>7.8</v>
      </c>
      <c r="E442" s="32">
        <v>7.8</v>
      </c>
      <c r="F442" s="32">
        <v>7.8</v>
      </c>
      <c r="G442" s="32">
        <v>7.8</v>
      </c>
      <c r="H442" s="32">
        <v>7.8</v>
      </c>
      <c r="I442" s="32">
        <v>7.8</v>
      </c>
      <c r="J442" s="32">
        <v>7.8</v>
      </c>
      <c r="K442" s="32">
        <v>7.8</v>
      </c>
      <c r="L442" s="32">
        <v>7.8</v>
      </c>
      <c r="M442" s="23">
        <v>27</v>
      </c>
      <c r="N442" s="23">
        <v>3</v>
      </c>
      <c r="O442" s="24">
        <v>6.9900000000000004E-2</v>
      </c>
    </row>
    <row r="443" spans="1:15" x14ac:dyDescent="0.25">
      <c r="A443" s="18" t="s">
        <v>437</v>
      </c>
      <c r="B443" s="35">
        <v>5.72</v>
      </c>
      <c r="C443" s="32">
        <v>5.72</v>
      </c>
      <c r="D443" s="32">
        <v>5.72</v>
      </c>
      <c r="E443" s="32">
        <v>5.72</v>
      </c>
      <c r="F443" s="32">
        <v>5.72</v>
      </c>
      <c r="G443" s="32">
        <v>5.72</v>
      </c>
      <c r="H443" s="32">
        <v>5.72</v>
      </c>
      <c r="I443" s="32">
        <v>5.72</v>
      </c>
      <c r="J443" s="32">
        <v>5.72</v>
      </c>
      <c r="K443" s="32">
        <v>5.56</v>
      </c>
      <c r="L443" s="32">
        <v>5.56</v>
      </c>
      <c r="M443" s="23">
        <v>23</v>
      </c>
      <c r="N443" s="23">
        <v>1.2</v>
      </c>
      <c r="O443" s="24">
        <v>6.4100000000000004E-2</v>
      </c>
    </row>
    <row r="444" spans="1:15" x14ac:dyDescent="0.25">
      <c r="A444" s="18" t="s">
        <v>438</v>
      </c>
      <c r="B444" s="35">
        <v>9.4</v>
      </c>
      <c r="C444" s="32">
        <v>9.56</v>
      </c>
      <c r="D444" s="32">
        <v>9.56</v>
      </c>
      <c r="E444" s="32">
        <v>9.56</v>
      </c>
      <c r="F444" s="32">
        <v>9.56</v>
      </c>
      <c r="G444" s="32">
        <v>9.56</v>
      </c>
      <c r="H444" s="32">
        <v>9.56</v>
      </c>
      <c r="I444" s="32">
        <v>9.56</v>
      </c>
      <c r="J444" s="32">
        <v>9.1999999999999993</v>
      </c>
      <c r="K444" s="32">
        <v>9.1999999999999993</v>
      </c>
      <c r="L444" s="32">
        <v>9.1999999999999993</v>
      </c>
      <c r="M444" s="23">
        <v>26</v>
      </c>
      <c r="N444" s="23">
        <v>5</v>
      </c>
      <c r="O444" s="24">
        <v>7.0999999999999994E-2</v>
      </c>
    </row>
    <row r="445" spans="1:15" x14ac:dyDescent="0.25">
      <c r="A445" s="18" t="s">
        <v>439</v>
      </c>
      <c r="B445" s="35">
        <v>5.28</v>
      </c>
      <c r="C445" s="32">
        <v>5.08</v>
      </c>
      <c r="D445" s="32">
        <v>5.28</v>
      </c>
      <c r="E445" s="32">
        <v>5.32</v>
      </c>
      <c r="F445" s="32">
        <v>5.28</v>
      </c>
      <c r="G445" s="32">
        <v>5.24</v>
      </c>
      <c r="H445" s="32">
        <v>5.12</v>
      </c>
      <c r="I445" s="32">
        <v>5.28</v>
      </c>
      <c r="J445" s="32">
        <v>5.28</v>
      </c>
      <c r="K445" s="32">
        <v>5.28</v>
      </c>
      <c r="L445" s="32">
        <v>5.08</v>
      </c>
      <c r="M445" s="23">
        <v>23</v>
      </c>
      <c r="N445" s="23">
        <v>0.6</v>
      </c>
      <c r="O445" s="24">
        <v>6.4500000000000002E-2</v>
      </c>
    </row>
    <row r="446" spans="1:15" x14ac:dyDescent="0.25">
      <c r="A446" s="18" t="s">
        <v>440</v>
      </c>
      <c r="B446" s="35">
        <v>7.28</v>
      </c>
      <c r="C446" s="32">
        <v>7.64</v>
      </c>
      <c r="D446" s="32">
        <v>7.2</v>
      </c>
      <c r="E446" s="32">
        <v>7.64</v>
      </c>
      <c r="F446" s="32">
        <v>6.84</v>
      </c>
      <c r="G446" s="32">
        <v>7.36</v>
      </c>
      <c r="H446" s="32">
        <v>7.04</v>
      </c>
      <c r="I446" s="32">
        <v>7.64</v>
      </c>
      <c r="J446" s="32">
        <v>7.64</v>
      </c>
      <c r="K446" s="32">
        <v>7.24</v>
      </c>
      <c r="L446" s="32">
        <v>6.84</v>
      </c>
      <c r="M446" s="23">
        <v>23</v>
      </c>
      <c r="N446" s="23">
        <v>2.8</v>
      </c>
      <c r="O446" s="24">
        <v>6.3200000000000006E-2</v>
      </c>
    </row>
    <row r="447" spans="1:15" x14ac:dyDescent="0.25">
      <c r="A447" s="18" t="s">
        <v>441</v>
      </c>
      <c r="B447" s="35">
        <v>9.44</v>
      </c>
      <c r="C447" s="32">
        <v>8.8000000000000007</v>
      </c>
      <c r="D447" s="32">
        <v>8.64</v>
      </c>
      <c r="E447" s="32">
        <v>8.8000000000000007</v>
      </c>
      <c r="F447" s="32">
        <v>8.9600000000000009</v>
      </c>
      <c r="G447" s="32">
        <v>9.48</v>
      </c>
      <c r="H447" s="32">
        <v>8.76</v>
      </c>
      <c r="I447" s="32">
        <v>8.9600000000000009</v>
      </c>
      <c r="J447" s="32">
        <v>8.9600000000000009</v>
      </c>
      <c r="K447" s="32">
        <v>8.9600000000000009</v>
      </c>
      <c r="L447" s="32">
        <v>8.64</v>
      </c>
      <c r="M447" s="23">
        <v>24</v>
      </c>
      <c r="N447" s="23">
        <v>4.8</v>
      </c>
      <c r="O447" s="24">
        <v>6.3899999999999998E-2</v>
      </c>
    </row>
    <row r="448" spans="1:15" x14ac:dyDescent="0.25">
      <c r="A448" s="18" t="s">
        <v>442</v>
      </c>
      <c r="B448" s="35">
        <v>7.24</v>
      </c>
      <c r="C448" s="32">
        <v>7.08</v>
      </c>
      <c r="D448" s="32">
        <v>7.04</v>
      </c>
      <c r="E448" s="32">
        <v>7.24</v>
      </c>
      <c r="F448" s="32">
        <v>7.4</v>
      </c>
      <c r="G448" s="32">
        <v>7.24</v>
      </c>
      <c r="H448" s="32">
        <v>7.08</v>
      </c>
      <c r="I448" s="32">
        <v>7.24</v>
      </c>
      <c r="J448" s="32">
        <v>7.24</v>
      </c>
      <c r="K448" s="32">
        <v>7.08</v>
      </c>
      <c r="L448" s="32">
        <v>7.04</v>
      </c>
      <c r="M448" s="23">
        <v>24</v>
      </c>
      <c r="N448" s="23">
        <v>2.8</v>
      </c>
      <c r="O448" s="24">
        <v>6.6100000000000006E-2</v>
      </c>
    </row>
    <row r="449" spans="1:15" x14ac:dyDescent="0.25">
      <c r="A449" s="18" t="s">
        <v>443</v>
      </c>
      <c r="B449" s="35">
        <v>8.48</v>
      </c>
      <c r="C449" s="32">
        <v>8.48</v>
      </c>
      <c r="D449" s="32">
        <v>8.44</v>
      </c>
      <c r="E449" s="32">
        <v>8.64</v>
      </c>
      <c r="F449" s="32">
        <v>8.76</v>
      </c>
      <c r="G449" s="32">
        <v>8.6</v>
      </c>
      <c r="H449" s="32">
        <v>8.64</v>
      </c>
      <c r="I449" s="32">
        <v>8.6</v>
      </c>
      <c r="J449" s="32">
        <v>8.48</v>
      </c>
      <c r="K449" s="32">
        <v>8.2799999999999994</v>
      </c>
      <c r="L449" s="32">
        <v>8.2799999999999994</v>
      </c>
      <c r="M449" s="23">
        <v>23</v>
      </c>
      <c r="N449" s="23">
        <v>4.5999999999999996</v>
      </c>
      <c r="O449" s="24">
        <v>6.2300000000000001E-2</v>
      </c>
    </row>
    <row r="450" spans="1:15" x14ac:dyDescent="0.25">
      <c r="A450" s="18" t="s">
        <v>444</v>
      </c>
      <c r="B450" s="35">
        <v>6.56</v>
      </c>
      <c r="C450" s="32">
        <v>6.56</v>
      </c>
      <c r="D450" s="32">
        <v>6.52</v>
      </c>
      <c r="E450" s="32">
        <v>6.56</v>
      </c>
      <c r="F450" s="32">
        <v>6.56</v>
      </c>
      <c r="G450" s="32">
        <v>6.56</v>
      </c>
      <c r="H450" s="32">
        <v>6.56</v>
      </c>
      <c r="I450" s="32">
        <v>6.56</v>
      </c>
      <c r="J450" s="32">
        <v>6.52</v>
      </c>
      <c r="K450" s="32">
        <v>6.56</v>
      </c>
      <c r="L450" s="32">
        <v>6.52</v>
      </c>
      <c r="M450" s="23">
        <v>27</v>
      </c>
      <c r="N450" s="23">
        <v>1.4</v>
      </c>
      <c r="O450" s="24">
        <v>7.3700000000000002E-2</v>
      </c>
    </row>
    <row r="451" spans="1:15" x14ac:dyDescent="0.25">
      <c r="A451" s="18" t="s">
        <v>445</v>
      </c>
      <c r="B451" s="35">
        <v>5.64</v>
      </c>
      <c r="C451" s="32">
        <v>5.64</v>
      </c>
      <c r="D451" s="32">
        <v>5.8</v>
      </c>
      <c r="E451" s="32">
        <v>5.8</v>
      </c>
      <c r="F451" s="32">
        <v>5.64</v>
      </c>
      <c r="G451" s="32">
        <v>5.8</v>
      </c>
      <c r="H451" s="32">
        <v>5.84</v>
      </c>
      <c r="I451" s="32">
        <v>5.8</v>
      </c>
      <c r="J451" s="32">
        <v>5.8</v>
      </c>
      <c r="K451" s="32">
        <v>5.8</v>
      </c>
      <c r="L451" s="32">
        <v>5.64</v>
      </c>
      <c r="M451" s="23">
        <v>25</v>
      </c>
      <c r="N451" s="23">
        <v>0.8</v>
      </c>
      <c r="O451" s="24">
        <v>6.9100000000000009E-2</v>
      </c>
    </row>
    <row r="452" spans="1:15" x14ac:dyDescent="0.25">
      <c r="A452" s="18" t="s">
        <v>446</v>
      </c>
      <c r="B452" s="35">
        <v>5.2</v>
      </c>
      <c r="C452" s="32">
        <v>5.36</v>
      </c>
      <c r="D452" s="32">
        <v>5.2</v>
      </c>
      <c r="E452" s="32">
        <v>5.4</v>
      </c>
      <c r="F452" s="32">
        <v>5.4</v>
      </c>
      <c r="G452" s="32">
        <v>5.4</v>
      </c>
      <c r="H452" s="32">
        <v>5.4</v>
      </c>
      <c r="I452" s="32">
        <v>5.36</v>
      </c>
      <c r="J452" s="32">
        <v>5.2</v>
      </c>
      <c r="K452" s="32">
        <v>5.4</v>
      </c>
      <c r="L452" s="32">
        <v>5.2</v>
      </c>
      <c r="M452" s="23">
        <v>22</v>
      </c>
      <c r="N452" s="23">
        <v>1</v>
      </c>
      <c r="O452" s="24">
        <v>5.9899999999999988E-2</v>
      </c>
    </row>
    <row r="453" spans="1:15" x14ac:dyDescent="0.25">
      <c r="A453" s="18" t="s">
        <v>447</v>
      </c>
      <c r="B453" s="35">
        <v>8.7200000000000006</v>
      </c>
      <c r="C453" s="32">
        <v>8.7200000000000006</v>
      </c>
      <c r="D453" s="32">
        <v>8.7200000000000006</v>
      </c>
      <c r="E453" s="32">
        <v>8.7200000000000006</v>
      </c>
      <c r="F453" s="32">
        <v>8.7200000000000006</v>
      </c>
      <c r="G453" s="32">
        <v>8.7200000000000006</v>
      </c>
      <c r="H453" s="32">
        <v>8.7200000000000006</v>
      </c>
      <c r="I453" s="32">
        <v>8.7200000000000006</v>
      </c>
      <c r="J453" s="32">
        <v>8.7200000000000006</v>
      </c>
      <c r="K453" s="32">
        <v>8.7200000000000006</v>
      </c>
      <c r="L453" s="32">
        <v>8.7200000000000006</v>
      </c>
      <c r="M453" s="23">
        <v>30</v>
      </c>
      <c r="N453" s="23">
        <v>3.4</v>
      </c>
      <c r="O453" s="24">
        <v>7.5499999999999998E-2</v>
      </c>
    </row>
    <row r="454" spans="1:15" x14ac:dyDescent="0.25">
      <c r="A454" s="18" t="s">
        <v>448</v>
      </c>
      <c r="B454" s="35">
        <v>7.64</v>
      </c>
      <c r="C454" s="32">
        <v>7</v>
      </c>
      <c r="D454" s="32">
        <v>7.16</v>
      </c>
      <c r="E454" s="32">
        <v>7.16</v>
      </c>
      <c r="F454" s="32">
        <v>7</v>
      </c>
      <c r="G454" s="32">
        <v>7.36</v>
      </c>
      <c r="H454" s="32">
        <v>7</v>
      </c>
      <c r="I454" s="32">
        <v>7.16</v>
      </c>
      <c r="J454" s="32">
        <v>7</v>
      </c>
      <c r="K454" s="32">
        <v>7</v>
      </c>
      <c r="L454" s="32">
        <v>7</v>
      </c>
      <c r="M454" s="23">
        <v>27</v>
      </c>
      <c r="N454" s="23">
        <v>2</v>
      </c>
      <c r="O454" s="24">
        <v>7.0700000000000013E-2</v>
      </c>
    </row>
    <row r="455" spans="1:15" x14ac:dyDescent="0.25">
      <c r="A455" s="18" t="s">
        <v>449</v>
      </c>
      <c r="B455" s="35">
        <v>8.6</v>
      </c>
      <c r="C455" s="32">
        <v>8.44</v>
      </c>
      <c r="D455" s="32">
        <v>9.1199999999999992</v>
      </c>
      <c r="E455" s="32">
        <v>8.76</v>
      </c>
      <c r="F455" s="32">
        <v>8.2799999999999994</v>
      </c>
      <c r="G455" s="32">
        <v>8.2799999999999994</v>
      </c>
      <c r="H455" s="32">
        <v>9.24</v>
      </c>
      <c r="I455" s="32">
        <v>8.2799999999999994</v>
      </c>
      <c r="J455" s="32">
        <v>8.2799999999999994</v>
      </c>
      <c r="K455" s="32">
        <v>8.44</v>
      </c>
      <c r="L455" s="32">
        <v>8.2799999999999994</v>
      </c>
      <c r="M455" s="23">
        <v>31</v>
      </c>
      <c r="N455" s="23">
        <v>2.6</v>
      </c>
      <c r="O455" s="24">
        <v>7.8800000000000009E-2</v>
      </c>
    </row>
    <row r="456" spans="1:15" x14ac:dyDescent="0.25">
      <c r="A456" s="18" t="s">
        <v>450</v>
      </c>
      <c r="B456" s="35">
        <v>7.32</v>
      </c>
      <c r="C456" s="32">
        <v>7.32</v>
      </c>
      <c r="D456" s="32">
        <v>7.32</v>
      </c>
      <c r="E456" s="32">
        <v>7.32</v>
      </c>
      <c r="F456" s="32">
        <v>7.32</v>
      </c>
      <c r="G456" s="32">
        <v>7.32</v>
      </c>
      <c r="H456" s="32">
        <v>7.32</v>
      </c>
      <c r="I456" s="32">
        <v>7.32</v>
      </c>
      <c r="J456" s="32">
        <v>7.32</v>
      </c>
      <c r="K456" s="32">
        <v>7.32</v>
      </c>
      <c r="L456" s="32">
        <v>7.32</v>
      </c>
      <c r="M456" s="23">
        <v>27</v>
      </c>
      <c r="N456" s="23">
        <v>2.4</v>
      </c>
      <c r="O456" s="24">
        <v>7.1099999999999997E-2</v>
      </c>
    </row>
    <row r="457" spans="1:15" x14ac:dyDescent="0.25">
      <c r="A457" s="18" t="s">
        <v>451</v>
      </c>
      <c r="B457" s="35">
        <v>8.48</v>
      </c>
      <c r="C457" s="32">
        <v>8.48</v>
      </c>
      <c r="D457" s="32">
        <v>8.8000000000000007</v>
      </c>
      <c r="E457" s="32">
        <v>9.1199999999999992</v>
      </c>
      <c r="F457" s="32">
        <v>8.8000000000000007</v>
      </c>
      <c r="G457" s="32">
        <v>8.64</v>
      </c>
      <c r="H457" s="32">
        <v>8.64</v>
      </c>
      <c r="I457" s="32">
        <v>8.8000000000000007</v>
      </c>
      <c r="J457" s="32">
        <v>8.64</v>
      </c>
      <c r="K457" s="32">
        <v>9.1199999999999992</v>
      </c>
      <c r="L457" s="32">
        <v>8.48</v>
      </c>
      <c r="M457" s="23">
        <v>28</v>
      </c>
      <c r="N457" s="23">
        <v>3.6</v>
      </c>
      <c r="O457" s="24">
        <v>7.5700000000000003E-2</v>
      </c>
    </row>
    <row r="458" spans="1:15" x14ac:dyDescent="0.25">
      <c r="A458" s="18" t="s">
        <v>452</v>
      </c>
      <c r="B458" s="35">
        <v>7.64</v>
      </c>
      <c r="C458" s="32">
        <v>7.64</v>
      </c>
      <c r="D458" s="32">
        <v>7.48</v>
      </c>
      <c r="E458" s="32">
        <v>7.48</v>
      </c>
      <c r="F458" s="32">
        <v>7.64</v>
      </c>
      <c r="G458" s="32">
        <v>7.64</v>
      </c>
      <c r="H458" s="32">
        <v>7.48</v>
      </c>
      <c r="I458" s="32">
        <v>7.32</v>
      </c>
      <c r="J458" s="32">
        <v>7.64</v>
      </c>
      <c r="K458" s="32">
        <v>7.48</v>
      </c>
      <c r="L458" s="32">
        <v>7.32</v>
      </c>
      <c r="M458" s="23">
        <v>23</v>
      </c>
      <c r="N458" s="23">
        <v>3.4</v>
      </c>
      <c r="O458" s="24">
        <v>6.2399999999999997E-2</v>
      </c>
    </row>
    <row r="459" spans="1:15" x14ac:dyDescent="0.25">
      <c r="A459" s="18" t="s">
        <v>453</v>
      </c>
      <c r="B459" s="35">
        <v>8.7200000000000006</v>
      </c>
      <c r="C459" s="32">
        <v>8.8800000000000008</v>
      </c>
      <c r="D459" s="32">
        <v>8.8800000000000008</v>
      </c>
      <c r="E459" s="32">
        <v>8.8800000000000008</v>
      </c>
      <c r="F459" s="32">
        <v>8.7200000000000006</v>
      </c>
      <c r="G459" s="32">
        <v>8.7200000000000006</v>
      </c>
      <c r="H459" s="32">
        <v>8.8800000000000008</v>
      </c>
      <c r="I459" s="32">
        <v>8.8800000000000008</v>
      </c>
      <c r="J459" s="32">
        <v>8.6</v>
      </c>
      <c r="K459" s="32">
        <v>8.8800000000000008</v>
      </c>
      <c r="L459" s="32">
        <v>8.6</v>
      </c>
      <c r="M459" s="23">
        <v>27</v>
      </c>
      <c r="N459" s="23">
        <v>4</v>
      </c>
      <c r="O459" s="24">
        <v>6.8500000000000005E-2</v>
      </c>
    </row>
    <row r="460" spans="1:15" x14ac:dyDescent="0.25">
      <c r="A460" s="18" t="s">
        <v>454</v>
      </c>
      <c r="B460" s="35">
        <v>5.12</v>
      </c>
      <c r="C460" s="32">
        <v>5.12</v>
      </c>
      <c r="D460" s="32">
        <v>5.12</v>
      </c>
      <c r="E460" s="32">
        <v>5.12</v>
      </c>
      <c r="F460" s="32">
        <v>5.12</v>
      </c>
      <c r="G460" s="32">
        <v>5.12</v>
      </c>
      <c r="H460" s="32">
        <v>5.12</v>
      </c>
      <c r="I460" s="32">
        <v>5.12</v>
      </c>
      <c r="J460" s="32">
        <v>5.12</v>
      </c>
      <c r="K460" s="32">
        <v>5.12</v>
      </c>
      <c r="L460" s="32">
        <v>5.12</v>
      </c>
      <c r="M460" s="23">
        <v>24</v>
      </c>
      <c r="N460" s="23">
        <v>0.4</v>
      </c>
      <c r="O460" s="24">
        <v>6.4600000000000005E-2</v>
      </c>
    </row>
    <row r="461" spans="1:15" x14ac:dyDescent="0.25">
      <c r="A461" s="18" t="s">
        <v>455</v>
      </c>
      <c r="B461" s="35">
        <v>6.72</v>
      </c>
      <c r="C461" s="32">
        <v>6.88</v>
      </c>
      <c r="D461" s="32">
        <v>6.72</v>
      </c>
      <c r="E461" s="32">
        <v>6.72</v>
      </c>
      <c r="F461" s="32">
        <v>6.72</v>
      </c>
      <c r="G461" s="32">
        <v>6.72</v>
      </c>
      <c r="H461" s="32">
        <v>6.72</v>
      </c>
      <c r="I461" s="32">
        <v>6.88</v>
      </c>
      <c r="J461" s="32">
        <v>6.72</v>
      </c>
      <c r="K461" s="32">
        <v>6.72</v>
      </c>
      <c r="L461" s="32">
        <v>6.72</v>
      </c>
      <c r="M461" s="23">
        <v>28</v>
      </c>
      <c r="N461" s="23">
        <v>1.4</v>
      </c>
      <c r="O461" s="24">
        <v>7.7499999999999999E-2</v>
      </c>
    </row>
    <row r="462" spans="1:15" x14ac:dyDescent="0.25">
      <c r="A462" s="18" t="s">
        <v>456</v>
      </c>
      <c r="B462" s="35">
        <v>8.08</v>
      </c>
      <c r="C462" s="32">
        <v>7.96</v>
      </c>
      <c r="D462" s="32">
        <v>8.08</v>
      </c>
      <c r="E462" s="32">
        <v>7.96</v>
      </c>
      <c r="F462" s="32">
        <v>7.96</v>
      </c>
      <c r="G462" s="32">
        <v>7.96</v>
      </c>
      <c r="H462" s="32">
        <v>8.1199999999999992</v>
      </c>
      <c r="I462" s="32">
        <v>8.08</v>
      </c>
      <c r="J462" s="32">
        <v>8.1199999999999992</v>
      </c>
      <c r="K462" s="32">
        <v>7.92</v>
      </c>
      <c r="L462" s="32">
        <v>7.92</v>
      </c>
      <c r="M462" s="23">
        <v>26</v>
      </c>
      <c r="N462" s="23">
        <v>3.4</v>
      </c>
      <c r="O462" s="24">
        <v>7.0999999999999994E-2</v>
      </c>
    </row>
    <row r="463" spans="1:15" x14ac:dyDescent="0.25">
      <c r="A463" s="18" t="s">
        <v>457</v>
      </c>
      <c r="B463" s="35">
        <v>7.92</v>
      </c>
      <c r="C463" s="32">
        <v>8.08</v>
      </c>
      <c r="D463" s="32">
        <v>7.96</v>
      </c>
      <c r="E463" s="32">
        <v>7.92</v>
      </c>
      <c r="F463" s="32">
        <v>8.1199999999999992</v>
      </c>
      <c r="G463" s="32">
        <v>7.76</v>
      </c>
      <c r="H463" s="32">
        <v>7.96</v>
      </c>
      <c r="I463" s="32">
        <v>7.92</v>
      </c>
      <c r="J463" s="32">
        <v>7.92</v>
      </c>
      <c r="K463" s="32">
        <v>8.08</v>
      </c>
      <c r="L463" s="32">
        <v>7.76</v>
      </c>
      <c r="M463" s="23">
        <v>26</v>
      </c>
      <c r="N463" s="23">
        <v>3.2</v>
      </c>
      <c r="O463" s="24">
        <v>7.0599999999999996E-2</v>
      </c>
    </row>
    <row r="464" spans="1:15" x14ac:dyDescent="0.25">
      <c r="A464" s="18" t="s">
        <v>458</v>
      </c>
      <c r="B464" s="35">
        <v>5.64</v>
      </c>
      <c r="C464" s="32">
        <v>5.04</v>
      </c>
      <c r="D464" s="32">
        <v>5.84</v>
      </c>
      <c r="E464" s="32">
        <v>5.04</v>
      </c>
      <c r="F464" s="32">
        <v>5.04</v>
      </c>
      <c r="G464" s="32">
        <v>5.56</v>
      </c>
      <c r="H464" s="32">
        <v>5</v>
      </c>
      <c r="I464" s="32">
        <v>4.84</v>
      </c>
      <c r="J464" s="32">
        <v>5.04</v>
      </c>
      <c r="K464" s="32">
        <v>5.04</v>
      </c>
      <c r="L464" s="32">
        <v>4.84</v>
      </c>
      <c r="M464" s="23">
        <v>21</v>
      </c>
      <c r="N464" s="23">
        <v>0.8</v>
      </c>
      <c r="O464" s="24">
        <v>5.8399999999999987E-2</v>
      </c>
    </row>
    <row r="465" spans="1:15" x14ac:dyDescent="0.25">
      <c r="A465" s="18" t="s">
        <v>459</v>
      </c>
      <c r="B465" s="35">
        <v>6.6</v>
      </c>
      <c r="C465" s="32">
        <v>6.64</v>
      </c>
      <c r="D465" s="32">
        <v>6.48</v>
      </c>
      <c r="E465" s="32">
        <v>6.6</v>
      </c>
      <c r="F465" s="32">
        <v>6.6</v>
      </c>
      <c r="G465" s="32">
        <v>6.6</v>
      </c>
      <c r="H465" s="32">
        <v>6.64</v>
      </c>
      <c r="I465" s="32">
        <v>6.64</v>
      </c>
      <c r="J465" s="32">
        <v>6.6</v>
      </c>
      <c r="K465" s="32">
        <v>6.64</v>
      </c>
      <c r="L465" s="32">
        <v>6.48</v>
      </c>
      <c r="M465" s="23">
        <v>26</v>
      </c>
      <c r="N465" s="23">
        <v>1.6</v>
      </c>
      <c r="O465" s="24">
        <v>6.7299999999999999E-2</v>
      </c>
    </row>
    <row r="466" spans="1:15" x14ac:dyDescent="0.25">
      <c r="A466" s="18" t="s">
        <v>460</v>
      </c>
      <c r="B466" s="35">
        <v>6.4</v>
      </c>
      <c r="C466" s="32">
        <v>6.24</v>
      </c>
      <c r="D466" s="32">
        <v>6.24</v>
      </c>
      <c r="E466" s="32">
        <v>6.24</v>
      </c>
      <c r="F466" s="32">
        <v>6.24</v>
      </c>
      <c r="G466" s="32">
        <v>6.4</v>
      </c>
      <c r="H466" s="32">
        <v>6.4</v>
      </c>
      <c r="I466" s="32">
        <v>6.24</v>
      </c>
      <c r="J466" s="32">
        <v>6.4</v>
      </c>
      <c r="K466" s="32">
        <v>6.4</v>
      </c>
      <c r="L466" s="32">
        <v>6.24</v>
      </c>
      <c r="M466" s="23">
        <v>24</v>
      </c>
      <c r="N466" s="23">
        <v>1.8</v>
      </c>
      <c r="O466" s="24">
        <v>6.3399999999999998E-2</v>
      </c>
    </row>
    <row r="467" spans="1:15" x14ac:dyDescent="0.25">
      <c r="A467" s="18" t="s">
        <v>461</v>
      </c>
      <c r="B467" s="35">
        <v>6.08</v>
      </c>
      <c r="C467" s="32">
        <v>6.08</v>
      </c>
      <c r="D467" s="32">
        <v>6.08</v>
      </c>
      <c r="E467" s="32">
        <v>6.08</v>
      </c>
      <c r="F467" s="32">
        <v>5.92</v>
      </c>
      <c r="G467" s="32">
        <v>6.08</v>
      </c>
      <c r="H467" s="32">
        <v>5.92</v>
      </c>
      <c r="I467" s="32">
        <v>6.08</v>
      </c>
      <c r="J467" s="32">
        <v>6.08</v>
      </c>
      <c r="K467" s="32">
        <v>6.08</v>
      </c>
      <c r="L467" s="32">
        <v>5.92</v>
      </c>
      <c r="M467" s="23">
        <v>24</v>
      </c>
      <c r="N467" s="23">
        <v>1.4</v>
      </c>
      <c r="O467" s="24">
        <v>6.3799999999999996E-2</v>
      </c>
    </row>
    <row r="468" spans="1:15" x14ac:dyDescent="0.25">
      <c r="A468" s="18" t="s">
        <v>462</v>
      </c>
      <c r="B468" s="35">
        <v>5.6</v>
      </c>
      <c r="C468" s="32">
        <v>5.84</v>
      </c>
      <c r="D468" s="32">
        <v>5.8</v>
      </c>
      <c r="E468" s="32">
        <v>5.84</v>
      </c>
      <c r="F468" s="32">
        <v>5.6</v>
      </c>
      <c r="G468" s="32">
        <v>5.6</v>
      </c>
      <c r="H468" s="32">
        <v>5.6</v>
      </c>
      <c r="I468" s="32">
        <v>5.6</v>
      </c>
      <c r="J468" s="32">
        <v>5.84</v>
      </c>
      <c r="K468" s="32">
        <v>5.64</v>
      </c>
      <c r="L468" s="32">
        <v>5.6</v>
      </c>
      <c r="M468" s="23">
        <v>24</v>
      </c>
      <c r="N468" s="23">
        <v>1</v>
      </c>
      <c r="O468" s="24">
        <v>6.3100000000000003E-2</v>
      </c>
    </row>
    <row r="469" spans="1:15" x14ac:dyDescent="0.25">
      <c r="A469" s="18" t="s">
        <v>463</v>
      </c>
      <c r="B469" s="35">
        <v>6.08</v>
      </c>
      <c r="C469" s="32">
        <v>5.88</v>
      </c>
      <c r="D469" s="32">
        <v>6.04</v>
      </c>
      <c r="E469" s="32">
        <v>6.08</v>
      </c>
      <c r="F469" s="32">
        <v>5.92</v>
      </c>
      <c r="G469" s="32">
        <v>5.92</v>
      </c>
      <c r="H469" s="32">
        <v>5.92</v>
      </c>
      <c r="I469" s="32">
        <v>5.88</v>
      </c>
      <c r="J469" s="32">
        <v>6.08</v>
      </c>
      <c r="K469" s="32">
        <v>6.08</v>
      </c>
      <c r="L469" s="32">
        <v>5.88</v>
      </c>
      <c r="M469" s="23">
        <v>23</v>
      </c>
      <c r="N469" s="23">
        <v>1.6</v>
      </c>
      <c r="O469" s="24">
        <v>6.3299999999999995E-2</v>
      </c>
    </row>
    <row r="470" spans="1:15" x14ac:dyDescent="0.25">
      <c r="A470" s="18" t="s">
        <v>464</v>
      </c>
      <c r="B470" s="35">
        <v>8.1199999999999992</v>
      </c>
      <c r="C470" s="32">
        <v>7.44</v>
      </c>
      <c r="D470" s="32">
        <v>7.76</v>
      </c>
      <c r="E470" s="32">
        <v>7.64</v>
      </c>
      <c r="F470" s="32">
        <v>7.92</v>
      </c>
      <c r="G470" s="32">
        <v>7.76</v>
      </c>
      <c r="H470" s="32">
        <v>8.0399999999999991</v>
      </c>
      <c r="I470" s="32">
        <v>8.08</v>
      </c>
      <c r="J470" s="32">
        <v>7.44</v>
      </c>
      <c r="K470" s="32">
        <v>7.76</v>
      </c>
      <c r="L470" s="32">
        <v>7.44</v>
      </c>
      <c r="M470" s="23">
        <v>26</v>
      </c>
      <c r="N470" s="23">
        <v>2.8</v>
      </c>
      <c r="O470" s="24">
        <v>6.9900000000000004E-2</v>
      </c>
    </row>
    <row r="471" spans="1:15" x14ac:dyDescent="0.25">
      <c r="A471" s="18" t="s">
        <v>465</v>
      </c>
      <c r="B471" s="35">
        <v>6</v>
      </c>
      <c r="C471" s="32">
        <v>6</v>
      </c>
      <c r="D471" s="32">
        <v>6</v>
      </c>
      <c r="E471" s="32">
        <v>5.8</v>
      </c>
      <c r="F471" s="32">
        <v>6</v>
      </c>
      <c r="G471" s="32">
        <v>6</v>
      </c>
      <c r="H471" s="32">
        <v>6</v>
      </c>
      <c r="I471" s="32">
        <v>6</v>
      </c>
      <c r="J471" s="32">
        <v>6</v>
      </c>
      <c r="K471" s="32">
        <v>6</v>
      </c>
      <c r="L471" s="32">
        <v>5.8</v>
      </c>
      <c r="M471" s="23">
        <v>25</v>
      </c>
      <c r="N471" s="23">
        <v>1</v>
      </c>
      <c r="O471" s="24">
        <v>6.8700000000000011E-2</v>
      </c>
    </row>
    <row r="472" spans="1:15" x14ac:dyDescent="0.25">
      <c r="A472" s="18" t="s">
        <v>466</v>
      </c>
      <c r="B472" s="35">
        <v>4.5599999999999996</v>
      </c>
      <c r="C472" s="32">
        <v>4.5599999999999996</v>
      </c>
      <c r="D472" s="32">
        <v>4.72</v>
      </c>
      <c r="E472" s="32">
        <v>4.88</v>
      </c>
      <c r="F472" s="32">
        <v>4.72</v>
      </c>
      <c r="G472" s="32">
        <v>4.96</v>
      </c>
      <c r="H472" s="32">
        <v>4.92</v>
      </c>
      <c r="I472" s="32">
        <v>4.92</v>
      </c>
      <c r="J472" s="32">
        <v>4.92</v>
      </c>
      <c r="K472" s="32">
        <v>4.76</v>
      </c>
      <c r="L472" s="32">
        <v>4.5599999999999996</v>
      </c>
      <c r="M472" s="23">
        <v>22</v>
      </c>
      <c r="N472" s="23">
        <v>0.2</v>
      </c>
      <c r="O472" s="24">
        <v>6.2300000000000001E-2</v>
      </c>
    </row>
    <row r="473" spans="1:15" x14ac:dyDescent="0.25">
      <c r="A473" s="18" t="s">
        <v>467</v>
      </c>
      <c r="B473" s="35">
        <v>5.96</v>
      </c>
      <c r="C473" s="32">
        <v>5.96</v>
      </c>
      <c r="D473" s="32">
        <v>5.96</v>
      </c>
      <c r="E473" s="32">
        <v>5.44</v>
      </c>
      <c r="F473" s="32">
        <v>5.6</v>
      </c>
      <c r="G473" s="32">
        <v>5.96</v>
      </c>
      <c r="H473" s="32">
        <v>5.96</v>
      </c>
      <c r="I473" s="32">
        <v>5.44</v>
      </c>
      <c r="J473" s="32">
        <v>5.96</v>
      </c>
      <c r="K473" s="32">
        <v>5.96</v>
      </c>
      <c r="L473" s="32">
        <v>5.44</v>
      </c>
      <c r="M473" s="23">
        <v>24</v>
      </c>
      <c r="N473" s="23">
        <v>0.8</v>
      </c>
      <c r="O473" s="24">
        <v>6.4100000000000004E-2</v>
      </c>
    </row>
    <row r="474" spans="1:15" x14ac:dyDescent="0.25">
      <c r="A474" s="18" t="s">
        <v>468</v>
      </c>
      <c r="B474" s="35">
        <v>6.2</v>
      </c>
      <c r="C474" s="32">
        <v>6.2</v>
      </c>
      <c r="D474" s="32">
        <v>6.2</v>
      </c>
      <c r="E474" s="32">
        <v>6.2</v>
      </c>
      <c r="F474" s="32">
        <v>6.2</v>
      </c>
      <c r="G474" s="32">
        <v>6.2</v>
      </c>
      <c r="H474" s="32">
        <v>6.2</v>
      </c>
      <c r="I474" s="32">
        <v>6.2</v>
      </c>
      <c r="J474" s="32">
        <v>6.2</v>
      </c>
      <c r="K474" s="32">
        <v>6.2</v>
      </c>
      <c r="L474" s="32">
        <v>6.2</v>
      </c>
      <c r="M474" s="23">
        <v>27</v>
      </c>
      <c r="N474" s="23">
        <v>1</v>
      </c>
      <c r="O474" s="24">
        <v>7.0000000000000007E-2</v>
      </c>
    </row>
    <row r="475" spans="1:15" x14ac:dyDescent="0.25">
      <c r="A475" s="18" t="s">
        <v>469</v>
      </c>
      <c r="B475" s="35">
        <v>7.48</v>
      </c>
      <c r="C475" s="32">
        <v>7.68</v>
      </c>
      <c r="D475" s="32">
        <v>7.48</v>
      </c>
      <c r="E475" s="32">
        <v>7.48</v>
      </c>
      <c r="F475" s="32">
        <v>7.32</v>
      </c>
      <c r="G475" s="32">
        <v>7.48</v>
      </c>
      <c r="H475" s="32">
        <v>7.48</v>
      </c>
      <c r="I475" s="32">
        <v>7.32</v>
      </c>
      <c r="J475" s="32">
        <v>7.68</v>
      </c>
      <c r="K475" s="32">
        <v>7.64</v>
      </c>
      <c r="L475" s="32">
        <v>7.32</v>
      </c>
      <c r="M475" s="23">
        <v>31</v>
      </c>
      <c r="N475" s="23">
        <v>1.4</v>
      </c>
      <c r="O475" s="24">
        <v>7.980000000000001E-2</v>
      </c>
    </row>
    <row r="476" spans="1:15" x14ac:dyDescent="0.25">
      <c r="A476" s="18" t="s">
        <v>470</v>
      </c>
      <c r="B476" s="35">
        <v>5.8</v>
      </c>
      <c r="C476" s="32">
        <v>5.8</v>
      </c>
      <c r="D476" s="32">
        <v>5.8</v>
      </c>
      <c r="E476" s="32">
        <v>5.8</v>
      </c>
      <c r="F476" s="32">
        <v>5.8</v>
      </c>
      <c r="G476" s="32">
        <v>5.8</v>
      </c>
      <c r="H476" s="32">
        <v>5.8</v>
      </c>
      <c r="I476" s="32">
        <v>5.8</v>
      </c>
      <c r="J476" s="32">
        <v>5.8</v>
      </c>
      <c r="K476" s="32">
        <v>5.8</v>
      </c>
      <c r="L476" s="32">
        <v>5.8</v>
      </c>
      <c r="M476" s="23">
        <v>25</v>
      </c>
      <c r="N476" s="23">
        <v>1</v>
      </c>
      <c r="O476" s="24">
        <v>6.6100000000000006E-2</v>
      </c>
    </row>
    <row r="477" spans="1:15" x14ac:dyDescent="0.25">
      <c r="A477" s="18" t="s">
        <v>471</v>
      </c>
      <c r="B477" s="35">
        <v>8.36</v>
      </c>
      <c r="C477" s="32">
        <v>8.36</v>
      </c>
      <c r="D477" s="32">
        <v>8.16</v>
      </c>
      <c r="E477" s="32">
        <v>8.36</v>
      </c>
      <c r="F477" s="32">
        <v>8.32</v>
      </c>
      <c r="G477" s="32">
        <v>8.32</v>
      </c>
      <c r="H477" s="32">
        <v>8.32</v>
      </c>
      <c r="I477" s="32">
        <v>8.36</v>
      </c>
      <c r="J477" s="32">
        <v>8.32</v>
      </c>
      <c r="K477" s="32">
        <v>8.32</v>
      </c>
      <c r="L477" s="32">
        <v>8.16</v>
      </c>
      <c r="M477" s="23">
        <v>24</v>
      </c>
      <c r="N477" s="23">
        <v>4.2</v>
      </c>
      <c r="O477" s="24">
        <v>6.2899999999999998E-2</v>
      </c>
    </row>
    <row r="478" spans="1:15" x14ac:dyDescent="0.25">
      <c r="A478" s="18" t="s">
        <v>472</v>
      </c>
      <c r="B478" s="35">
        <v>5.52</v>
      </c>
      <c r="C478" s="32">
        <v>5.32</v>
      </c>
      <c r="D478" s="32">
        <v>5.48</v>
      </c>
      <c r="E478" s="32">
        <v>5.52</v>
      </c>
      <c r="F478" s="32">
        <v>5.52</v>
      </c>
      <c r="G478" s="32">
        <v>5.52</v>
      </c>
      <c r="H478" s="32">
        <v>5.52</v>
      </c>
      <c r="I478" s="32">
        <v>5.48</v>
      </c>
      <c r="J478" s="32">
        <v>5.52</v>
      </c>
      <c r="K478" s="32">
        <v>5.52</v>
      </c>
      <c r="L478" s="32">
        <v>5.32</v>
      </c>
      <c r="M478" s="23">
        <v>25</v>
      </c>
      <c r="N478" s="23">
        <v>0.4</v>
      </c>
      <c r="O478" s="24">
        <v>6.9200000000000012E-2</v>
      </c>
    </row>
    <row r="479" spans="1:15" x14ac:dyDescent="0.25">
      <c r="A479" s="18" t="s">
        <v>473</v>
      </c>
      <c r="B479" s="35">
        <v>8.56</v>
      </c>
      <c r="C479" s="32">
        <v>8.52</v>
      </c>
      <c r="D479" s="32">
        <v>8.52</v>
      </c>
      <c r="E479" s="32">
        <v>8.52</v>
      </c>
      <c r="F479" s="32">
        <v>8.52</v>
      </c>
      <c r="G479" s="32">
        <v>8.52</v>
      </c>
      <c r="H479" s="32">
        <v>8.52</v>
      </c>
      <c r="I479" s="32">
        <v>8.48</v>
      </c>
      <c r="J479" s="32">
        <v>8.52</v>
      </c>
      <c r="K479" s="32">
        <v>8.52</v>
      </c>
      <c r="L479" s="32">
        <v>8.48</v>
      </c>
      <c r="M479" s="23">
        <v>24</v>
      </c>
      <c r="N479" s="23">
        <v>4.5999999999999996</v>
      </c>
      <c r="O479" s="24">
        <v>6.3100000000000003E-2</v>
      </c>
    </row>
    <row r="480" spans="1:15" x14ac:dyDescent="0.25">
      <c r="A480" s="18" t="s">
        <v>474</v>
      </c>
      <c r="B480" s="35">
        <v>7.44</v>
      </c>
      <c r="C480" s="32">
        <v>7.28</v>
      </c>
      <c r="D480" s="32">
        <v>7.44</v>
      </c>
      <c r="E480" s="32">
        <v>7.28</v>
      </c>
      <c r="F480" s="32">
        <v>7.28</v>
      </c>
      <c r="G480" s="32">
        <v>7.44</v>
      </c>
      <c r="H480" s="32">
        <v>7.44</v>
      </c>
      <c r="I480" s="32">
        <v>7.28</v>
      </c>
      <c r="J480" s="32">
        <v>7.28</v>
      </c>
      <c r="K480" s="32">
        <v>7.28</v>
      </c>
      <c r="L480" s="32">
        <v>7.28</v>
      </c>
      <c r="M480" s="23">
        <v>26</v>
      </c>
      <c r="N480" s="23">
        <v>2.6</v>
      </c>
      <c r="O480" s="24">
        <v>6.93E-2</v>
      </c>
    </row>
    <row r="481" spans="1:15" x14ac:dyDescent="0.25">
      <c r="A481" s="18" t="s">
        <v>475</v>
      </c>
      <c r="B481" s="35">
        <v>7.6</v>
      </c>
      <c r="C481" s="32">
        <v>7.6</v>
      </c>
      <c r="D481" s="32">
        <v>7.44</v>
      </c>
      <c r="E481" s="32">
        <v>7.6</v>
      </c>
      <c r="F481" s="32">
        <v>7.6</v>
      </c>
      <c r="G481" s="32">
        <v>7.44</v>
      </c>
      <c r="H481" s="32">
        <v>7.6</v>
      </c>
      <c r="I481" s="32">
        <v>7.6</v>
      </c>
      <c r="J481" s="32">
        <v>7.6</v>
      </c>
      <c r="K481" s="32">
        <v>7.44</v>
      </c>
      <c r="L481" s="32">
        <v>7.44</v>
      </c>
      <c r="M481" s="23">
        <v>26</v>
      </c>
      <c r="N481" s="23">
        <v>2.8</v>
      </c>
      <c r="O481" s="24">
        <v>6.93E-2</v>
      </c>
    </row>
    <row r="482" spans="1:15" x14ac:dyDescent="0.25">
      <c r="A482" s="18" t="s">
        <v>476</v>
      </c>
      <c r="B482" s="35">
        <v>8.6</v>
      </c>
      <c r="C482" s="32">
        <v>8.64</v>
      </c>
      <c r="D482" s="32">
        <v>8.6</v>
      </c>
      <c r="E482" s="32">
        <v>8.76</v>
      </c>
      <c r="F482" s="32">
        <v>8.32</v>
      </c>
      <c r="G482" s="32">
        <v>9.24</v>
      </c>
      <c r="H482" s="32">
        <v>9.1199999999999992</v>
      </c>
      <c r="I482" s="32">
        <v>8.44</v>
      </c>
      <c r="J482" s="32">
        <v>9.44</v>
      </c>
      <c r="K482" s="32">
        <v>8.6</v>
      </c>
      <c r="L482" s="32">
        <v>8.32</v>
      </c>
      <c r="M482" s="23">
        <v>28</v>
      </c>
      <c r="N482" s="23">
        <v>3.4</v>
      </c>
      <c r="O482" s="24">
        <v>7.3700000000000002E-2</v>
      </c>
    </row>
    <row r="483" spans="1:15" x14ac:dyDescent="0.25">
      <c r="A483" s="18" t="s">
        <v>477</v>
      </c>
      <c r="B483" s="35">
        <v>8.2799999999999994</v>
      </c>
      <c r="C483" s="32">
        <v>8.44</v>
      </c>
      <c r="D483" s="32">
        <v>8.2799999999999994</v>
      </c>
      <c r="E483" s="32">
        <v>8.44</v>
      </c>
      <c r="F483" s="32">
        <v>8.2799999999999994</v>
      </c>
      <c r="G483" s="32">
        <v>8.32</v>
      </c>
      <c r="H483" s="32">
        <v>8.32</v>
      </c>
      <c r="I483" s="32">
        <v>8.2799999999999994</v>
      </c>
      <c r="J483" s="32">
        <v>8.44</v>
      </c>
      <c r="K483" s="32">
        <v>8.2799999999999994</v>
      </c>
      <c r="L483" s="32">
        <v>8.2799999999999994</v>
      </c>
      <c r="M483" s="23">
        <v>27</v>
      </c>
      <c r="N483" s="23">
        <v>3.6</v>
      </c>
      <c r="O483" s="24">
        <v>7.1899999999999992E-2</v>
      </c>
    </row>
    <row r="484" spans="1:15" x14ac:dyDescent="0.25">
      <c r="A484" s="18" t="s">
        <v>478</v>
      </c>
      <c r="B484" s="35">
        <v>9.84</v>
      </c>
      <c r="C484" s="32">
        <v>9.8000000000000007</v>
      </c>
      <c r="D484" s="32">
        <v>9.1999999999999993</v>
      </c>
      <c r="E484" s="32">
        <v>9.64</v>
      </c>
      <c r="F484" s="32">
        <v>9.84</v>
      </c>
      <c r="G484" s="32">
        <v>9.8000000000000007</v>
      </c>
      <c r="H484" s="32">
        <v>9.1999999999999993</v>
      </c>
      <c r="I484" s="32">
        <v>9.8000000000000007</v>
      </c>
      <c r="J484" s="32">
        <v>9.1999999999999993</v>
      </c>
      <c r="K484" s="32">
        <v>9.56</v>
      </c>
      <c r="L484" s="32">
        <v>9.1999999999999993</v>
      </c>
      <c r="M484" s="23">
        <v>30</v>
      </c>
      <c r="N484" s="23">
        <v>4</v>
      </c>
      <c r="O484" s="24">
        <v>7.6300000000000007E-2</v>
      </c>
    </row>
    <row r="485" spans="1:15" x14ac:dyDescent="0.25">
      <c r="A485" s="18" t="s">
        <v>479</v>
      </c>
      <c r="B485" s="35">
        <v>8.16</v>
      </c>
      <c r="C485" s="32">
        <v>8.48</v>
      </c>
      <c r="D485" s="32">
        <v>8.16</v>
      </c>
      <c r="E485" s="32">
        <v>8.16</v>
      </c>
      <c r="F485" s="32">
        <v>8.32</v>
      </c>
      <c r="G485" s="32">
        <v>8.1999999999999993</v>
      </c>
      <c r="H485" s="32">
        <v>8.52</v>
      </c>
      <c r="I485" s="32">
        <v>8.16</v>
      </c>
      <c r="J485" s="32">
        <v>8.16</v>
      </c>
      <c r="K485" s="32">
        <v>8.48</v>
      </c>
      <c r="L485" s="32">
        <v>8.16</v>
      </c>
      <c r="M485" s="23">
        <v>24</v>
      </c>
      <c r="N485" s="23">
        <v>4.2</v>
      </c>
      <c r="O485" s="24">
        <v>6.6000000000000003E-2</v>
      </c>
    </row>
    <row r="486" spans="1:15" x14ac:dyDescent="0.25">
      <c r="A486" s="18" t="s">
        <v>480</v>
      </c>
      <c r="B486" s="35">
        <v>7.6</v>
      </c>
      <c r="C486" s="32">
        <v>7.6</v>
      </c>
      <c r="D486" s="32">
        <v>7.6</v>
      </c>
      <c r="E486" s="32">
        <v>7.6</v>
      </c>
      <c r="F486" s="32">
        <v>7.6</v>
      </c>
      <c r="G486" s="32">
        <v>7.6</v>
      </c>
      <c r="H486" s="32">
        <v>7.6</v>
      </c>
      <c r="I486" s="32">
        <v>7.6</v>
      </c>
      <c r="J486" s="32">
        <v>7.6</v>
      </c>
      <c r="K486" s="32">
        <v>7.6</v>
      </c>
      <c r="L486" s="32">
        <v>7.6</v>
      </c>
      <c r="M486" s="23">
        <v>22</v>
      </c>
      <c r="N486" s="23">
        <v>4</v>
      </c>
      <c r="O486" s="24">
        <v>6.2799999999999995E-2</v>
      </c>
    </row>
    <row r="487" spans="1:15" x14ac:dyDescent="0.25">
      <c r="A487" s="18" t="s">
        <v>481</v>
      </c>
      <c r="B487" s="35">
        <v>8.84</v>
      </c>
      <c r="C487" s="32">
        <v>8.52</v>
      </c>
      <c r="D487" s="32">
        <v>8.8800000000000008</v>
      </c>
      <c r="E487" s="32">
        <v>8.84</v>
      </c>
      <c r="F487" s="32">
        <v>8.1999999999999993</v>
      </c>
      <c r="G487" s="32">
        <v>8.84</v>
      </c>
      <c r="H487" s="32">
        <v>8.68</v>
      </c>
      <c r="I487" s="32">
        <v>8.8800000000000008</v>
      </c>
      <c r="J487" s="32">
        <v>8.68</v>
      </c>
      <c r="K487" s="32">
        <v>8.8800000000000008</v>
      </c>
      <c r="L487" s="32">
        <v>8.1999999999999993</v>
      </c>
      <c r="M487" s="23">
        <v>29</v>
      </c>
      <c r="N487" s="23">
        <v>3</v>
      </c>
      <c r="O487" s="24">
        <v>7.5600000000000001E-2</v>
      </c>
    </row>
    <row r="488" spans="1:15" x14ac:dyDescent="0.25">
      <c r="A488" s="18" t="s">
        <v>482</v>
      </c>
      <c r="B488" s="35">
        <v>8.36</v>
      </c>
      <c r="C488" s="32">
        <v>8.36</v>
      </c>
      <c r="D488" s="32">
        <v>8.52</v>
      </c>
      <c r="E488" s="32">
        <v>8.36</v>
      </c>
      <c r="F488" s="32">
        <v>8.1999999999999993</v>
      </c>
      <c r="G488" s="32">
        <v>8.36</v>
      </c>
      <c r="H488" s="32">
        <v>8.36</v>
      </c>
      <c r="I488" s="32">
        <v>8.52</v>
      </c>
      <c r="J488" s="32">
        <v>8.56</v>
      </c>
      <c r="K488" s="32">
        <v>8.56</v>
      </c>
      <c r="L488" s="32">
        <v>8.1999999999999993</v>
      </c>
      <c r="M488" s="23">
        <v>29</v>
      </c>
      <c r="N488" s="23">
        <v>3</v>
      </c>
      <c r="O488" s="24">
        <v>7.7499999999999999E-2</v>
      </c>
    </row>
    <row r="489" spans="1:15" x14ac:dyDescent="0.25">
      <c r="A489" s="18" t="s">
        <v>483</v>
      </c>
      <c r="B489" s="35">
        <v>7.88</v>
      </c>
      <c r="C489" s="32">
        <v>7.88</v>
      </c>
      <c r="D489" s="32">
        <v>7.2</v>
      </c>
      <c r="E489" s="32">
        <v>7.72</v>
      </c>
      <c r="F489" s="32">
        <v>7.72</v>
      </c>
      <c r="G489" s="32">
        <v>7.72</v>
      </c>
      <c r="H489" s="32">
        <v>7.72</v>
      </c>
      <c r="I489" s="32">
        <v>7.72</v>
      </c>
      <c r="J489" s="32">
        <v>7.4</v>
      </c>
      <c r="K489" s="32">
        <v>7.72</v>
      </c>
      <c r="L489" s="32">
        <v>7.2</v>
      </c>
      <c r="M489" s="23">
        <v>28</v>
      </c>
      <c r="N489" s="23">
        <v>2</v>
      </c>
      <c r="O489" s="24">
        <v>7.6999999999999999E-2</v>
      </c>
    </row>
    <row r="490" spans="1:15" x14ac:dyDescent="0.25">
      <c r="A490" s="18" t="s">
        <v>484</v>
      </c>
      <c r="B490" s="35">
        <v>4.72</v>
      </c>
      <c r="C490" s="32">
        <v>5.04</v>
      </c>
      <c r="D490" s="32">
        <v>5.24</v>
      </c>
      <c r="E490" s="32">
        <v>4.92</v>
      </c>
      <c r="F490" s="32">
        <v>4.92</v>
      </c>
      <c r="G490" s="32">
        <v>4.88</v>
      </c>
      <c r="H490" s="32">
        <v>5.24</v>
      </c>
      <c r="I490" s="32">
        <v>5.24</v>
      </c>
      <c r="J490" s="32">
        <v>5.08</v>
      </c>
      <c r="K490" s="32">
        <v>4.92</v>
      </c>
      <c r="L490" s="32">
        <v>4.72</v>
      </c>
      <c r="M490" s="23">
        <v>22</v>
      </c>
      <c r="N490" s="23">
        <v>0.4</v>
      </c>
      <c r="O490" s="24">
        <v>6.1499999999999999E-2</v>
      </c>
    </row>
    <row r="491" spans="1:15" x14ac:dyDescent="0.25">
      <c r="A491" s="18" t="s">
        <v>485</v>
      </c>
      <c r="B491" s="35">
        <v>6.12</v>
      </c>
      <c r="C491" s="32">
        <v>6.16</v>
      </c>
      <c r="D491" s="32">
        <v>6.16</v>
      </c>
      <c r="E491" s="32">
        <v>5.96</v>
      </c>
      <c r="F491" s="32">
        <v>6.16</v>
      </c>
      <c r="G491" s="32">
        <v>6.16</v>
      </c>
      <c r="H491" s="32">
        <v>6.16</v>
      </c>
      <c r="I491" s="32">
        <v>6.12</v>
      </c>
      <c r="J491" s="32">
        <v>6.16</v>
      </c>
      <c r="K491" s="32">
        <v>6.16</v>
      </c>
      <c r="L491" s="32">
        <v>5.96</v>
      </c>
      <c r="M491" s="23">
        <v>29</v>
      </c>
      <c r="N491" s="23">
        <v>0.2</v>
      </c>
      <c r="O491" s="24">
        <v>7.7300000000000008E-2</v>
      </c>
    </row>
    <row r="492" spans="1:15" x14ac:dyDescent="0.25">
      <c r="A492" s="18" t="s">
        <v>486</v>
      </c>
      <c r="B492" s="35">
        <v>6.08</v>
      </c>
      <c r="C492" s="32">
        <v>6.08</v>
      </c>
      <c r="D492" s="32">
        <v>5.96</v>
      </c>
      <c r="E492" s="32">
        <v>6.08</v>
      </c>
      <c r="F492" s="32">
        <v>5.92</v>
      </c>
      <c r="G492" s="32">
        <v>6.08</v>
      </c>
      <c r="H492" s="32">
        <v>6.08</v>
      </c>
      <c r="I492" s="32">
        <v>6.08</v>
      </c>
      <c r="J492" s="32">
        <v>6.08</v>
      </c>
      <c r="K492" s="32">
        <v>6.08</v>
      </c>
      <c r="L492" s="32">
        <v>5.92</v>
      </c>
      <c r="M492" s="23">
        <v>24</v>
      </c>
      <c r="N492" s="23">
        <v>1.4</v>
      </c>
      <c r="O492" s="24">
        <v>6.9700000000000012E-2</v>
      </c>
    </row>
    <row r="493" spans="1:15" x14ac:dyDescent="0.25">
      <c r="A493" s="18" t="s">
        <v>487</v>
      </c>
      <c r="B493" s="35">
        <v>7.76</v>
      </c>
      <c r="C493" s="32">
        <v>7.72</v>
      </c>
      <c r="D493" s="32">
        <v>7.56</v>
      </c>
      <c r="E493" s="32">
        <v>7.72</v>
      </c>
      <c r="F493" s="32">
        <v>7.72</v>
      </c>
      <c r="G493" s="32">
        <v>7.72</v>
      </c>
      <c r="H493" s="32">
        <v>7.72</v>
      </c>
      <c r="I493" s="32">
        <v>7.56</v>
      </c>
      <c r="J493" s="32">
        <v>7.72</v>
      </c>
      <c r="K493" s="32">
        <v>7.56</v>
      </c>
      <c r="L493" s="32">
        <v>7.56</v>
      </c>
      <c r="M493" s="23">
        <v>25</v>
      </c>
      <c r="N493" s="23">
        <v>3.2</v>
      </c>
      <c r="O493" s="24">
        <v>6.5000000000000002E-2</v>
      </c>
    </row>
    <row r="494" spans="1:15" x14ac:dyDescent="0.25">
      <c r="A494" s="18" t="s">
        <v>488</v>
      </c>
      <c r="B494" s="35">
        <v>5.56</v>
      </c>
      <c r="C494" s="32">
        <v>5.56</v>
      </c>
      <c r="D494" s="32">
        <v>5.56</v>
      </c>
      <c r="E494" s="32">
        <v>5.52</v>
      </c>
      <c r="F494" s="32">
        <v>5.36</v>
      </c>
      <c r="G494" s="32">
        <v>5.56</v>
      </c>
      <c r="H494" s="32">
        <v>5.56</v>
      </c>
      <c r="I494" s="32">
        <v>5.52</v>
      </c>
      <c r="J494" s="32">
        <v>5.52</v>
      </c>
      <c r="K494" s="32">
        <v>5.52</v>
      </c>
      <c r="L494" s="32">
        <v>5.36</v>
      </c>
      <c r="M494" s="23">
        <v>22</v>
      </c>
      <c r="N494" s="23">
        <v>1.2</v>
      </c>
      <c r="O494" s="24">
        <v>6.1600000000000002E-2</v>
      </c>
    </row>
    <row r="495" spans="1:15" x14ac:dyDescent="0.25">
      <c r="A495" s="18" t="s">
        <v>489</v>
      </c>
      <c r="B495" s="35">
        <v>8.68</v>
      </c>
      <c r="C495" s="32">
        <v>8.68</v>
      </c>
      <c r="D495" s="32">
        <v>8.68</v>
      </c>
      <c r="E495" s="32">
        <v>8.64</v>
      </c>
      <c r="F495" s="32">
        <v>8.68</v>
      </c>
      <c r="G495" s="32">
        <v>8.64</v>
      </c>
      <c r="H495" s="32">
        <v>8.68</v>
      </c>
      <c r="I495" s="32">
        <v>8.64</v>
      </c>
      <c r="J495" s="32">
        <v>8.68</v>
      </c>
      <c r="K495" s="32">
        <v>8.68</v>
      </c>
      <c r="L495" s="32">
        <v>8.64</v>
      </c>
      <c r="M495" s="23">
        <v>28</v>
      </c>
      <c r="N495" s="23">
        <v>3.8</v>
      </c>
      <c r="O495" s="24">
        <v>7.0900000000000005E-2</v>
      </c>
    </row>
    <row r="496" spans="1:15" x14ac:dyDescent="0.25">
      <c r="A496" s="18" t="s">
        <v>490</v>
      </c>
      <c r="B496" s="35">
        <v>11.84</v>
      </c>
      <c r="C496" s="32">
        <v>11.84</v>
      </c>
      <c r="D496" s="32">
        <v>12.12</v>
      </c>
      <c r="E496" s="32">
        <v>11.88</v>
      </c>
      <c r="F496" s="32">
        <v>12.12</v>
      </c>
      <c r="G496" s="32">
        <v>12.12</v>
      </c>
      <c r="H496" s="32">
        <v>12</v>
      </c>
      <c r="I496" s="32">
        <v>12.12</v>
      </c>
      <c r="J496" s="32">
        <v>11.84</v>
      </c>
      <c r="K496" s="32">
        <v>12</v>
      </c>
      <c r="L496" s="32">
        <v>11.84</v>
      </c>
      <c r="M496" s="23">
        <v>28</v>
      </c>
      <c r="N496" s="23">
        <v>7.8</v>
      </c>
      <c r="O496" s="24">
        <v>7.2999999999999995E-2</v>
      </c>
    </row>
    <row r="497" spans="1:15" x14ac:dyDescent="0.25">
      <c r="A497" s="18" t="s">
        <v>491</v>
      </c>
      <c r="B497" s="35">
        <v>6.12</v>
      </c>
      <c r="C497" s="32">
        <v>6.12</v>
      </c>
      <c r="D497" s="32">
        <v>6.12</v>
      </c>
      <c r="E497" s="32">
        <v>6.12</v>
      </c>
      <c r="F497" s="32">
        <v>6.12</v>
      </c>
      <c r="G497" s="32">
        <v>6.12</v>
      </c>
      <c r="H497" s="32">
        <v>6.12</v>
      </c>
      <c r="I497" s="32">
        <v>6.12</v>
      </c>
      <c r="J497" s="32">
        <v>6.12</v>
      </c>
      <c r="K497" s="32">
        <v>6.12</v>
      </c>
      <c r="L497" s="32">
        <v>6.12</v>
      </c>
      <c r="M497" s="23">
        <v>25</v>
      </c>
      <c r="N497" s="23">
        <v>1.4</v>
      </c>
      <c r="O497" s="24">
        <v>6.9700000000000012E-2</v>
      </c>
    </row>
    <row r="498" spans="1:15" x14ac:dyDescent="0.25">
      <c r="A498" s="18" t="s">
        <v>492</v>
      </c>
      <c r="B498" s="35">
        <v>11.12</v>
      </c>
      <c r="C498" s="32">
        <v>10.8</v>
      </c>
      <c r="D498" s="32">
        <v>10.96</v>
      </c>
      <c r="E498" s="32">
        <v>11</v>
      </c>
      <c r="F498" s="32">
        <v>11.16</v>
      </c>
      <c r="G498" s="32">
        <v>11.32</v>
      </c>
      <c r="H498" s="32">
        <v>11.28</v>
      </c>
      <c r="I498" s="32">
        <v>11.28</v>
      </c>
      <c r="J498" s="32">
        <v>10.96</v>
      </c>
      <c r="K498" s="32">
        <v>11.12</v>
      </c>
      <c r="L498" s="32">
        <v>10.8</v>
      </c>
      <c r="M498" s="23">
        <v>30</v>
      </c>
      <c r="N498" s="23">
        <v>6</v>
      </c>
      <c r="O498" s="24">
        <v>8.0800000000000011E-2</v>
      </c>
    </row>
    <row r="499" spans="1:15" x14ac:dyDescent="0.25">
      <c r="A499" s="18" t="s">
        <v>493</v>
      </c>
      <c r="B499" s="35">
        <v>10.039999999999999</v>
      </c>
      <c r="C499" s="32">
        <v>10.8</v>
      </c>
      <c r="D499" s="32">
        <v>10.199999999999999</v>
      </c>
      <c r="E499" s="32">
        <v>10.199999999999999</v>
      </c>
      <c r="F499" s="32">
        <v>10.36</v>
      </c>
      <c r="G499" s="32">
        <v>10.84</v>
      </c>
      <c r="H499" s="32">
        <v>10</v>
      </c>
      <c r="I499" s="32">
        <v>10.16</v>
      </c>
      <c r="J499" s="32">
        <v>10.84</v>
      </c>
      <c r="K499" s="32">
        <v>10.64</v>
      </c>
      <c r="L499" s="32">
        <v>10</v>
      </c>
      <c r="M499" s="23">
        <v>26</v>
      </c>
      <c r="N499" s="23">
        <v>6</v>
      </c>
      <c r="O499" s="24">
        <v>7.1499999999999994E-2</v>
      </c>
    </row>
    <row r="500" spans="1:15" x14ac:dyDescent="0.25">
      <c r="A500" s="18" t="s">
        <v>494</v>
      </c>
      <c r="B500" s="35">
        <v>7.44</v>
      </c>
      <c r="C500" s="32">
        <v>7.44</v>
      </c>
      <c r="D500" s="32">
        <v>7.48</v>
      </c>
      <c r="E500" s="32">
        <v>7.64</v>
      </c>
      <c r="F500" s="32">
        <v>7.48</v>
      </c>
      <c r="G500" s="32">
        <v>7.48</v>
      </c>
      <c r="H500" s="32">
        <v>7.28</v>
      </c>
      <c r="I500" s="32">
        <v>7.44</v>
      </c>
      <c r="J500" s="32">
        <v>7.48</v>
      </c>
      <c r="K500" s="32">
        <v>7.28</v>
      </c>
      <c r="L500" s="32">
        <v>7.28</v>
      </c>
      <c r="M500" s="23">
        <v>26</v>
      </c>
      <c r="N500" s="23">
        <v>2.6</v>
      </c>
      <c r="O500" s="24">
        <v>6.8700000000000011E-2</v>
      </c>
    </row>
    <row r="501" spans="1:15" x14ac:dyDescent="0.25">
      <c r="A501" s="18" t="s">
        <v>495</v>
      </c>
      <c r="B501" s="35">
        <v>5.48</v>
      </c>
      <c r="C501" s="32">
        <v>5.36</v>
      </c>
      <c r="D501" s="32">
        <v>5.52</v>
      </c>
      <c r="E501" s="32">
        <v>5.48</v>
      </c>
      <c r="F501" s="32">
        <v>5.52</v>
      </c>
      <c r="G501" s="32">
        <v>5.36</v>
      </c>
      <c r="H501" s="32">
        <v>5.36</v>
      </c>
      <c r="I501" s="32">
        <v>5.32</v>
      </c>
      <c r="J501" s="32">
        <v>5.36</v>
      </c>
      <c r="K501" s="32">
        <v>5.2</v>
      </c>
      <c r="L501" s="32">
        <v>5.2</v>
      </c>
      <c r="M501" s="23">
        <v>26</v>
      </c>
      <c r="N501" s="23">
        <v>0</v>
      </c>
      <c r="O501" s="24">
        <v>7.3399999999999993E-2</v>
      </c>
    </row>
    <row r="502" spans="1:15" x14ac:dyDescent="0.25">
      <c r="A502" s="18" t="s">
        <v>496</v>
      </c>
      <c r="B502" s="35">
        <v>6.36</v>
      </c>
      <c r="C502" s="32">
        <v>6.2</v>
      </c>
      <c r="D502" s="32">
        <v>6.36</v>
      </c>
      <c r="E502" s="32">
        <v>6.36</v>
      </c>
      <c r="F502" s="32">
        <v>6.36</v>
      </c>
      <c r="G502" s="32">
        <v>6.36</v>
      </c>
      <c r="H502" s="32">
        <v>6.2</v>
      </c>
      <c r="I502" s="32">
        <v>6.36</v>
      </c>
      <c r="J502" s="32">
        <v>6.36</v>
      </c>
      <c r="K502" s="32">
        <v>6.36</v>
      </c>
      <c r="L502" s="32">
        <v>6.2</v>
      </c>
      <c r="M502" s="23">
        <v>27</v>
      </c>
      <c r="N502" s="23">
        <v>1</v>
      </c>
      <c r="O502" s="24">
        <v>7.1599999999999997E-2</v>
      </c>
    </row>
    <row r="503" spans="1:15" x14ac:dyDescent="0.25">
      <c r="A503" s="18" t="s">
        <v>497</v>
      </c>
      <c r="B503" s="35">
        <v>8</v>
      </c>
      <c r="C503" s="32">
        <v>8</v>
      </c>
      <c r="D503" s="32">
        <v>7.84</v>
      </c>
      <c r="E503" s="32">
        <v>8</v>
      </c>
      <c r="F503" s="32">
        <v>7.96</v>
      </c>
      <c r="G503" s="32">
        <v>7.68</v>
      </c>
      <c r="H503" s="32">
        <v>7.68</v>
      </c>
      <c r="I503" s="32">
        <v>7.68</v>
      </c>
      <c r="J503" s="32">
        <v>7.84</v>
      </c>
      <c r="K503" s="32">
        <v>7.84</v>
      </c>
      <c r="L503" s="32">
        <v>7.68</v>
      </c>
      <c r="M503" s="23">
        <v>24</v>
      </c>
      <c r="N503" s="23">
        <v>3.6</v>
      </c>
      <c r="O503" s="24">
        <v>6.54E-2</v>
      </c>
    </row>
    <row r="504" spans="1:15" x14ac:dyDescent="0.25">
      <c r="A504" s="18" t="s">
        <v>498</v>
      </c>
      <c r="B504" s="35">
        <v>6.08</v>
      </c>
      <c r="C504" s="32">
        <v>6.2</v>
      </c>
      <c r="D504" s="32">
        <v>5.88</v>
      </c>
      <c r="E504" s="32">
        <v>6.04</v>
      </c>
      <c r="F504" s="32">
        <v>6.04</v>
      </c>
      <c r="G504" s="32">
        <v>5.88</v>
      </c>
      <c r="H504" s="32">
        <v>5.88</v>
      </c>
      <c r="I504" s="32">
        <v>5.88</v>
      </c>
      <c r="J504" s="32">
        <v>6.08</v>
      </c>
      <c r="K504" s="32">
        <v>6.2</v>
      </c>
      <c r="L504" s="32">
        <v>5.88</v>
      </c>
      <c r="M504" s="23">
        <v>23</v>
      </c>
      <c r="N504" s="23">
        <v>1.6</v>
      </c>
      <c r="O504" s="24">
        <v>6.2399999999999997E-2</v>
      </c>
    </row>
    <row r="505" spans="1:15" x14ac:dyDescent="0.25">
      <c r="A505" s="18" t="s">
        <v>499</v>
      </c>
      <c r="B505" s="35">
        <v>7.8</v>
      </c>
      <c r="C505" s="32">
        <v>7.84</v>
      </c>
      <c r="D505" s="32">
        <v>7.64</v>
      </c>
      <c r="E505" s="32">
        <v>7.8</v>
      </c>
      <c r="F505" s="32">
        <v>7.84</v>
      </c>
      <c r="G505" s="32">
        <v>7.84</v>
      </c>
      <c r="H505" s="32">
        <v>7.84</v>
      </c>
      <c r="I505" s="32">
        <v>7.84</v>
      </c>
      <c r="J505" s="32">
        <v>7.48</v>
      </c>
      <c r="K505" s="32">
        <v>7.8</v>
      </c>
      <c r="L505" s="32">
        <v>7.48</v>
      </c>
      <c r="M505" s="23">
        <v>27</v>
      </c>
      <c r="N505" s="23">
        <v>2.6</v>
      </c>
      <c r="O505" s="24">
        <v>7.1499999999999994E-2</v>
      </c>
    </row>
    <row r="506" spans="1:15" x14ac:dyDescent="0.25">
      <c r="A506" s="18" t="s">
        <v>500</v>
      </c>
      <c r="B506" s="35">
        <v>5.4</v>
      </c>
      <c r="C506" s="32">
        <v>5.44</v>
      </c>
      <c r="D506" s="32">
        <v>5.44</v>
      </c>
      <c r="E506" s="32">
        <v>5.44</v>
      </c>
      <c r="F506" s="32">
        <v>5.4</v>
      </c>
      <c r="G506" s="32">
        <v>5.44</v>
      </c>
      <c r="H506" s="32">
        <v>5.4</v>
      </c>
      <c r="I506" s="32">
        <v>5.44</v>
      </c>
      <c r="J506" s="32">
        <v>5.24</v>
      </c>
      <c r="K506" s="32">
        <v>5.24</v>
      </c>
      <c r="L506" s="32">
        <v>5.24</v>
      </c>
      <c r="M506" s="23">
        <v>23</v>
      </c>
      <c r="N506" s="23">
        <v>0.8</v>
      </c>
      <c r="O506" s="24">
        <v>6.3E-2</v>
      </c>
    </row>
    <row r="507" spans="1:15" x14ac:dyDescent="0.25">
      <c r="A507" s="18" t="s">
        <v>501</v>
      </c>
      <c r="B507" s="35">
        <v>7.04</v>
      </c>
      <c r="C507" s="32">
        <v>7.04</v>
      </c>
      <c r="D507" s="32">
        <v>7.04</v>
      </c>
      <c r="E507" s="32">
        <v>7.52</v>
      </c>
      <c r="F507" s="32">
        <v>7.04</v>
      </c>
      <c r="G507" s="32">
        <v>7.52</v>
      </c>
      <c r="H507" s="32">
        <v>7.04</v>
      </c>
      <c r="I507" s="32">
        <v>7.04</v>
      </c>
      <c r="J507" s="32">
        <v>7.04</v>
      </c>
      <c r="K507" s="32">
        <v>7.04</v>
      </c>
      <c r="L507" s="32">
        <v>7.04</v>
      </c>
      <c r="M507" s="23">
        <v>28</v>
      </c>
      <c r="N507" s="23">
        <v>1.8</v>
      </c>
      <c r="O507" s="24">
        <v>7.1300000000000002E-2</v>
      </c>
    </row>
    <row r="508" spans="1:15" x14ac:dyDescent="0.25">
      <c r="A508" s="18" t="s">
        <v>502</v>
      </c>
      <c r="B508" s="35">
        <v>7.16</v>
      </c>
      <c r="C508" s="32">
        <v>7.04</v>
      </c>
      <c r="D508" s="32">
        <v>7.04</v>
      </c>
      <c r="E508" s="32">
        <v>7.04</v>
      </c>
      <c r="F508" s="32">
        <v>7.2</v>
      </c>
      <c r="G508" s="32">
        <v>7</v>
      </c>
      <c r="H508" s="32">
        <v>7.04</v>
      </c>
      <c r="I508" s="32">
        <v>7.04</v>
      </c>
      <c r="J508" s="32">
        <v>7.04</v>
      </c>
      <c r="K508" s="32">
        <v>7.04</v>
      </c>
      <c r="L508" s="32">
        <v>7</v>
      </c>
      <c r="M508" s="23">
        <v>27</v>
      </c>
      <c r="N508" s="23">
        <v>2</v>
      </c>
      <c r="O508" s="24">
        <v>7.4399999999999994E-2</v>
      </c>
    </row>
    <row r="509" spans="1:15" x14ac:dyDescent="0.25">
      <c r="A509" s="18" t="s">
        <v>503</v>
      </c>
      <c r="B509" s="35">
        <v>5.84</v>
      </c>
      <c r="C509" s="32">
        <v>5.84</v>
      </c>
      <c r="D509" s="32">
        <v>5.84</v>
      </c>
      <c r="E509" s="32">
        <v>6.04</v>
      </c>
      <c r="F509" s="32">
        <v>5.84</v>
      </c>
      <c r="G509" s="32">
        <v>5.84</v>
      </c>
      <c r="H509" s="32">
        <v>6.04</v>
      </c>
      <c r="I509" s="32">
        <v>6.04</v>
      </c>
      <c r="J509" s="32">
        <v>6</v>
      </c>
      <c r="K509" s="32">
        <v>5.84</v>
      </c>
      <c r="L509" s="32">
        <v>5.84</v>
      </c>
      <c r="M509" s="23">
        <v>26</v>
      </c>
      <c r="N509" s="23">
        <v>0.8</v>
      </c>
      <c r="O509" s="24">
        <v>6.93E-2</v>
      </c>
    </row>
    <row r="510" spans="1:15" x14ac:dyDescent="0.25">
      <c r="A510" s="18" t="s">
        <v>504</v>
      </c>
      <c r="B510" s="35">
        <v>7.6</v>
      </c>
      <c r="C510" s="32">
        <v>7.4</v>
      </c>
      <c r="D510" s="32">
        <v>7.24</v>
      </c>
      <c r="E510" s="32">
        <v>7.72</v>
      </c>
      <c r="F510" s="32">
        <v>7.6</v>
      </c>
      <c r="G510" s="32">
        <v>7.44</v>
      </c>
      <c r="H510" s="32">
        <v>7.6</v>
      </c>
      <c r="I510" s="32">
        <v>7.6</v>
      </c>
      <c r="J510" s="32">
        <v>7.6</v>
      </c>
      <c r="K510" s="32">
        <v>7.6</v>
      </c>
      <c r="L510" s="32">
        <v>7.24</v>
      </c>
      <c r="M510" s="23">
        <v>25</v>
      </c>
      <c r="N510" s="23">
        <v>2.8</v>
      </c>
      <c r="O510" s="24">
        <v>7.0499999999999993E-2</v>
      </c>
    </row>
    <row r="511" spans="1:15" x14ac:dyDescent="0.25">
      <c r="A511" s="18" t="s">
        <v>505</v>
      </c>
      <c r="B511" s="35">
        <v>6.76</v>
      </c>
      <c r="C511" s="32">
        <v>6.8</v>
      </c>
      <c r="D511" s="32">
        <v>6.8</v>
      </c>
      <c r="E511" s="32">
        <v>6.76</v>
      </c>
      <c r="F511" s="32">
        <v>6.8</v>
      </c>
      <c r="G511" s="32">
        <v>6.8</v>
      </c>
      <c r="H511" s="32">
        <v>6.76</v>
      </c>
      <c r="I511" s="32">
        <v>6.8</v>
      </c>
      <c r="J511" s="32">
        <v>6.8</v>
      </c>
      <c r="K511" s="32">
        <v>6.8</v>
      </c>
      <c r="L511" s="32">
        <v>6.76</v>
      </c>
      <c r="M511" s="23">
        <v>29</v>
      </c>
      <c r="N511" s="23">
        <v>1.2</v>
      </c>
      <c r="O511" s="24">
        <v>7.7600000000000002E-2</v>
      </c>
    </row>
    <row r="512" spans="1:15" x14ac:dyDescent="0.25">
      <c r="A512" s="18" t="s">
        <v>506</v>
      </c>
      <c r="B512" s="35">
        <v>7.64</v>
      </c>
      <c r="C512" s="32">
        <v>7.52</v>
      </c>
      <c r="D512" s="32">
        <v>7.32</v>
      </c>
      <c r="E512" s="32">
        <v>7.64</v>
      </c>
      <c r="F512" s="32">
        <v>7.48</v>
      </c>
      <c r="G512" s="32">
        <v>7.52</v>
      </c>
      <c r="H512" s="32">
        <v>7.48</v>
      </c>
      <c r="I512" s="32">
        <v>7.52</v>
      </c>
      <c r="J512" s="32">
        <v>7.48</v>
      </c>
      <c r="K512" s="32">
        <v>7.48</v>
      </c>
      <c r="L512" s="32">
        <v>7.32</v>
      </c>
      <c r="M512" s="23">
        <v>27</v>
      </c>
      <c r="N512" s="23">
        <v>2.4</v>
      </c>
      <c r="O512" s="24">
        <v>7.1599999999999997E-2</v>
      </c>
    </row>
    <row r="513" spans="1:15" x14ac:dyDescent="0.25">
      <c r="A513" s="18" t="s">
        <v>507</v>
      </c>
      <c r="B513" s="35">
        <v>5.68</v>
      </c>
      <c r="C513" s="32">
        <v>5.68</v>
      </c>
      <c r="D513" s="32">
        <v>5.68</v>
      </c>
      <c r="E513" s="32">
        <v>5.68</v>
      </c>
      <c r="F513" s="32">
        <v>5.68</v>
      </c>
      <c r="G513" s="32">
        <v>5.68</v>
      </c>
      <c r="H513" s="32">
        <v>5.68</v>
      </c>
      <c r="I513" s="32">
        <v>5.68</v>
      </c>
      <c r="J513" s="32">
        <v>5.68</v>
      </c>
      <c r="K513" s="32">
        <v>5.68</v>
      </c>
      <c r="L513" s="32">
        <v>5.68</v>
      </c>
      <c r="M513" s="23">
        <v>22</v>
      </c>
      <c r="N513" s="23">
        <v>1.6</v>
      </c>
      <c r="O513" s="24">
        <v>6.1899999999999997E-2</v>
      </c>
    </row>
    <row r="514" spans="1:15" x14ac:dyDescent="0.25">
      <c r="A514" s="18" t="s">
        <v>508</v>
      </c>
      <c r="B514" s="35">
        <v>8.36</v>
      </c>
      <c r="C514" s="32">
        <v>8.36</v>
      </c>
      <c r="D514" s="32">
        <v>8.24</v>
      </c>
      <c r="E514" s="32">
        <v>8.24</v>
      </c>
      <c r="F514" s="32">
        <v>8.24</v>
      </c>
      <c r="G514" s="32">
        <v>8.24</v>
      </c>
      <c r="H514" s="32">
        <v>8.24</v>
      </c>
      <c r="I514" s="32">
        <v>8.24</v>
      </c>
      <c r="J514" s="32">
        <v>8.4</v>
      </c>
      <c r="K514" s="32">
        <v>8.4</v>
      </c>
      <c r="L514" s="32">
        <v>8.24</v>
      </c>
      <c r="M514" s="23">
        <v>26</v>
      </c>
      <c r="N514" s="23">
        <v>3.8</v>
      </c>
      <c r="O514" s="24">
        <v>6.8000000000000005E-2</v>
      </c>
    </row>
    <row r="515" spans="1:15" x14ac:dyDescent="0.25">
      <c r="A515" s="18" t="s">
        <v>509</v>
      </c>
      <c r="B515" s="35">
        <v>7.44</v>
      </c>
      <c r="C515" s="32">
        <v>7.28</v>
      </c>
      <c r="D515" s="32">
        <v>7.44</v>
      </c>
      <c r="E515" s="32">
        <v>7.44</v>
      </c>
      <c r="F515" s="32">
        <v>7.44</v>
      </c>
      <c r="G515" s="32">
        <v>7.44</v>
      </c>
      <c r="H515" s="32">
        <v>7.44</v>
      </c>
      <c r="I515" s="32">
        <v>7.28</v>
      </c>
      <c r="J515" s="32">
        <v>7.44</v>
      </c>
      <c r="K515" s="32">
        <v>7.44</v>
      </c>
      <c r="L515" s="32">
        <v>7.28</v>
      </c>
      <c r="M515" s="23">
        <v>26</v>
      </c>
      <c r="N515" s="23">
        <v>2.6</v>
      </c>
      <c r="O515" s="24">
        <v>7.4200000000000002E-2</v>
      </c>
    </row>
    <row r="516" spans="1:15" x14ac:dyDescent="0.25">
      <c r="A516" s="18" t="s">
        <v>510</v>
      </c>
      <c r="B516" s="35">
        <v>8.24</v>
      </c>
      <c r="C516" s="32">
        <v>8.1999999999999993</v>
      </c>
      <c r="D516" s="32">
        <v>8.24</v>
      </c>
      <c r="E516" s="32">
        <v>8.1999999999999993</v>
      </c>
      <c r="F516" s="32">
        <v>8.24</v>
      </c>
      <c r="G516" s="32">
        <v>8.1999999999999993</v>
      </c>
      <c r="H516" s="32">
        <v>8.24</v>
      </c>
      <c r="I516" s="32">
        <v>8.24</v>
      </c>
      <c r="J516" s="32">
        <v>8.1999999999999993</v>
      </c>
      <c r="K516" s="32">
        <v>8.1999999999999993</v>
      </c>
      <c r="L516" s="32">
        <v>8.1999999999999993</v>
      </c>
      <c r="M516" s="23">
        <v>25</v>
      </c>
      <c r="N516" s="23">
        <v>4</v>
      </c>
      <c r="O516" s="24">
        <v>6.7000000000000004E-2</v>
      </c>
    </row>
    <row r="517" spans="1:15" x14ac:dyDescent="0.25">
      <c r="A517" s="18" t="s">
        <v>511</v>
      </c>
      <c r="B517" s="35">
        <v>9.52</v>
      </c>
      <c r="C517" s="32">
        <v>9.1999999999999993</v>
      </c>
      <c r="D517" s="32">
        <v>8.92</v>
      </c>
      <c r="E517" s="32">
        <v>9.56</v>
      </c>
      <c r="F517" s="32">
        <v>8.92</v>
      </c>
      <c r="G517" s="32">
        <v>8.7200000000000006</v>
      </c>
      <c r="H517" s="32">
        <v>8.7200000000000006</v>
      </c>
      <c r="I517" s="32">
        <v>9.24</v>
      </c>
      <c r="J517" s="32">
        <v>8.8800000000000008</v>
      </c>
      <c r="K517" s="32">
        <v>8.8800000000000008</v>
      </c>
      <c r="L517" s="32">
        <v>8.7200000000000006</v>
      </c>
      <c r="M517" s="23">
        <v>26</v>
      </c>
      <c r="N517" s="23">
        <v>4.4000000000000004</v>
      </c>
      <c r="O517" s="24">
        <v>7.010000000000001E-2</v>
      </c>
    </row>
    <row r="518" spans="1:15" x14ac:dyDescent="0.25">
      <c r="A518" s="18" t="s">
        <v>512</v>
      </c>
      <c r="B518" s="35">
        <v>8.1999999999999993</v>
      </c>
      <c r="C518" s="32">
        <v>8.1999999999999993</v>
      </c>
      <c r="D518" s="32">
        <v>8.1999999999999993</v>
      </c>
      <c r="E518" s="32">
        <v>8.1999999999999993</v>
      </c>
      <c r="F518" s="32">
        <v>8.1999999999999993</v>
      </c>
      <c r="G518" s="32">
        <v>8.1999999999999993</v>
      </c>
      <c r="H518" s="32">
        <v>8.1999999999999993</v>
      </c>
      <c r="I518" s="32">
        <v>8.1999999999999993</v>
      </c>
      <c r="J518" s="32">
        <v>8.1999999999999993</v>
      </c>
      <c r="K518" s="32">
        <v>8.1999999999999993</v>
      </c>
      <c r="L518" s="32">
        <v>8.1999999999999993</v>
      </c>
      <c r="M518" s="23">
        <v>25</v>
      </c>
      <c r="N518" s="23">
        <v>4</v>
      </c>
      <c r="O518" s="24">
        <v>6.7000000000000004E-2</v>
      </c>
    </row>
    <row r="519" spans="1:15" x14ac:dyDescent="0.25">
      <c r="A519" s="18" t="s">
        <v>513</v>
      </c>
      <c r="B519" s="35">
        <v>9.1999999999999993</v>
      </c>
      <c r="C519" s="32">
        <v>9.1999999999999993</v>
      </c>
      <c r="D519" s="32">
        <v>9.36</v>
      </c>
      <c r="E519" s="32">
        <v>9.36</v>
      </c>
      <c r="F519" s="32">
        <v>9.1999999999999993</v>
      </c>
      <c r="G519" s="32">
        <v>9.1999999999999993</v>
      </c>
      <c r="H519" s="32">
        <v>9.1999999999999993</v>
      </c>
      <c r="I519" s="32">
        <v>9.1999999999999993</v>
      </c>
      <c r="J519" s="32">
        <v>8.1999999999999993</v>
      </c>
      <c r="K519" s="32">
        <v>9.1999999999999993</v>
      </c>
      <c r="L519" s="32">
        <v>8.1999999999999993</v>
      </c>
      <c r="M519" s="23">
        <v>25</v>
      </c>
      <c r="N519" s="23">
        <v>4</v>
      </c>
      <c r="O519" s="24">
        <v>6.9100000000000009E-2</v>
      </c>
    </row>
    <row r="520" spans="1:15" x14ac:dyDescent="0.25">
      <c r="A520" s="18" t="s">
        <v>514</v>
      </c>
      <c r="B520" s="35">
        <v>10.08</v>
      </c>
      <c r="C520" s="32">
        <v>10.199999999999999</v>
      </c>
      <c r="D520" s="32">
        <v>10.199999999999999</v>
      </c>
      <c r="E520" s="32">
        <v>10.039999999999999</v>
      </c>
      <c r="F520" s="32">
        <v>10.199999999999999</v>
      </c>
      <c r="G520" s="32">
        <v>10.199999999999999</v>
      </c>
      <c r="H520" s="32">
        <v>10.24</v>
      </c>
      <c r="I520" s="32">
        <v>10.039999999999999</v>
      </c>
      <c r="J520" s="32">
        <v>10.039999999999999</v>
      </c>
      <c r="K520" s="32">
        <v>10.199999999999999</v>
      </c>
      <c r="L520" s="32">
        <v>10.039999999999999</v>
      </c>
      <c r="M520" s="23">
        <v>31</v>
      </c>
      <c r="N520" s="23">
        <v>4.8</v>
      </c>
      <c r="O520" s="24">
        <v>8.09E-2</v>
      </c>
    </row>
    <row r="521" spans="1:15" x14ac:dyDescent="0.25">
      <c r="A521" s="18" t="s">
        <v>515</v>
      </c>
      <c r="B521" s="35">
        <v>9.76</v>
      </c>
      <c r="C521" s="32">
        <v>9.76</v>
      </c>
      <c r="D521" s="32">
        <v>9.76</v>
      </c>
      <c r="E521" s="32">
        <v>9.6</v>
      </c>
      <c r="F521" s="32">
        <v>9.48</v>
      </c>
      <c r="G521" s="32">
        <v>9.48</v>
      </c>
      <c r="H521" s="32">
        <v>9.6</v>
      </c>
      <c r="I521" s="32">
        <v>9.64</v>
      </c>
      <c r="J521" s="32">
        <v>9.76</v>
      </c>
      <c r="K521" s="32">
        <v>9.64</v>
      </c>
      <c r="L521" s="32">
        <v>9.48</v>
      </c>
      <c r="M521" s="23">
        <v>25</v>
      </c>
      <c r="N521" s="23">
        <v>5.6</v>
      </c>
      <c r="O521" s="24">
        <v>6.5799999999999997E-2</v>
      </c>
    </row>
    <row r="522" spans="1:15" x14ac:dyDescent="0.25">
      <c r="A522" s="18" t="s">
        <v>516</v>
      </c>
      <c r="B522" s="35">
        <v>5.4</v>
      </c>
      <c r="C522" s="32">
        <v>5.4</v>
      </c>
      <c r="D522" s="32">
        <v>5.4</v>
      </c>
      <c r="E522" s="32">
        <v>5.4</v>
      </c>
      <c r="F522" s="32">
        <v>5.4</v>
      </c>
      <c r="G522" s="32">
        <v>5.4</v>
      </c>
      <c r="H522" s="32">
        <v>5.4</v>
      </c>
      <c r="I522" s="32">
        <v>5.4</v>
      </c>
      <c r="J522" s="32">
        <v>5.4</v>
      </c>
      <c r="K522" s="32">
        <v>5.4</v>
      </c>
      <c r="L522" s="32">
        <v>5.4</v>
      </c>
      <c r="M522" s="23">
        <v>27</v>
      </c>
      <c r="N522" s="23">
        <v>0</v>
      </c>
      <c r="O522" s="24">
        <v>7.2499999999999995E-2</v>
      </c>
    </row>
    <row r="523" spans="1:15" x14ac:dyDescent="0.25">
      <c r="A523" s="18" t="s">
        <v>517</v>
      </c>
      <c r="B523" s="35">
        <v>5.2</v>
      </c>
      <c r="C523" s="32">
        <v>5.2</v>
      </c>
      <c r="D523" s="32">
        <v>5.2</v>
      </c>
      <c r="E523" s="32">
        <v>5.2</v>
      </c>
      <c r="F523" s="32">
        <v>5.2</v>
      </c>
      <c r="G523" s="32">
        <v>5.2</v>
      </c>
      <c r="H523" s="32">
        <v>5.2</v>
      </c>
      <c r="I523" s="32">
        <v>5.2</v>
      </c>
      <c r="J523" s="32">
        <v>5.2</v>
      </c>
      <c r="K523" s="32">
        <v>5.2</v>
      </c>
      <c r="L523" s="32">
        <v>5.2</v>
      </c>
      <c r="M523" s="23">
        <v>26</v>
      </c>
      <c r="N523" s="23">
        <v>0</v>
      </c>
      <c r="O523" s="24">
        <v>7.0899999999999991E-2</v>
      </c>
    </row>
    <row r="524" spans="1:15" x14ac:dyDescent="0.25">
      <c r="A524" s="18" t="s">
        <v>518</v>
      </c>
      <c r="B524" s="35">
        <v>5</v>
      </c>
      <c r="C524" s="32">
        <v>5.2</v>
      </c>
      <c r="D524" s="32">
        <v>5.2</v>
      </c>
      <c r="E524" s="32">
        <v>5.16</v>
      </c>
      <c r="F524" s="32">
        <v>5</v>
      </c>
      <c r="G524" s="32">
        <v>5</v>
      </c>
      <c r="H524" s="32">
        <v>5</v>
      </c>
      <c r="I524" s="32">
        <v>5.16</v>
      </c>
      <c r="J524" s="32">
        <v>5</v>
      </c>
      <c r="K524" s="32">
        <v>5</v>
      </c>
      <c r="L524" s="32">
        <v>5</v>
      </c>
      <c r="M524" s="23">
        <v>25</v>
      </c>
      <c r="N524" s="23">
        <v>0</v>
      </c>
      <c r="O524" s="24">
        <v>6.7500000000000004E-2</v>
      </c>
    </row>
    <row r="525" spans="1:15" x14ac:dyDescent="0.25">
      <c r="A525" s="18" t="s">
        <v>519</v>
      </c>
      <c r="B525" s="35">
        <v>5.4</v>
      </c>
      <c r="C525" s="32">
        <v>5.4</v>
      </c>
      <c r="D525" s="32">
        <v>5.4</v>
      </c>
      <c r="E525" s="32">
        <v>5.36</v>
      </c>
      <c r="F525" s="32">
        <v>5.4</v>
      </c>
      <c r="G525" s="32">
        <v>5.4</v>
      </c>
      <c r="H525" s="32">
        <v>5.4</v>
      </c>
      <c r="I525" s="32">
        <v>5.4</v>
      </c>
      <c r="J525" s="32">
        <v>5.4</v>
      </c>
      <c r="K525" s="32">
        <v>5.4</v>
      </c>
      <c r="L525" s="32">
        <v>5.36</v>
      </c>
      <c r="M525" s="23">
        <v>26</v>
      </c>
      <c r="N525" s="23">
        <v>0.2</v>
      </c>
      <c r="O525" s="24">
        <v>7.2300000000000003E-2</v>
      </c>
    </row>
    <row r="526" spans="1:15" x14ac:dyDescent="0.25">
      <c r="A526" s="18" t="s">
        <v>520</v>
      </c>
      <c r="B526" s="35">
        <v>5.2</v>
      </c>
      <c r="C526" s="32">
        <v>5.2</v>
      </c>
      <c r="D526" s="32">
        <v>5.2</v>
      </c>
      <c r="E526" s="32">
        <v>5.36</v>
      </c>
      <c r="F526" s="32">
        <v>5.36</v>
      </c>
      <c r="G526" s="32">
        <v>5.4</v>
      </c>
      <c r="H526" s="32">
        <v>5.2</v>
      </c>
      <c r="I526" s="32">
        <v>5.2</v>
      </c>
      <c r="J526" s="32">
        <v>5.2</v>
      </c>
      <c r="K526" s="32">
        <v>5.2</v>
      </c>
      <c r="L526" s="32">
        <v>5.2</v>
      </c>
      <c r="M526" s="23">
        <v>26</v>
      </c>
      <c r="N526" s="23">
        <v>0</v>
      </c>
      <c r="O526" s="24">
        <v>7.0599999999999996E-2</v>
      </c>
    </row>
    <row r="527" spans="1:15" x14ac:dyDescent="0.25">
      <c r="A527" s="18" t="s">
        <v>521</v>
      </c>
      <c r="B527" s="35">
        <v>7.72</v>
      </c>
      <c r="C527" s="32">
        <v>7.68</v>
      </c>
      <c r="D527" s="32">
        <v>7.72</v>
      </c>
      <c r="E527" s="32">
        <v>7.72</v>
      </c>
      <c r="F527" s="32">
        <v>7.72</v>
      </c>
      <c r="G527" s="32">
        <v>7.88</v>
      </c>
      <c r="H527" s="32">
        <v>7.72</v>
      </c>
      <c r="I527" s="32">
        <v>7.68</v>
      </c>
      <c r="J527" s="32">
        <v>7.56</v>
      </c>
      <c r="K527" s="32">
        <v>7.72</v>
      </c>
      <c r="L527" s="32">
        <v>7.56</v>
      </c>
      <c r="M527" s="23">
        <v>29</v>
      </c>
      <c r="N527" s="23">
        <v>2.2000000000000002</v>
      </c>
      <c r="O527" s="24">
        <v>7.1599999999999997E-2</v>
      </c>
    </row>
    <row r="528" spans="1:15" x14ac:dyDescent="0.25">
      <c r="A528" s="18" t="s">
        <v>522</v>
      </c>
      <c r="B528" s="35">
        <v>5.52</v>
      </c>
      <c r="C528" s="32">
        <v>5.52</v>
      </c>
      <c r="D528" s="32">
        <v>5.52</v>
      </c>
      <c r="E528" s="32">
        <v>5.68</v>
      </c>
      <c r="F528" s="32">
        <v>5.52</v>
      </c>
      <c r="G528" s="32">
        <v>5.52</v>
      </c>
      <c r="H528" s="32">
        <v>5.52</v>
      </c>
      <c r="I528" s="32">
        <v>5.52</v>
      </c>
      <c r="J528" s="32">
        <v>5.68</v>
      </c>
      <c r="K528" s="32">
        <v>5.72</v>
      </c>
      <c r="L528" s="32">
        <v>5.52</v>
      </c>
      <c r="M528" s="23">
        <v>26</v>
      </c>
      <c r="N528" s="23">
        <v>0.4</v>
      </c>
      <c r="O528" s="24">
        <v>6.5299999999999997E-2</v>
      </c>
    </row>
    <row r="529" spans="1:15" x14ac:dyDescent="0.25">
      <c r="A529" s="18" t="s">
        <v>523</v>
      </c>
      <c r="B529" s="35">
        <v>4.5599999999999996</v>
      </c>
      <c r="C529" s="32">
        <v>4.5599999999999996</v>
      </c>
      <c r="D529" s="32">
        <v>4.5599999999999996</v>
      </c>
      <c r="E529" s="32">
        <v>4.5599999999999996</v>
      </c>
      <c r="F529" s="32">
        <v>4.5599999999999996</v>
      </c>
      <c r="G529" s="32">
        <v>4.5599999999999996</v>
      </c>
      <c r="H529" s="32">
        <v>4.5599999999999996</v>
      </c>
      <c r="I529" s="32">
        <v>4.5599999999999996</v>
      </c>
      <c r="J529" s="32">
        <v>4.5599999999999996</v>
      </c>
      <c r="K529" s="32">
        <v>4.5599999999999996</v>
      </c>
      <c r="L529" s="32">
        <v>4.5599999999999996</v>
      </c>
      <c r="M529" s="23">
        <v>22</v>
      </c>
      <c r="N529" s="23">
        <v>0.2</v>
      </c>
      <c r="O529" s="24">
        <v>5.8599999999999999E-2</v>
      </c>
    </row>
    <row r="530" spans="1:15" x14ac:dyDescent="0.25">
      <c r="A530" s="18" t="s">
        <v>524</v>
      </c>
      <c r="B530" s="35">
        <v>5.76</v>
      </c>
      <c r="C530" s="32">
        <v>5.76</v>
      </c>
      <c r="D530" s="32">
        <v>5.72</v>
      </c>
      <c r="E530" s="32">
        <v>5.76</v>
      </c>
      <c r="F530" s="32">
        <v>5.56</v>
      </c>
      <c r="G530" s="32">
        <v>5.76</v>
      </c>
      <c r="H530" s="32">
        <v>5.72</v>
      </c>
      <c r="I530" s="32">
        <v>5.72</v>
      </c>
      <c r="J530" s="32">
        <v>5.56</v>
      </c>
      <c r="K530" s="32">
        <v>5.72</v>
      </c>
      <c r="L530" s="32">
        <v>5.56</v>
      </c>
      <c r="M530" s="23">
        <v>27</v>
      </c>
      <c r="N530" s="23">
        <v>0.2</v>
      </c>
      <c r="O530" s="24">
        <v>7.3300000000000004E-2</v>
      </c>
    </row>
    <row r="531" spans="1:15" x14ac:dyDescent="0.25">
      <c r="A531" s="18" t="s">
        <v>525</v>
      </c>
      <c r="B531" s="35">
        <v>7.44</v>
      </c>
      <c r="C531" s="32">
        <v>7.28</v>
      </c>
      <c r="D531" s="32">
        <v>7.28</v>
      </c>
      <c r="E531" s="32">
        <v>7.44</v>
      </c>
      <c r="F531" s="32">
        <v>7.44</v>
      </c>
      <c r="G531" s="32">
        <v>7.44</v>
      </c>
      <c r="H531" s="32">
        <v>7.4</v>
      </c>
      <c r="I531" s="32">
        <v>7.28</v>
      </c>
      <c r="J531" s="32">
        <v>7.28</v>
      </c>
      <c r="K531" s="32">
        <v>7.44</v>
      </c>
      <c r="L531" s="32">
        <v>7.28</v>
      </c>
      <c r="M531" s="23">
        <v>30</v>
      </c>
      <c r="N531" s="23">
        <v>1.6</v>
      </c>
      <c r="O531" s="24">
        <v>7.6499999999999999E-2</v>
      </c>
    </row>
    <row r="532" spans="1:15" x14ac:dyDescent="0.25">
      <c r="A532" s="18" t="s">
        <v>526</v>
      </c>
      <c r="B532" s="35">
        <v>6.4</v>
      </c>
      <c r="C532" s="32">
        <v>6.44</v>
      </c>
      <c r="D532" s="32">
        <v>6.4</v>
      </c>
      <c r="E532" s="32">
        <v>6.24</v>
      </c>
      <c r="F532" s="32">
        <v>6.24</v>
      </c>
      <c r="G532" s="32">
        <v>6.28</v>
      </c>
      <c r="H532" s="32">
        <v>6.24</v>
      </c>
      <c r="I532" s="32">
        <v>6.08</v>
      </c>
      <c r="J532" s="32">
        <v>6.76</v>
      </c>
      <c r="K532" s="32">
        <v>6.24</v>
      </c>
      <c r="L532" s="32">
        <v>6.08</v>
      </c>
      <c r="M532" s="23">
        <v>24</v>
      </c>
      <c r="N532" s="23">
        <v>1.6</v>
      </c>
      <c r="O532" s="24">
        <v>6.3299999999999995E-2</v>
      </c>
    </row>
    <row r="533" spans="1:15" x14ac:dyDescent="0.25">
      <c r="A533" s="18" t="s">
        <v>527</v>
      </c>
      <c r="B533" s="35">
        <v>10.08</v>
      </c>
      <c r="C533" s="32">
        <v>10.08</v>
      </c>
      <c r="D533" s="32">
        <v>10.08</v>
      </c>
      <c r="E533" s="32">
        <v>9.92</v>
      </c>
      <c r="F533" s="32">
        <v>10.039999999999999</v>
      </c>
      <c r="G533" s="32">
        <v>10.08</v>
      </c>
      <c r="H533" s="32">
        <v>10.08</v>
      </c>
      <c r="I533" s="32">
        <v>10.08</v>
      </c>
      <c r="J533" s="32">
        <v>10.08</v>
      </c>
      <c r="K533" s="32">
        <v>10.08</v>
      </c>
      <c r="L533" s="32">
        <v>9.92</v>
      </c>
      <c r="M533" s="23">
        <v>24</v>
      </c>
      <c r="N533" s="23">
        <v>6.4</v>
      </c>
      <c r="O533" s="24">
        <v>6.5700000000000008E-2</v>
      </c>
    </row>
    <row r="534" spans="1:15" x14ac:dyDescent="0.25">
      <c r="A534" s="18" t="s">
        <v>528</v>
      </c>
      <c r="B534" s="35">
        <v>10.64</v>
      </c>
      <c r="C534" s="32">
        <v>10.48</v>
      </c>
      <c r="D534" s="32">
        <v>10.48</v>
      </c>
      <c r="E534" s="32">
        <v>10.48</v>
      </c>
      <c r="F534" s="32">
        <v>10.28</v>
      </c>
      <c r="G534" s="32">
        <v>10.48</v>
      </c>
      <c r="H534" s="32">
        <v>10.48</v>
      </c>
      <c r="I534" s="32">
        <v>10.48</v>
      </c>
      <c r="J534" s="32">
        <v>10.48</v>
      </c>
      <c r="K534" s="32">
        <v>10.48</v>
      </c>
      <c r="L534" s="32">
        <v>10.28</v>
      </c>
      <c r="M534" s="23">
        <v>29</v>
      </c>
      <c r="N534" s="23">
        <v>5.6</v>
      </c>
      <c r="O534" s="24">
        <v>7.4899999999999994E-2</v>
      </c>
    </row>
    <row r="535" spans="1:15" x14ac:dyDescent="0.25">
      <c r="A535" s="18" t="s">
        <v>529</v>
      </c>
      <c r="B535" s="35">
        <v>6.72</v>
      </c>
      <c r="C535" s="32">
        <v>6.72</v>
      </c>
      <c r="D535" s="32">
        <v>6.72</v>
      </c>
      <c r="E535" s="32">
        <v>6.76</v>
      </c>
      <c r="F535" s="32">
        <v>6.88</v>
      </c>
      <c r="G535" s="32">
        <v>6.88</v>
      </c>
      <c r="H535" s="32">
        <v>6.88</v>
      </c>
      <c r="I535" s="32">
        <v>6.88</v>
      </c>
      <c r="J535" s="32">
        <v>7.04</v>
      </c>
      <c r="K535" s="32">
        <v>6.88</v>
      </c>
      <c r="L535" s="32">
        <v>6.72</v>
      </c>
      <c r="M535" s="23">
        <v>28</v>
      </c>
      <c r="N535" s="23">
        <v>1.4</v>
      </c>
      <c r="O535" s="24">
        <v>7.4499999999999997E-2</v>
      </c>
    </row>
    <row r="536" spans="1:15" x14ac:dyDescent="0.25">
      <c r="A536" s="18" t="s">
        <v>530</v>
      </c>
      <c r="B536" s="35">
        <v>5.88</v>
      </c>
      <c r="C536" s="32">
        <v>5.56</v>
      </c>
      <c r="D536" s="32">
        <v>5.56</v>
      </c>
      <c r="E536" s="32">
        <v>5.88</v>
      </c>
      <c r="F536" s="32">
        <v>5.92</v>
      </c>
      <c r="G536" s="32">
        <v>5.88</v>
      </c>
      <c r="H536" s="32">
        <v>5.56</v>
      </c>
      <c r="I536" s="32">
        <v>5.56</v>
      </c>
      <c r="J536" s="32">
        <v>5.88</v>
      </c>
      <c r="K536" s="32">
        <v>5.72</v>
      </c>
      <c r="L536" s="32">
        <v>5.56</v>
      </c>
      <c r="M536" s="23">
        <v>23</v>
      </c>
      <c r="N536" s="23">
        <v>1.2</v>
      </c>
      <c r="O536" s="24">
        <v>6.4100000000000004E-2</v>
      </c>
    </row>
    <row r="537" spans="1:15" x14ac:dyDescent="0.25">
      <c r="A537" s="18" t="s">
        <v>531</v>
      </c>
      <c r="B537" s="35">
        <v>6.04</v>
      </c>
      <c r="C537" s="32">
        <v>6.08</v>
      </c>
      <c r="D537" s="32">
        <v>6.08</v>
      </c>
      <c r="E537" s="32">
        <v>6.08</v>
      </c>
      <c r="F537" s="32">
        <v>6.08</v>
      </c>
      <c r="G537" s="32">
        <v>6.08</v>
      </c>
      <c r="H537" s="32">
        <v>6.04</v>
      </c>
      <c r="I537" s="32">
        <v>6.08</v>
      </c>
      <c r="J537" s="32">
        <v>5.92</v>
      </c>
      <c r="K537" s="32">
        <v>6.08</v>
      </c>
      <c r="L537" s="32">
        <v>5.92</v>
      </c>
      <c r="M537" s="23">
        <v>24</v>
      </c>
      <c r="N537" s="23">
        <v>1.4</v>
      </c>
      <c r="O537" s="24">
        <v>6.5000000000000002E-2</v>
      </c>
    </row>
    <row r="538" spans="1:15" x14ac:dyDescent="0.25">
      <c r="A538" s="18" t="s">
        <v>532</v>
      </c>
      <c r="B538" s="35">
        <v>4.68</v>
      </c>
      <c r="C538" s="32">
        <v>4.88</v>
      </c>
      <c r="D538" s="32">
        <v>4.88</v>
      </c>
      <c r="E538" s="32">
        <v>4.88</v>
      </c>
      <c r="F538" s="32">
        <v>4.88</v>
      </c>
      <c r="G538" s="32">
        <v>4.88</v>
      </c>
      <c r="H538" s="32">
        <v>4.88</v>
      </c>
      <c r="I538" s="32">
        <v>4.84</v>
      </c>
      <c r="J538" s="32">
        <v>4.88</v>
      </c>
      <c r="K538" s="32">
        <v>4.88</v>
      </c>
      <c r="L538" s="32">
        <v>4.68</v>
      </c>
      <c r="M538" s="23">
        <v>21</v>
      </c>
      <c r="N538" s="23">
        <v>0.6</v>
      </c>
      <c r="O538" s="24">
        <v>5.8500000000000003E-2</v>
      </c>
    </row>
    <row r="539" spans="1:15" ht="15.75" thickBot="1" x14ac:dyDescent="0.3">
      <c r="A539" s="18" t="s">
        <v>533</v>
      </c>
      <c r="B539" s="36">
        <v>6.56</v>
      </c>
      <c r="C539" s="33">
        <v>6.56</v>
      </c>
      <c r="D539" s="33">
        <v>6.56</v>
      </c>
      <c r="E539" s="33">
        <v>6.6</v>
      </c>
      <c r="F539" s="33">
        <v>6.56</v>
      </c>
      <c r="G539" s="33">
        <v>6.56</v>
      </c>
      <c r="H539" s="33">
        <v>6.56</v>
      </c>
      <c r="I539" s="33">
        <v>6.56</v>
      </c>
      <c r="J539" s="33">
        <v>6.72</v>
      </c>
      <c r="K539" s="33">
        <v>6.4</v>
      </c>
      <c r="L539" s="33">
        <v>6.4</v>
      </c>
      <c r="M539" s="26">
        <v>28</v>
      </c>
      <c r="N539" s="26">
        <v>1</v>
      </c>
      <c r="O539" s="27">
        <v>7.6100000000000001E-2</v>
      </c>
    </row>
  </sheetData>
  <mergeCells count="1">
    <mergeCell ref="B5:O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B50E0-7DCA-46A1-88F1-D1890A60B182}">
  <dimension ref="A1:O539"/>
  <sheetViews>
    <sheetView workbookViewId="0">
      <selection activeCell="B179" sqref="B179:O179"/>
    </sheetView>
  </sheetViews>
  <sheetFormatPr defaultRowHeight="15" x14ac:dyDescent="0.25"/>
  <cols>
    <col min="1" max="1" width="24.7109375" bestFit="1" customWidth="1"/>
    <col min="13" max="13" width="10.7109375" bestFit="1" customWidth="1"/>
    <col min="14" max="14" width="22.85546875" bestFit="1" customWidth="1"/>
    <col min="15" max="15" width="24" bestFit="1" customWidth="1"/>
  </cols>
  <sheetData>
    <row r="1" spans="1:15" ht="15.75" thickBot="1" x14ac:dyDescent="0.3">
      <c r="A1" s="3" t="s">
        <v>549</v>
      </c>
    </row>
    <row r="2" spans="1:15" x14ac:dyDescent="0.25">
      <c r="A2" s="2" t="s">
        <v>550</v>
      </c>
    </row>
    <row r="3" spans="1:15" x14ac:dyDescent="0.25">
      <c r="A3" s="1" t="s">
        <v>551</v>
      </c>
    </row>
    <row r="4" spans="1:15" ht="15.75" thickBot="1" x14ac:dyDescent="0.3">
      <c r="A4" s="1" t="s">
        <v>552</v>
      </c>
    </row>
    <row r="5" spans="1:15" ht="15.75" thickBot="1" x14ac:dyDescent="0.3">
      <c r="A5" s="4" t="s">
        <v>553</v>
      </c>
      <c r="B5" s="90" t="s">
        <v>555</v>
      </c>
      <c r="C5" s="91"/>
      <c r="D5" s="91"/>
      <c r="E5" s="91"/>
      <c r="F5" s="91"/>
      <c r="G5" s="91"/>
      <c r="H5" s="91"/>
      <c r="I5" s="91"/>
      <c r="J5" s="91"/>
      <c r="K5" s="91"/>
      <c r="L5" s="91"/>
      <c r="M5" s="91"/>
      <c r="N5" s="91"/>
      <c r="O5" s="92"/>
    </row>
    <row r="6" spans="1:15" ht="15.75" thickBot="1" x14ac:dyDescent="0.3">
      <c r="A6" s="5" t="s">
        <v>0</v>
      </c>
      <c r="B6" s="6" t="s">
        <v>534</v>
      </c>
      <c r="C6" s="6" t="s">
        <v>535</v>
      </c>
      <c r="D6" s="6" t="s">
        <v>536</v>
      </c>
      <c r="E6" s="6" t="s">
        <v>537</v>
      </c>
      <c r="F6" s="6" t="s">
        <v>538</v>
      </c>
      <c r="G6" s="6" t="s">
        <v>539</v>
      </c>
      <c r="H6" s="6" t="s">
        <v>540</v>
      </c>
      <c r="I6" s="6" t="s">
        <v>541</v>
      </c>
      <c r="J6" s="6" t="s">
        <v>542</v>
      </c>
      <c r="K6" s="6" t="s">
        <v>543</v>
      </c>
      <c r="L6" s="6" t="s">
        <v>548</v>
      </c>
      <c r="M6" s="6" t="s">
        <v>544</v>
      </c>
      <c r="N6" s="6" t="s">
        <v>545</v>
      </c>
      <c r="O6" s="7" t="s">
        <v>547</v>
      </c>
    </row>
    <row r="7" spans="1:15" x14ac:dyDescent="0.25">
      <c r="A7" s="16" t="s">
        <v>1</v>
      </c>
      <c r="B7" s="19">
        <v>5.8</v>
      </c>
      <c r="C7" s="20">
        <v>5.8</v>
      </c>
      <c r="D7" s="20">
        <v>5.8</v>
      </c>
      <c r="E7" s="20">
        <v>5.8</v>
      </c>
      <c r="F7" s="20">
        <v>5.8</v>
      </c>
      <c r="G7" s="20">
        <v>5.8</v>
      </c>
      <c r="H7" s="20">
        <v>5.8</v>
      </c>
      <c r="I7" s="20">
        <v>5.8</v>
      </c>
      <c r="J7" s="20">
        <v>5.8</v>
      </c>
      <c r="K7" s="20">
        <v>5.8</v>
      </c>
      <c r="L7" s="20">
        <v>5.8</v>
      </c>
      <c r="M7" s="20">
        <v>13</v>
      </c>
      <c r="N7" s="20">
        <v>4</v>
      </c>
      <c r="O7" s="21">
        <v>5.3800000000000001E-2</v>
      </c>
    </row>
    <row r="8" spans="1:15" x14ac:dyDescent="0.25">
      <c r="A8" s="16" t="s">
        <v>2</v>
      </c>
      <c r="B8" s="22">
        <v>2.6</v>
      </c>
      <c r="C8" s="23">
        <v>2.6</v>
      </c>
      <c r="D8" s="23">
        <v>2.6</v>
      </c>
      <c r="E8" s="23">
        <v>2.6</v>
      </c>
      <c r="F8" s="23">
        <v>2.6</v>
      </c>
      <c r="G8" s="23">
        <v>2.6</v>
      </c>
      <c r="H8" s="23">
        <v>2.6</v>
      </c>
      <c r="I8" s="23">
        <v>2.6</v>
      </c>
      <c r="J8" s="23">
        <v>2.6</v>
      </c>
      <c r="K8" s="23">
        <v>2.6</v>
      </c>
      <c r="L8" s="23">
        <v>2.6</v>
      </c>
      <c r="M8" s="23">
        <v>9</v>
      </c>
      <c r="N8" s="23">
        <v>1</v>
      </c>
      <c r="O8" s="24">
        <v>3.4000000000000002E-2</v>
      </c>
    </row>
    <row r="9" spans="1:15" x14ac:dyDescent="0.25">
      <c r="A9" s="16" t="s">
        <v>3</v>
      </c>
      <c r="B9" s="22">
        <v>4.28</v>
      </c>
      <c r="C9" s="23">
        <v>4.28</v>
      </c>
      <c r="D9" s="23">
        <v>4.28</v>
      </c>
      <c r="E9" s="23">
        <v>4.28</v>
      </c>
      <c r="F9" s="23">
        <v>4.28</v>
      </c>
      <c r="G9" s="23">
        <v>4.28</v>
      </c>
      <c r="H9" s="23">
        <v>4.28</v>
      </c>
      <c r="I9" s="23">
        <v>4.28</v>
      </c>
      <c r="J9" s="23">
        <v>4.28</v>
      </c>
      <c r="K9" s="23">
        <v>4.28</v>
      </c>
      <c r="L9" s="23">
        <v>4.28</v>
      </c>
      <c r="M9" s="23">
        <v>11</v>
      </c>
      <c r="N9" s="23">
        <v>2.6</v>
      </c>
      <c r="O9" s="24">
        <v>0.04</v>
      </c>
    </row>
    <row r="10" spans="1:15" x14ac:dyDescent="0.25">
      <c r="A10" s="16" t="s">
        <v>4</v>
      </c>
      <c r="B10" s="22">
        <v>6.6</v>
      </c>
      <c r="C10" s="23">
        <v>6.6</v>
      </c>
      <c r="D10" s="23">
        <v>6.6</v>
      </c>
      <c r="E10" s="23">
        <v>6.6</v>
      </c>
      <c r="F10" s="23">
        <v>6.6</v>
      </c>
      <c r="G10" s="23">
        <v>6.6</v>
      </c>
      <c r="H10" s="23">
        <v>6.6</v>
      </c>
      <c r="I10" s="23">
        <v>6.6</v>
      </c>
      <c r="J10" s="23">
        <v>6.6</v>
      </c>
      <c r="K10" s="23">
        <v>6.6</v>
      </c>
      <c r="L10" s="23">
        <v>6.6</v>
      </c>
      <c r="M10" s="23">
        <v>13</v>
      </c>
      <c r="N10" s="23">
        <v>5</v>
      </c>
      <c r="O10" s="24">
        <v>4.7899999999999998E-2</v>
      </c>
    </row>
    <row r="11" spans="1:15" x14ac:dyDescent="0.25">
      <c r="A11" s="16" t="s">
        <v>5</v>
      </c>
      <c r="B11" s="22">
        <v>3.52</v>
      </c>
      <c r="C11" s="23">
        <v>3.52</v>
      </c>
      <c r="D11" s="23">
        <v>3.52</v>
      </c>
      <c r="E11" s="23">
        <v>3.52</v>
      </c>
      <c r="F11" s="23">
        <v>3.68</v>
      </c>
      <c r="G11" s="23">
        <v>3.68</v>
      </c>
      <c r="H11" s="23">
        <v>3.52</v>
      </c>
      <c r="I11" s="23">
        <v>3.52</v>
      </c>
      <c r="J11" s="23">
        <v>3.52</v>
      </c>
      <c r="K11" s="23">
        <v>3.52</v>
      </c>
      <c r="L11" s="23">
        <v>3.52</v>
      </c>
      <c r="M11" s="23">
        <v>8</v>
      </c>
      <c r="N11" s="23">
        <v>2.4</v>
      </c>
      <c r="O11" s="24">
        <v>3.5799999999999998E-2</v>
      </c>
    </row>
    <row r="12" spans="1:15" x14ac:dyDescent="0.25">
      <c r="A12" s="16" t="s">
        <v>6</v>
      </c>
      <c r="B12" s="22">
        <v>3.12</v>
      </c>
      <c r="C12" s="23">
        <v>3.12</v>
      </c>
      <c r="D12" s="23">
        <v>3.12</v>
      </c>
      <c r="E12" s="23">
        <v>3.12</v>
      </c>
      <c r="F12" s="23">
        <v>3.12</v>
      </c>
      <c r="G12" s="23">
        <v>3.12</v>
      </c>
      <c r="H12" s="23">
        <v>3.12</v>
      </c>
      <c r="I12" s="23">
        <v>3.12</v>
      </c>
      <c r="J12" s="23">
        <v>3.12</v>
      </c>
      <c r="K12" s="23">
        <v>3.12</v>
      </c>
      <c r="L12" s="23">
        <v>3.12</v>
      </c>
      <c r="M12" s="23">
        <v>10</v>
      </c>
      <c r="N12" s="23">
        <v>1.4</v>
      </c>
      <c r="O12" s="24">
        <v>4.02E-2</v>
      </c>
    </row>
    <row r="13" spans="1:15" x14ac:dyDescent="0.25">
      <c r="A13" s="16" t="s">
        <v>7</v>
      </c>
      <c r="B13" s="22">
        <v>3.12</v>
      </c>
      <c r="C13" s="23">
        <v>3.12</v>
      </c>
      <c r="D13" s="23">
        <v>3.12</v>
      </c>
      <c r="E13" s="23">
        <v>3.12</v>
      </c>
      <c r="F13" s="23">
        <v>3.12</v>
      </c>
      <c r="G13" s="23">
        <v>3.12</v>
      </c>
      <c r="H13" s="23">
        <v>3.12</v>
      </c>
      <c r="I13" s="23">
        <v>3.12</v>
      </c>
      <c r="J13" s="23">
        <v>3.12</v>
      </c>
      <c r="K13" s="23">
        <v>3.12</v>
      </c>
      <c r="L13" s="23">
        <v>3.12</v>
      </c>
      <c r="M13" s="23">
        <v>10</v>
      </c>
      <c r="N13" s="23">
        <v>1.4</v>
      </c>
      <c r="O13" s="24">
        <v>4.0900000000000013E-2</v>
      </c>
    </row>
    <row r="14" spans="1:15" x14ac:dyDescent="0.25">
      <c r="A14" s="16" t="s">
        <v>8</v>
      </c>
      <c r="B14" s="22">
        <v>2.8</v>
      </c>
      <c r="C14" s="23">
        <v>2.8</v>
      </c>
      <c r="D14" s="23">
        <v>2.8</v>
      </c>
      <c r="E14" s="23">
        <v>2.8</v>
      </c>
      <c r="F14" s="23">
        <v>2.8</v>
      </c>
      <c r="G14" s="23">
        <v>2.8</v>
      </c>
      <c r="H14" s="23">
        <v>2.8</v>
      </c>
      <c r="I14" s="23">
        <v>2.8</v>
      </c>
      <c r="J14" s="23">
        <v>2.8</v>
      </c>
      <c r="K14" s="23">
        <v>2.8</v>
      </c>
      <c r="L14" s="23">
        <v>2.8</v>
      </c>
      <c r="M14" s="23">
        <v>10</v>
      </c>
      <c r="N14" s="23">
        <v>1</v>
      </c>
      <c r="O14" s="24">
        <v>3.9100000000000003E-2</v>
      </c>
    </row>
    <row r="15" spans="1:15" x14ac:dyDescent="0.25">
      <c r="A15" s="16" t="s">
        <v>9</v>
      </c>
      <c r="B15" s="22">
        <v>4.2</v>
      </c>
      <c r="C15" s="23">
        <v>4.2</v>
      </c>
      <c r="D15" s="23">
        <v>4.2</v>
      </c>
      <c r="E15" s="23">
        <v>4.2</v>
      </c>
      <c r="F15" s="23">
        <v>4.2</v>
      </c>
      <c r="G15" s="23">
        <v>4.2</v>
      </c>
      <c r="H15" s="23">
        <v>4.2</v>
      </c>
      <c r="I15" s="23">
        <v>4.2</v>
      </c>
      <c r="J15" s="23">
        <v>4.3600000000000003</v>
      </c>
      <c r="K15" s="23">
        <v>4.2</v>
      </c>
      <c r="L15" s="23">
        <v>4.2</v>
      </c>
      <c r="M15" s="23">
        <v>9</v>
      </c>
      <c r="N15" s="23">
        <v>3</v>
      </c>
      <c r="O15" s="24">
        <v>3.7499999999999999E-2</v>
      </c>
    </row>
    <row r="16" spans="1:15" x14ac:dyDescent="0.25">
      <c r="A16" s="16" t="s">
        <v>10</v>
      </c>
      <c r="B16" s="22">
        <v>5</v>
      </c>
      <c r="C16" s="23">
        <v>5</v>
      </c>
      <c r="D16" s="23">
        <v>5</v>
      </c>
      <c r="E16" s="23">
        <v>5</v>
      </c>
      <c r="F16" s="23">
        <v>5</v>
      </c>
      <c r="G16" s="23">
        <v>5</v>
      </c>
      <c r="H16" s="23">
        <v>5</v>
      </c>
      <c r="I16" s="23">
        <v>5</v>
      </c>
      <c r="J16" s="23">
        <v>5</v>
      </c>
      <c r="K16" s="23">
        <v>5</v>
      </c>
      <c r="L16" s="23">
        <v>5</v>
      </c>
      <c r="M16" s="23">
        <v>13</v>
      </c>
      <c r="N16" s="23">
        <v>3</v>
      </c>
      <c r="O16" s="24">
        <v>5.0599999999999999E-2</v>
      </c>
    </row>
    <row r="17" spans="1:15" x14ac:dyDescent="0.25">
      <c r="A17" s="16" t="s">
        <v>11</v>
      </c>
      <c r="B17" s="22">
        <v>5.08</v>
      </c>
      <c r="C17" s="23">
        <v>5.08</v>
      </c>
      <c r="D17" s="23">
        <v>5.24</v>
      </c>
      <c r="E17" s="23">
        <v>5.08</v>
      </c>
      <c r="F17" s="23">
        <v>5.08</v>
      </c>
      <c r="G17" s="23">
        <v>5.08</v>
      </c>
      <c r="H17" s="23">
        <v>5.08</v>
      </c>
      <c r="I17" s="23">
        <v>5.08</v>
      </c>
      <c r="J17" s="23">
        <v>5.08</v>
      </c>
      <c r="K17" s="23">
        <v>5.08</v>
      </c>
      <c r="L17" s="23">
        <v>5.08</v>
      </c>
      <c r="M17" s="23">
        <v>11</v>
      </c>
      <c r="N17" s="23">
        <v>3.6</v>
      </c>
      <c r="O17" s="24">
        <v>4.0000000000000001E-3</v>
      </c>
    </row>
    <row r="18" spans="1:15" x14ac:dyDescent="0.25">
      <c r="A18" s="16" t="s">
        <v>12</v>
      </c>
      <c r="B18" s="22">
        <v>3.72</v>
      </c>
      <c r="C18" s="23">
        <v>3.72</v>
      </c>
      <c r="D18" s="23">
        <v>3.72</v>
      </c>
      <c r="E18" s="23">
        <v>3.72</v>
      </c>
      <c r="F18" s="23">
        <v>3.72</v>
      </c>
      <c r="G18" s="23">
        <v>3.72</v>
      </c>
      <c r="H18" s="23">
        <v>3.72</v>
      </c>
      <c r="I18" s="23">
        <v>3.72</v>
      </c>
      <c r="J18" s="23">
        <v>3.72</v>
      </c>
      <c r="K18" s="23">
        <v>3.72</v>
      </c>
      <c r="L18" s="23">
        <v>3.72</v>
      </c>
      <c r="M18" s="23">
        <v>9</v>
      </c>
      <c r="N18" s="23">
        <v>2.4</v>
      </c>
      <c r="O18" s="24">
        <v>3.0999999999999999E-3</v>
      </c>
    </row>
    <row r="19" spans="1:15" x14ac:dyDescent="0.25">
      <c r="A19" s="16" t="s">
        <v>13</v>
      </c>
      <c r="B19" s="22">
        <v>5</v>
      </c>
      <c r="C19" s="23">
        <v>5</v>
      </c>
      <c r="D19" s="23">
        <v>5</v>
      </c>
      <c r="E19" s="23">
        <v>5</v>
      </c>
      <c r="F19" s="23">
        <v>5</v>
      </c>
      <c r="G19" s="23">
        <v>5</v>
      </c>
      <c r="H19" s="23">
        <v>5</v>
      </c>
      <c r="I19" s="23">
        <v>5</v>
      </c>
      <c r="J19" s="23">
        <v>5</v>
      </c>
      <c r="K19" s="23">
        <v>5</v>
      </c>
      <c r="L19" s="23">
        <v>5</v>
      </c>
      <c r="M19" s="23">
        <v>13</v>
      </c>
      <c r="N19" s="23">
        <v>3</v>
      </c>
      <c r="O19" s="24">
        <v>4.0000000000000001E-3</v>
      </c>
    </row>
    <row r="20" spans="1:15" x14ac:dyDescent="0.25">
      <c r="A20" s="16" t="s">
        <v>14</v>
      </c>
      <c r="B20" s="22">
        <v>1.76</v>
      </c>
      <c r="C20" s="23">
        <v>1.76</v>
      </c>
      <c r="D20" s="23">
        <v>1.76</v>
      </c>
      <c r="E20" s="23">
        <v>1.76</v>
      </c>
      <c r="F20" s="23">
        <v>1.76</v>
      </c>
      <c r="G20" s="23">
        <v>1.76</v>
      </c>
      <c r="H20" s="23">
        <v>1.76</v>
      </c>
      <c r="I20" s="23">
        <v>1.76</v>
      </c>
      <c r="J20" s="23">
        <v>1.76</v>
      </c>
      <c r="K20" s="23">
        <v>1.76</v>
      </c>
      <c r="L20" s="23">
        <v>1.76</v>
      </c>
      <c r="M20" s="23">
        <v>8</v>
      </c>
      <c r="N20" s="23">
        <v>0.2</v>
      </c>
      <c r="O20" s="24">
        <v>3.0000000000000001E-3</v>
      </c>
    </row>
    <row r="21" spans="1:15" x14ac:dyDescent="0.25">
      <c r="A21" s="16" t="s">
        <v>15</v>
      </c>
      <c r="B21" s="22">
        <v>3.76</v>
      </c>
      <c r="C21" s="23">
        <v>3.76</v>
      </c>
      <c r="D21" s="23">
        <v>3.76</v>
      </c>
      <c r="E21" s="23">
        <v>3.76</v>
      </c>
      <c r="F21" s="23">
        <v>3.76</v>
      </c>
      <c r="G21" s="23">
        <v>3.76</v>
      </c>
      <c r="H21" s="23">
        <v>3.76</v>
      </c>
      <c r="I21" s="23">
        <v>3.76</v>
      </c>
      <c r="J21" s="23">
        <v>3.76</v>
      </c>
      <c r="K21" s="23">
        <v>3.76</v>
      </c>
      <c r="L21" s="23">
        <v>3.76</v>
      </c>
      <c r="M21" s="23">
        <v>10</v>
      </c>
      <c r="N21" s="23">
        <v>2.2000000000000002</v>
      </c>
      <c r="O21" s="24">
        <v>3.7000000000000002E-3</v>
      </c>
    </row>
    <row r="22" spans="1:15" x14ac:dyDescent="0.25">
      <c r="A22" s="16" t="s">
        <v>16</v>
      </c>
      <c r="B22" s="22">
        <v>4.12</v>
      </c>
      <c r="C22" s="23">
        <v>4.16</v>
      </c>
      <c r="D22" s="23">
        <v>4.12</v>
      </c>
      <c r="E22" s="23">
        <v>4.12</v>
      </c>
      <c r="F22" s="23">
        <v>4.16</v>
      </c>
      <c r="G22" s="23">
        <v>4.16</v>
      </c>
      <c r="H22" s="23">
        <v>4.16</v>
      </c>
      <c r="I22" s="23">
        <v>4.16</v>
      </c>
      <c r="J22" s="23">
        <v>4.16</v>
      </c>
      <c r="K22" s="23">
        <v>4.16</v>
      </c>
      <c r="L22" s="23">
        <v>4.12</v>
      </c>
      <c r="M22" s="23">
        <v>11</v>
      </c>
      <c r="N22" s="23">
        <v>2.4</v>
      </c>
      <c r="O22" s="24">
        <v>4.0000000000000001E-3</v>
      </c>
    </row>
    <row r="23" spans="1:15" x14ac:dyDescent="0.25">
      <c r="A23" s="16" t="s">
        <v>17</v>
      </c>
      <c r="B23" s="22">
        <v>2.88</v>
      </c>
      <c r="C23" s="23">
        <v>2.88</v>
      </c>
      <c r="D23" s="23">
        <v>2.88</v>
      </c>
      <c r="E23" s="23">
        <v>2.88</v>
      </c>
      <c r="F23" s="23">
        <v>2.88</v>
      </c>
      <c r="G23" s="23">
        <v>2.88</v>
      </c>
      <c r="H23" s="23">
        <v>2.88</v>
      </c>
      <c r="I23" s="23">
        <v>2.88</v>
      </c>
      <c r="J23" s="23">
        <v>2.88</v>
      </c>
      <c r="K23" s="23">
        <v>2.88</v>
      </c>
      <c r="L23" s="23">
        <v>2.88</v>
      </c>
      <c r="M23" s="23">
        <v>8</v>
      </c>
      <c r="N23" s="23">
        <v>1.6</v>
      </c>
      <c r="O23" s="24">
        <v>3.0000000000000001E-3</v>
      </c>
    </row>
    <row r="24" spans="1:15" x14ac:dyDescent="0.25">
      <c r="A24" s="16" t="s">
        <v>18</v>
      </c>
      <c r="B24" s="22">
        <v>2.2400000000000002</v>
      </c>
      <c r="C24" s="23">
        <v>2.2400000000000002</v>
      </c>
      <c r="D24" s="23">
        <v>2.2400000000000002</v>
      </c>
      <c r="E24" s="23">
        <v>2.2400000000000002</v>
      </c>
      <c r="F24" s="23">
        <v>2.2400000000000002</v>
      </c>
      <c r="G24" s="23">
        <v>2.2400000000000002</v>
      </c>
      <c r="H24" s="23">
        <v>2.2400000000000002</v>
      </c>
      <c r="I24" s="23">
        <v>2.2400000000000002</v>
      </c>
      <c r="J24" s="23">
        <v>2.2400000000000002</v>
      </c>
      <c r="K24" s="23">
        <v>2.2400000000000002</v>
      </c>
      <c r="L24" s="23">
        <v>2.2400000000000002</v>
      </c>
      <c r="M24" s="23">
        <v>8</v>
      </c>
      <c r="N24" s="23">
        <v>0.8</v>
      </c>
      <c r="O24" s="24">
        <v>3.0000000000000001E-3</v>
      </c>
    </row>
    <row r="25" spans="1:15" x14ac:dyDescent="0.25">
      <c r="A25" s="16" t="s">
        <v>19</v>
      </c>
      <c r="B25" s="22">
        <v>4.76</v>
      </c>
      <c r="C25" s="23">
        <v>4.76</v>
      </c>
      <c r="D25" s="23">
        <v>4.76</v>
      </c>
      <c r="E25" s="23">
        <v>4.76</v>
      </c>
      <c r="F25" s="23">
        <v>4.76</v>
      </c>
      <c r="G25" s="23">
        <v>4.76</v>
      </c>
      <c r="H25" s="23">
        <v>4.76</v>
      </c>
      <c r="I25" s="23">
        <v>4.76</v>
      </c>
      <c r="J25" s="23">
        <v>4.76</v>
      </c>
      <c r="K25" s="23">
        <v>4.76</v>
      </c>
      <c r="L25" s="23">
        <v>4.76</v>
      </c>
      <c r="M25" s="23">
        <v>11</v>
      </c>
      <c r="N25" s="23">
        <v>3.2</v>
      </c>
      <c r="O25" s="24">
        <v>3.8999999999999998E-3</v>
      </c>
    </row>
    <row r="26" spans="1:15" x14ac:dyDescent="0.25">
      <c r="A26" s="16" t="s">
        <v>20</v>
      </c>
      <c r="B26" s="22">
        <v>5.2</v>
      </c>
      <c r="C26" s="23">
        <v>5.2</v>
      </c>
      <c r="D26" s="23">
        <v>5.2</v>
      </c>
      <c r="E26" s="23">
        <v>5.2</v>
      </c>
      <c r="F26" s="23">
        <v>5.2</v>
      </c>
      <c r="G26" s="23">
        <v>5.2</v>
      </c>
      <c r="H26" s="23">
        <v>5.2</v>
      </c>
      <c r="I26" s="23">
        <v>5.2</v>
      </c>
      <c r="J26" s="23">
        <v>5.2</v>
      </c>
      <c r="K26" s="23">
        <v>5.2</v>
      </c>
      <c r="L26" s="23">
        <v>5.2</v>
      </c>
      <c r="M26" s="23">
        <v>14</v>
      </c>
      <c r="N26" s="23">
        <v>3</v>
      </c>
      <c r="O26" s="24">
        <v>4.1000000000000003E-3</v>
      </c>
    </row>
    <row r="27" spans="1:15" x14ac:dyDescent="0.25">
      <c r="A27" s="16" t="s">
        <v>21</v>
      </c>
      <c r="B27" s="22">
        <v>3.32</v>
      </c>
      <c r="C27" s="23">
        <v>3.32</v>
      </c>
      <c r="D27" s="23">
        <v>3.32</v>
      </c>
      <c r="E27" s="23">
        <v>3.32</v>
      </c>
      <c r="F27" s="23">
        <v>3.32</v>
      </c>
      <c r="G27" s="23">
        <v>3.32</v>
      </c>
      <c r="H27" s="23">
        <v>3.32</v>
      </c>
      <c r="I27" s="23">
        <v>3.32</v>
      </c>
      <c r="J27" s="23">
        <v>3.32</v>
      </c>
      <c r="K27" s="23">
        <v>3.32</v>
      </c>
      <c r="L27" s="23">
        <v>3.32</v>
      </c>
      <c r="M27" s="23">
        <v>11</v>
      </c>
      <c r="N27" s="23">
        <v>1.4</v>
      </c>
      <c r="O27" s="24">
        <v>4.0000000000000001E-3</v>
      </c>
    </row>
    <row r="28" spans="1:15" x14ac:dyDescent="0.25">
      <c r="A28" s="16" t="s">
        <v>22</v>
      </c>
      <c r="B28" s="22">
        <v>6.36</v>
      </c>
      <c r="C28" s="23">
        <v>6.36</v>
      </c>
      <c r="D28" s="23">
        <v>6.36</v>
      </c>
      <c r="E28" s="23">
        <v>6.36</v>
      </c>
      <c r="F28" s="23">
        <v>6.36</v>
      </c>
      <c r="G28" s="23">
        <v>6.36</v>
      </c>
      <c r="H28" s="23">
        <v>6.36</v>
      </c>
      <c r="I28" s="23">
        <v>6.36</v>
      </c>
      <c r="J28" s="23">
        <v>6.36</v>
      </c>
      <c r="K28" s="23">
        <v>6.36</v>
      </c>
      <c r="L28" s="23">
        <v>6.36</v>
      </c>
      <c r="M28" s="23">
        <v>15</v>
      </c>
      <c r="N28" s="23">
        <v>4.2</v>
      </c>
      <c r="O28" s="24">
        <v>5.0000000000000001E-3</v>
      </c>
    </row>
    <row r="29" spans="1:15" x14ac:dyDescent="0.25">
      <c r="A29" s="16" t="s">
        <v>23</v>
      </c>
      <c r="B29" s="22">
        <v>4.24</v>
      </c>
      <c r="C29" s="23">
        <v>4.24</v>
      </c>
      <c r="D29" s="23">
        <v>4.24</v>
      </c>
      <c r="E29" s="23">
        <v>4.24</v>
      </c>
      <c r="F29" s="23">
        <v>4.24</v>
      </c>
      <c r="G29" s="23">
        <v>4.24</v>
      </c>
      <c r="H29" s="23">
        <v>4.24</v>
      </c>
      <c r="I29" s="23">
        <v>4.24</v>
      </c>
      <c r="J29" s="23">
        <v>4.24</v>
      </c>
      <c r="K29" s="23">
        <v>4.24</v>
      </c>
      <c r="L29" s="23">
        <v>4.24</v>
      </c>
      <c r="M29" s="23">
        <v>10</v>
      </c>
      <c r="N29" s="23">
        <v>2.8</v>
      </c>
      <c r="O29" s="24">
        <v>4.0000000000000001E-3</v>
      </c>
    </row>
    <row r="30" spans="1:15" x14ac:dyDescent="0.25">
      <c r="A30" s="16" t="s">
        <v>24</v>
      </c>
      <c r="B30" s="22">
        <v>4.4400000000000004</v>
      </c>
      <c r="C30" s="23">
        <v>4.4400000000000004</v>
      </c>
      <c r="D30" s="23">
        <v>4.4400000000000004</v>
      </c>
      <c r="E30" s="23">
        <v>4.4400000000000004</v>
      </c>
      <c r="F30" s="23">
        <v>4.4400000000000004</v>
      </c>
      <c r="G30" s="23">
        <v>4.4400000000000004</v>
      </c>
      <c r="H30" s="23">
        <v>4.4400000000000004</v>
      </c>
      <c r="I30" s="23">
        <v>4.4400000000000004</v>
      </c>
      <c r="J30" s="23">
        <v>4.4400000000000004</v>
      </c>
      <c r="K30" s="23">
        <v>4.4400000000000004</v>
      </c>
      <c r="L30" s="23">
        <v>4.4400000000000004</v>
      </c>
      <c r="M30" s="23">
        <v>11</v>
      </c>
      <c r="N30" s="23">
        <v>2.8</v>
      </c>
      <c r="O30" s="24">
        <v>4.1000000000000003E-3</v>
      </c>
    </row>
    <row r="31" spans="1:15" x14ac:dyDescent="0.25">
      <c r="A31" s="16" t="s">
        <v>25</v>
      </c>
      <c r="B31" s="22">
        <v>4.28</v>
      </c>
      <c r="C31" s="23">
        <v>4.28</v>
      </c>
      <c r="D31" s="23">
        <v>4.28</v>
      </c>
      <c r="E31" s="23">
        <v>4.28</v>
      </c>
      <c r="F31" s="23">
        <v>4.28</v>
      </c>
      <c r="G31" s="23">
        <v>4.28</v>
      </c>
      <c r="H31" s="23">
        <v>4.28</v>
      </c>
      <c r="I31" s="23">
        <v>4.28</v>
      </c>
      <c r="J31" s="23">
        <v>4.28</v>
      </c>
      <c r="K31" s="23">
        <v>4.28</v>
      </c>
      <c r="L31" s="23">
        <v>4.28</v>
      </c>
      <c r="M31" s="23">
        <v>11</v>
      </c>
      <c r="N31" s="23">
        <v>2.6</v>
      </c>
      <c r="O31" s="24">
        <v>4.0000000000000001E-3</v>
      </c>
    </row>
    <row r="32" spans="1:15" x14ac:dyDescent="0.25">
      <c r="A32" s="16" t="s">
        <v>26</v>
      </c>
      <c r="B32" s="22">
        <v>3.8</v>
      </c>
      <c r="C32" s="23">
        <v>3.8</v>
      </c>
      <c r="D32" s="23">
        <v>3.8</v>
      </c>
      <c r="E32" s="23">
        <v>3.8</v>
      </c>
      <c r="F32" s="23">
        <v>3.8</v>
      </c>
      <c r="G32" s="23">
        <v>3.8</v>
      </c>
      <c r="H32" s="23">
        <v>3.8</v>
      </c>
      <c r="I32" s="23">
        <v>3.8</v>
      </c>
      <c r="J32" s="23">
        <v>3.8</v>
      </c>
      <c r="K32" s="23">
        <v>3.8</v>
      </c>
      <c r="L32" s="23">
        <v>3.8</v>
      </c>
      <c r="M32" s="23">
        <v>11</v>
      </c>
      <c r="N32" s="23">
        <v>2</v>
      </c>
      <c r="O32" s="24">
        <v>4.0000000000000001E-3</v>
      </c>
    </row>
    <row r="33" spans="1:15" x14ac:dyDescent="0.25">
      <c r="A33" s="16" t="s">
        <v>27</v>
      </c>
      <c r="B33" s="22">
        <v>2.44</v>
      </c>
      <c r="C33" s="23">
        <v>2.44</v>
      </c>
      <c r="D33" s="23">
        <v>2.44</v>
      </c>
      <c r="E33" s="23">
        <v>2.44</v>
      </c>
      <c r="F33" s="23">
        <v>2.44</v>
      </c>
      <c r="G33" s="23">
        <v>2.44</v>
      </c>
      <c r="H33" s="23">
        <v>2.44</v>
      </c>
      <c r="I33" s="23">
        <v>2.44</v>
      </c>
      <c r="J33" s="23">
        <v>2.44</v>
      </c>
      <c r="K33" s="23">
        <v>2.44</v>
      </c>
      <c r="L33" s="23">
        <v>2.44</v>
      </c>
      <c r="M33" s="23">
        <v>9</v>
      </c>
      <c r="N33" s="23">
        <v>0.8</v>
      </c>
      <c r="O33" s="24">
        <v>3.0000000000000001E-3</v>
      </c>
    </row>
    <row r="34" spans="1:15" x14ac:dyDescent="0.25">
      <c r="A34" s="16" t="s">
        <v>28</v>
      </c>
      <c r="B34" s="22">
        <v>2.8</v>
      </c>
      <c r="C34" s="23">
        <v>2.48</v>
      </c>
      <c r="D34" s="23">
        <v>2.48</v>
      </c>
      <c r="E34" s="23">
        <v>2.48</v>
      </c>
      <c r="F34" s="23">
        <v>2.48</v>
      </c>
      <c r="G34" s="23">
        <v>2.8</v>
      </c>
      <c r="H34" s="23">
        <v>2.48</v>
      </c>
      <c r="I34" s="23">
        <v>2.48</v>
      </c>
      <c r="J34" s="23">
        <v>2.48</v>
      </c>
      <c r="K34" s="23">
        <v>2.48</v>
      </c>
      <c r="L34" s="23">
        <v>2.48</v>
      </c>
      <c r="M34" s="23">
        <v>10</v>
      </c>
      <c r="N34" s="23">
        <v>0.6</v>
      </c>
      <c r="O34" s="24">
        <v>4.0000000000000001E-3</v>
      </c>
    </row>
    <row r="35" spans="1:15" x14ac:dyDescent="0.25">
      <c r="A35" s="16" t="s">
        <v>29</v>
      </c>
      <c r="B35" s="22">
        <v>6.2</v>
      </c>
      <c r="C35" s="23">
        <v>6.2</v>
      </c>
      <c r="D35" s="23">
        <v>6.2</v>
      </c>
      <c r="E35" s="23">
        <v>6.2</v>
      </c>
      <c r="F35" s="23">
        <v>6.2</v>
      </c>
      <c r="G35" s="23">
        <v>6.2</v>
      </c>
      <c r="H35" s="23">
        <v>6.2</v>
      </c>
      <c r="I35" s="23">
        <v>6.2</v>
      </c>
      <c r="J35" s="23">
        <v>6.2</v>
      </c>
      <c r="K35" s="23">
        <v>6.2</v>
      </c>
      <c r="L35" s="23">
        <v>6.2</v>
      </c>
      <c r="M35" s="23">
        <v>11</v>
      </c>
      <c r="N35" s="23">
        <v>5</v>
      </c>
      <c r="O35" s="24">
        <v>4.0000000000000001E-3</v>
      </c>
    </row>
    <row r="36" spans="1:15" x14ac:dyDescent="0.25">
      <c r="A36" s="16" t="s">
        <v>30</v>
      </c>
      <c r="B36" s="22">
        <v>4.5199999999999996</v>
      </c>
      <c r="C36" s="23">
        <v>4.5199999999999996</v>
      </c>
      <c r="D36" s="23">
        <v>4.5199999999999996</v>
      </c>
      <c r="E36" s="23">
        <v>4.5199999999999996</v>
      </c>
      <c r="F36" s="23">
        <v>4.5199999999999996</v>
      </c>
      <c r="G36" s="23">
        <v>4.5199999999999996</v>
      </c>
      <c r="H36" s="23">
        <v>4.5199999999999996</v>
      </c>
      <c r="I36" s="23">
        <v>4.5199999999999996</v>
      </c>
      <c r="J36" s="23">
        <v>4.5199999999999996</v>
      </c>
      <c r="K36" s="23">
        <v>4.5199999999999996</v>
      </c>
      <c r="L36" s="23">
        <v>4.5199999999999996</v>
      </c>
      <c r="M36" s="23">
        <v>13</v>
      </c>
      <c r="N36" s="23">
        <v>2.4</v>
      </c>
      <c r="O36" s="24">
        <v>5.0000000000000001E-3</v>
      </c>
    </row>
    <row r="37" spans="1:15" x14ac:dyDescent="0.25">
      <c r="A37" s="16" t="s">
        <v>31</v>
      </c>
      <c r="B37" s="22">
        <v>6.24</v>
      </c>
      <c r="C37" s="23">
        <v>6.24</v>
      </c>
      <c r="D37" s="23">
        <v>6.24</v>
      </c>
      <c r="E37" s="23">
        <v>6.24</v>
      </c>
      <c r="F37" s="23">
        <v>6.24</v>
      </c>
      <c r="G37" s="23">
        <v>6.24</v>
      </c>
      <c r="H37" s="23">
        <v>6.24</v>
      </c>
      <c r="I37" s="23">
        <v>6.24</v>
      </c>
      <c r="J37" s="23">
        <v>6.24</v>
      </c>
      <c r="K37" s="23">
        <v>6.24</v>
      </c>
      <c r="L37" s="23">
        <v>6.24</v>
      </c>
      <c r="M37" s="23">
        <v>12</v>
      </c>
      <c r="N37" s="23">
        <v>4.8</v>
      </c>
      <c r="O37" s="24">
        <v>5.0000000000000001E-3</v>
      </c>
    </row>
    <row r="38" spans="1:15" x14ac:dyDescent="0.25">
      <c r="A38" s="16" t="s">
        <v>32</v>
      </c>
      <c r="B38" s="22">
        <v>2.6</v>
      </c>
      <c r="C38" s="23">
        <v>2.6</v>
      </c>
      <c r="D38" s="23">
        <v>2.6</v>
      </c>
      <c r="E38" s="23">
        <v>2.6</v>
      </c>
      <c r="F38" s="23">
        <v>2.6</v>
      </c>
      <c r="G38" s="23">
        <v>2.6</v>
      </c>
      <c r="H38" s="23">
        <v>2.6</v>
      </c>
      <c r="I38" s="23">
        <v>2.6</v>
      </c>
      <c r="J38" s="23">
        <v>2.6</v>
      </c>
      <c r="K38" s="23">
        <v>2.6</v>
      </c>
      <c r="L38" s="23">
        <v>2.6</v>
      </c>
      <c r="M38" s="23">
        <v>9</v>
      </c>
      <c r="N38" s="23">
        <v>1</v>
      </c>
      <c r="O38" s="24">
        <v>4.0000000000000001E-3</v>
      </c>
    </row>
    <row r="39" spans="1:15" x14ac:dyDescent="0.25">
      <c r="A39" s="16" t="s">
        <v>33</v>
      </c>
      <c r="B39" s="22">
        <v>3.36</v>
      </c>
      <c r="C39" s="23">
        <v>3.36</v>
      </c>
      <c r="D39" s="23">
        <v>3.36</v>
      </c>
      <c r="E39" s="23">
        <v>3.36</v>
      </c>
      <c r="F39" s="23">
        <v>3.36</v>
      </c>
      <c r="G39" s="23">
        <v>3.36</v>
      </c>
      <c r="H39" s="23">
        <v>3.36</v>
      </c>
      <c r="I39" s="23">
        <v>3.36</v>
      </c>
      <c r="J39" s="23">
        <v>3.36</v>
      </c>
      <c r="K39" s="23">
        <v>3.36</v>
      </c>
      <c r="L39" s="23">
        <v>3.36</v>
      </c>
      <c r="M39" s="23">
        <v>8</v>
      </c>
      <c r="N39" s="23">
        <v>2.2000000000000002</v>
      </c>
      <c r="O39" s="24">
        <v>3.0000000000000001E-3</v>
      </c>
    </row>
    <row r="40" spans="1:15" x14ac:dyDescent="0.25">
      <c r="A40" s="16" t="s">
        <v>34</v>
      </c>
      <c r="B40" s="22">
        <v>2.8</v>
      </c>
      <c r="C40" s="23">
        <v>2.8</v>
      </c>
      <c r="D40" s="23">
        <v>2.8</v>
      </c>
      <c r="E40" s="23">
        <v>2.8</v>
      </c>
      <c r="F40" s="23">
        <v>2.8</v>
      </c>
      <c r="G40" s="23">
        <v>2.8</v>
      </c>
      <c r="H40" s="23">
        <v>2.8</v>
      </c>
      <c r="I40" s="23">
        <v>2.8</v>
      </c>
      <c r="J40" s="23">
        <v>2.8</v>
      </c>
      <c r="K40" s="23">
        <v>2.8</v>
      </c>
      <c r="L40" s="23">
        <v>2.8</v>
      </c>
      <c r="M40" s="23">
        <v>10</v>
      </c>
      <c r="N40" s="23">
        <v>1</v>
      </c>
      <c r="O40" s="24">
        <v>4.0000000000000001E-3</v>
      </c>
    </row>
    <row r="41" spans="1:15" x14ac:dyDescent="0.25">
      <c r="A41" s="16" t="s">
        <v>35</v>
      </c>
      <c r="B41" s="22">
        <v>3.8</v>
      </c>
      <c r="C41" s="23">
        <v>3.8</v>
      </c>
      <c r="D41" s="23">
        <v>3.8</v>
      </c>
      <c r="E41" s="23">
        <v>3.8</v>
      </c>
      <c r="F41" s="23">
        <v>3.8</v>
      </c>
      <c r="G41" s="23">
        <v>3.8</v>
      </c>
      <c r="H41" s="23">
        <v>3.8</v>
      </c>
      <c r="I41" s="23">
        <v>3.8</v>
      </c>
      <c r="J41" s="23">
        <v>3.8</v>
      </c>
      <c r="K41" s="23">
        <v>3.8</v>
      </c>
      <c r="L41" s="23">
        <v>3.8</v>
      </c>
      <c r="M41" s="23">
        <v>11</v>
      </c>
      <c r="N41" s="23">
        <v>2</v>
      </c>
      <c r="O41" s="24">
        <v>4.1000000000000003E-3</v>
      </c>
    </row>
    <row r="42" spans="1:15" x14ac:dyDescent="0.25">
      <c r="A42" s="16" t="s">
        <v>36</v>
      </c>
      <c r="B42" s="22">
        <v>5.8</v>
      </c>
      <c r="C42" s="23">
        <v>5.8</v>
      </c>
      <c r="D42" s="23">
        <v>5.8</v>
      </c>
      <c r="E42" s="23">
        <v>5.8</v>
      </c>
      <c r="F42" s="23">
        <v>5.8</v>
      </c>
      <c r="G42" s="23">
        <v>5.8</v>
      </c>
      <c r="H42" s="23">
        <v>5.8</v>
      </c>
      <c r="I42" s="23">
        <v>5.8</v>
      </c>
      <c r="J42" s="23">
        <v>5.8</v>
      </c>
      <c r="K42" s="23">
        <v>5.8</v>
      </c>
      <c r="L42" s="23">
        <v>5.8</v>
      </c>
      <c r="M42" s="23">
        <v>13</v>
      </c>
      <c r="N42" s="23">
        <v>4</v>
      </c>
      <c r="O42" s="24">
        <v>4.8999999999999998E-3</v>
      </c>
    </row>
    <row r="43" spans="1:15" x14ac:dyDescent="0.25">
      <c r="A43" s="16" t="s">
        <v>37</v>
      </c>
      <c r="B43" s="22">
        <v>5.92</v>
      </c>
      <c r="C43" s="23">
        <v>5.92</v>
      </c>
      <c r="D43" s="23">
        <v>5.92</v>
      </c>
      <c r="E43" s="23">
        <v>5.92</v>
      </c>
      <c r="F43" s="23">
        <v>5.92</v>
      </c>
      <c r="G43" s="23">
        <v>5.92</v>
      </c>
      <c r="H43" s="23">
        <v>5.92</v>
      </c>
      <c r="I43" s="23">
        <v>5.92</v>
      </c>
      <c r="J43" s="23">
        <v>5.92</v>
      </c>
      <c r="K43" s="23">
        <v>5.92</v>
      </c>
      <c r="L43" s="23">
        <v>5.92</v>
      </c>
      <c r="M43" s="23">
        <v>12</v>
      </c>
      <c r="N43" s="23">
        <v>4.4000000000000004</v>
      </c>
      <c r="O43" s="24">
        <v>4.1000000000000003E-3</v>
      </c>
    </row>
    <row r="44" spans="1:15" x14ac:dyDescent="0.25">
      <c r="A44" s="16" t="s">
        <v>38</v>
      </c>
      <c r="B44" s="22">
        <v>5.4</v>
      </c>
      <c r="C44" s="23">
        <v>5.4</v>
      </c>
      <c r="D44" s="23">
        <v>5.4</v>
      </c>
      <c r="E44" s="23">
        <v>5.4</v>
      </c>
      <c r="F44" s="23">
        <v>5.4</v>
      </c>
      <c r="G44" s="23">
        <v>5.4</v>
      </c>
      <c r="H44" s="23">
        <v>5.4</v>
      </c>
      <c r="I44" s="23">
        <v>5.4</v>
      </c>
      <c r="J44" s="23">
        <v>5.4</v>
      </c>
      <c r="K44" s="23">
        <v>5.4</v>
      </c>
      <c r="L44" s="23">
        <v>5.4</v>
      </c>
      <c r="M44" s="23">
        <v>11</v>
      </c>
      <c r="N44" s="23">
        <v>4</v>
      </c>
      <c r="O44" s="24">
        <v>4.0000000000000001E-3</v>
      </c>
    </row>
    <row r="45" spans="1:15" x14ac:dyDescent="0.25">
      <c r="A45" s="16" t="s">
        <v>39</v>
      </c>
      <c r="B45" s="22">
        <v>4.72</v>
      </c>
      <c r="C45" s="23">
        <v>4.72</v>
      </c>
      <c r="D45" s="23">
        <v>4.72</v>
      </c>
      <c r="E45" s="23">
        <v>4.72</v>
      </c>
      <c r="F45" s="23">
        <v>4.72</v>
      </c>
      <c r="G45" s="23">
        <v>4.72</v>
      </c>
      <c r="H45" s="23">
        <v>4.72</v>
      </c>
      <c r="I45" s="23">
        <v>4.72</v>
      </c>
      <c r="J45" s="23">
        <v>4.72</v>
      </c>
      <c r="K45" s="23">
        <v>4.72</v>
      </c>
      <c r="L45" s="23">
        <v>4.72</v>
      </c>
      <c r="M45" s="23">
        <v>10</v>
      </c>
      <c r="N45" s="23">
        <v>3.4</v>
      </c>
      <c r="O45" s="24">
        <v>4.0000000000000001E-3</v>
      </c>
    </row>
    <row r="46" spans="1:15" x14ac:dyDescent="0.25">
      <c r="A46" s="16" t="s">
        <v>40</v>
      </c>
      <c r="B46" s="22">
        <v>2.96</v>
      </c>
      <c r="C46" s="23">
        <v>2.96</v>
      </c>
      <c r="D46" s="23">
        <v>2.96</v>
      </c>
      <c r="E46" s="23">
        <v>2.96</v>
      </c>
      <c r="F46" s="23">
        <v>2.96</v>
      </c>
      <c r="G46" s="23">
        <v>2.96</v>
      </c>
      <c r="H46" s="23">
        <v>2.96</v>
      </c>
      <c r="I46" s="23">
        <v>2.96</v>
      </c>
      <c r="J46" s="23">
        <v>2.96</v>
      </c>
      <c r="K46" s="23">
        <v>2.96</v>
      </c>
      <c r="L46" s="23">
        <v>2.96</v>
      </c>
      <c r="M46" s="23">
        <v>10</v>
      </c>
      <c r="N46" s="23">
        <v>1.2</v>
      </c>
      <c r="O46" s="24">
        <v>4.0000000000000001E-3</v>
      </c>
    </row>
    <row r="47" spans="1:15" x14ac:dyDescent="0.25">
      <c r="A47" s="16" t="s">
        <v>41</v>
      </c>
      <c r="B47" s="22">
        <v>1.96</v>
      </c>
      <c r="C47" s="23">
        <v>1.96</v>
      </c>
      <c r="D47" s="23">
        <v>1.96</v>
      </c>
      <c r="E47" s="23">
        <v>1.96</v>
      </c>
      <c r="F47" s="23">
        <v>1.96</v>
      </c>
      <c r="G47" s="23">
        <v>1.96</v>
      </c>
      <c r="H47" s="23">
        <v>1.96</v>
      </c>
      <c r="I47" s="23">
        <v>1.96</v>
      </c>
      <c r="J47" s="23">
        <v>1.96</v>
      </c>
      <c r="K47" s="23">
        <v>1.96</v>
      </c>
      <c r="L47" s="23">
        <v>1.96</v>
      </c>
      <c r="M47" s="23">
        <v>9</v>
      </c>
      <c r="N47" s="23">
        <v>0.2</v>
      </c>
      <c r="O47" s="24">
        <v>4.0000000000000001E-3</v>
      </c>
    </row>
    <row r="48" spans="1:15" x14ac:dyDescent="0.25">
      <c r="A48" s="16" t="s">
        <v>42</v>
      </c>
      <c r="B48" s="22">
        <v>3.44</v>
      </c>
      <c r="C48" s="23">
        <v>3.44</v>
      </c>
      <c r="D48" s="23">
        <v>3.44</v>
      </c>
      <c r="E48" s="23">
        <v>3.44</v>
      </c>
      <c r="F48" s="23">
        <v>3.44</v>
      </c>
      <c r="G48" s="23">
        <v>3.44</v>
      </c>
      <c r="H48" s="23">
        <v>3.44</v>
      </c>
      <c r="I48" s="23">
        <v>3.44</v>
      </c>
      <c r="J48" s="23">
        <v>3.44</v>
      </c>
      <c r="K48" s="23">
        <v>3.44</v>
      </c>
      <c r="L48" s="23">
        <v>3.44</v>
      </c>
      <c r="M48" s="23">
        <v>10</v>
      </c>
      <c r="N48" s="23">
        <v>1.8</v>
      </c>
      <c r="O48" s="24">
        <v>4.2000000000000006E-3</v>
      </c>
    </row>
    <row r="49" spans="1:15" x14ac:dyDescent="0.25">
      <c r="A49" s="16" t="s">
        <v>43</v>
      </c>
      <c r="B49" s="22">
        <v>3.12</v>
      </c>
      <c r="C49" s="23">
        <v>3.12</v>
      </c>
      <c r="D49" s="23">
        <v>3.12</v>
      </c>
      <c r="E49" s="23">
        <v>3.12</v>
      </c>
      <c r="F49" s="23">
        <v>3.12</v>
      </c>
      <c r="G49" s="23">
        <v>3.12</v>
      </c>
      <c r="H49" s="23">
        <v>3.12</v>
      </c>
      <c r="I49" s="23">
        <v>3.12</v>
      </c>
      <c r="J49" s="23">
        <v>3.12</v>
      </c>
      <c r="K49" s="23">
        <v>3.12</v>
      </c>
      <c r="L49" s="23">
        <v>3.12</v>
      </c>
      <c r="M49" s="23">
        <v>10</v>
      </c>
      <c r="N49" s="23">
        <v>1.4</v>
      </c>
      <c r="O49" s="24">
        <v>4.0000000000000001E-3</v>
      </c>
    </row>
    <row r="50" spans="1:15" x14ac:dyDescent="0.25">
      <c r="A50" s="16" t="s">
        <v>44</v>
      </c>
      <c r="B50" s="22">
        <v>4.4000000000000004</v>
      </c>
      <c r="C50" s="23">
        <v>4.4000000000000004</v>
      </c>
      <c r="D50" s="23">
        <v>4.4000000000000004</v>
      </c>
      <c r="E50" s="23">
        <v>4.4000000000000004</v>
      </c>
      <c r="F50" s="23">
        <v>4.4000000000000004</v>
      </c>
      <c r="G50" s="23">
        <v>4.4000000000000004</v>
      </c>
      <c r="H50" s="23">
        <v>4.4000000000000004</v>
      </c>
      <c r="I50" s="23">
        <v>4.4000000000000004</v>
      </c>
      <c r="J50" s="23">
        <v>4.4000000000000004</v>
      </c>
      <c r="K50" s="23">
        <v>4.4000000000000004</v>
      </c>
      <c r="L50" s="23">
        <v>4.4000000000000004</v>
      </c>
      <c r="M50" s="23">
        <v>10</v>
      </c>
      <c r="N50" s="23">
        <v>3</v>
      </c>
      <c r="O50" s="24">
        <v>4.0000000000000001E-3</v>
      </c>
    </row>
    <row r="51" spans="1:15" x14ac:dyDescent="0.25">
      <c r="A51" s="16" t="s">
        <v>45</v>
      </c>
      <c r="B51" s="22">
        <v>3.56</v>
      </c>
      <c r="C51" s="23">
        <v>3.56</v>
      </c>
      <c r="D51" s="23">
        <v>3.56</v>
      </c>
      <c r="E51" s="23">
        <v>3.56</v>
      </c>
      <c r="F51" s="23">
        <v>3.56</v>
      </c>
      <c r="G51" s="23">
        <v>3.56</v>
      </c>
      <c r="H51" s="23">
        <v>3.56</v>
      </c>
      <c r="I51" s="23">
        <v>3.56</v>
      </c>
      <c r="J51" s="23">
        <v>3.56</v>
      </c>
      <c r="K51" s="23">
        <v>3.56</v>
      </c>
      <c r="L51" s="23">
        <v>3.56</v>
      </c>
      <c r="M51" s="23">
        <v>9</v>
      </c>
      <c r="N51" s="23">
        <v>2.2000000000000002</v>
      </c>
      <c r="O51" s="24">
        <v>4.0000000000000001E-3</v>
      </c>
    </row>
    <row r="52" spans="1:15" x14ac:dyDescent="0.25">
      <c r="A52" s="16" t="s">
        <v>46</v>
      </c>
      <c r="B52" s="22">
        <v>3</v>
      </c>
      <c r="C52" s="23">
        <v>3</v>
      </c>
      <c r="D52" s="23">
        <v>3</v>
      </c>
      <c r="E52" s="23">
        <v>3</v>
      </c>
      <c r="F52" s="23">
        <v>3</v>
      </c>
      <c r="G52" s="23">
        <v>3</v>
      </c>
      <c r="H52" s="23">
        <v>3</v>
      </c>
      <c r="I52" s="23">
        <v>3</v>
      </c>
      <c r="J52" s="23">
        <v>3</v>
      </c>
      <c r="K52" s="23">
        <v>3</v>
      </c>
      <c r="L52" s="23">
        <v>3</v>
      </c>
      <c r="M52" s="23">
        <v>11</v>
      </c>
      <c r="N52" s="23">
        <v>1</v>
      </c>
      <c r="O52" s="24">
        <v>5.0000000000000001E-3</v>
      </c>
    </row>
    <row r="53" spans="1:15" x14ac:dyDescent="0.25">
      <c r="A53" s="16" t="s">
        <v>47</v>
      </c>
      <c r="B53" s="22">
        <v>5.2</v>
      </c>
      <c r="C53" s="23">
        <v>5.24</v>
      </c>
      <c r="D53" s="23">
        <v>5.24</v>
      </c>
      <c r="E53" s="23">
        <v>5.2</v>
      </c>
      <c r="F53" s="23">
        <v>5.24</v>
      </c>
      <c r="G53" s="23">
        <v>5.24</v>
      </c>
      <c r="H53" s="23">
        <v>5.24</v>
      </c>
      <c r="I53" s="23">
        <v>5.2</v>
      </c>
      <c r="J53" s="23">
        <v>5.2</v>
      </c>
      <c r="K53" s="23">
        <v>5.24</v>
      </c>
      <c r="L53" s="23">
        <v>5.2</v>
      </c>
      <c r="M53" s="23">
        <v>10</v>
      </c>
      <c r="N53" s="23">
        <v>4</v>
      </c>
      <c r="O53" s="24">
        <v>4.4999999999999997E-3</v>
      </c>
    </row>
    <row r="54" spans="1:15" x14ac:dyDescent="0.25">
      <c r="A54" s="16" t="s">
        <v>48</v>
      </c>
      <c r="B54" s="22">
        <v>4</v>
      </c>
      <c r="C54" s="23">
        <v>4</v>
      </c>
      <c r="D54" s="23">
        <v>4</v>
      </c>
      <c r="E54" s="23">
        <v>4</v>
      </c>
      <c r="F54" s="23">
        <v>4</v>
      </c>
      <c r="G54" s="23">
        <v>4</v>
      </c>
      <c r="H54" s="23">
        <v>4</v>
      </c>
      <c r="I54" s="23">
        <v>4</v>
      </c>
      <c r="J54" s="23">
        <v>4</v>
      </c>
      <c r="K54" s="23">
        <v>4</v>
      </c>
      <c r="L54" s="23">
        <v>4</v>
      </c>
      <c r="M54" s="23">
        <v>12</v>
      </c>
      <c r="N54" s="23">
        <v>2</v>
      </c>
      <c r="O54" s="24">
        <v>5.0000000000000001E-3</v>
      </c>
    </row>
    <row r="55" spans="1:15" x14ac:dyDescent="0.25">
      <c r="A55" s="16" t="s">
        <v>49</v>
      </c>
      <c r="B55" s="22">
        <v>4.16</v>
      </c>
      <c r="C55" s="23">
        <v>4.16</v>
      </c>
      <c r="D55" s="23">
        <v>4.16</v>
      </c>
      <c r="E55" s="23">
        <v>4.16</v>
      </c>
      <c r="F55" s="23">
        <v>4.16</v>
      </c>
      <c r="G55" s="23">
        <v>4.16</v>
      </c>
      <c r="H55" s="23">
        <v>4.16</v>
      </c>
      <c r="I55" s="23">
        <v>4.16</v>
      </c>
      <c r="J55" s="23">
        <v>4.16</v>
      </c>
      <c r="K55" s="23">
        <v>4.16</v>
      </c>
      <c r="L55" s="23">
        <v>4.16</v>
      </c>
      <c r="M55" s="23">
        <v>8</v>
      </c>
      <c r="N55" s="23">
        <v>3.2</v>
      </c>
      <c r="O55" s="24">
        <v>4.0000000000000001E-3</v>
      </c>
    </row>
    <row r="56" spans="1:15" x14ac:dyDescent="0.25">
      <c r="A56" s="16" t="s">
        <v>50</v>
      </c>
      <c r="B56" s="22">
        <v>5.2</v>
      </c>
      <c r="C56" s="23">
        <v>5.2</v>
      </c>
      <c r="D56" s="23">
        <v>5.2</v>
      </c>
      <c r="E56" s="23">
        <v>5.2</v>
      </c>
      <c r="F56" s="23">
        <v>5.2</v>
      </c>
      <c r="G56" s="23">
        <v>5.2</v>
      </c>
      <c r="H56" s="23">
        <v>5.2</v>
      </c>
      <c r="I56" s="23">
        <v>5.2</v>
      </c>
      <c r="J56" s="23">
        <v>5.2</v>
      </c>
      <c r="K56" s="23">
        <v>5.2</v>
      </c>
      <c r="L56" s="23">
        <v>5.2</v>
      </c>
      <c r="M56" s="23">
        <v>14</v>
      </c>
      <c r="N56" s="23">
        <v>3</v>
      </c>
      <c r="O56" s="24">
        <v>5.0000000000000001E-3</v>
      </c>
    </row>
    <row r="57" spans="1:15" x14ac:dyDescent="0.25">
      <c r="A57" s="16" t="s">
        <v>51</v>
      </c>
      <c r="B57" s="22">
        <v>3.84</v>
      </c>
      <c r="C57" s="23">
        <v>3.84</v>
      </c>
      <c r="D57" s="23">
        <v>3.84</v>
      </c>
      <c r="E57" s="23">
        <v>3.84</v>
      </c>
      <c r="F57" s="23">
        <v>3.84</v>
      </c>
      <c r="G57" s="23">
        <v>3.84</v>
      </c>
      <c r="H57" s="23">
        <v>3.84</v>
      </c>
      <c r="I57" s="23">
        <v>3.84</v>
      </c>
      <c r="J57" s="23">
        <v>3.84</v>
      </c>
      <c r="K57" s="23">
        <v>3.84</v>
      </c>
      <c r="L57" s="23">
        <v>3.84</v>
      </c>
      <c r="M57" s="23">
        <v>8</v>
      </c>
      <c r="N57" s="23">
        <v>2.8</v>
      </c>
      <c r="O57" s="24">
        <v>4.7000000000000002E-3</v>
      </c>
    </row>
    <row r="58" spans="1:15" x14ac:dyDescent="0.25">
      <c r="A58" s="16" t="s">
        <v>52</v>
      </c>
      <c r="B58" s="22">
        <v>6.4</v>
      </c>
      <c r="C58" s="23">
        <v>6.4</v>
      </c>
      <c r="D58" s="23">
        <v>6.4</v>
      </c>
      <c r="E58" s="23">
        <v>6.4</v>
      </c>
      <c r="F58" s="23">
        <v>6.4</v>
      </c>
      <c r="G58" s="23">
        <v>6.4</v>
      </c>
      <c r="H58" s="23">
        <v>6.4</v>
      </c>
      <c r="I58" s="23">
        <v>6.4</v>
      </c>
      <c r="J58" s="23">
        <v>6.4</v>
      </c>
      <c r="K58" s="23">
        <v>6.4</v>
      </c>
      <c r="L58" s="23">
        <v>6.4</v>
      </c>
      <c r="M58" s="23">
        <v>12</v>
      </c>
      <c r="N58" s="23">
        <v>5</v>
      </c>
      <c r="O58" s="24">
        <v>6.0000000000000001E-3</v>
      </c>
    </row>
    <row r="59" spans="1:15" x14ac:dyDescent="0.25">
      <c r="A59" s="16" t="s">
        <v>53</v>
      </c>
      <c r="B59" s="22">
        <v>6.24</v>
      </c>
      <c r="C59" s="23">
        <v>6.24</v>
      </c>
      <c r="D59" s="23">
        <v>6.24</v>
      </c>
      <c r="E59" s="23">
        <v>6.24</v>
      </c>
      <c r="F59" s="23">
        <v>6.24</v>
      </c>
      <c r="G59" s="23">
        <v>6.24</v>
      </c>
      <c r="H59" s="23">
        <v>6.24</v>
      </c>
      <c r="I59" s="23">
        <v>6.24</v>
      </c>
      <c r="J59" s="23">
        <v>6.24</v>
      </c>
      <c r="K59" s="23">
        <v>6.24</v>
      </c>
      <c r="L59" s="23">
        <v>6.24</v>
      </c>
      <c r="M59" s="23">
        <v>12</v>
      </c>
      <c r="N59" s="23">
        <v>4.8</v>
      </c>
      <c r="O59" s="24">
        <v>6.0000000000000001E-3</v>
      </c>
    </row>
    <row r="60" spans="1:15" x14ac:dyDescent="0.25">
      <c r="A60" s="16" t="s">
        <v>54</v>
      </c>
      <c r="B60" s="22">
        <v>4.2</v>
      </c>
      <c r="C60" s="23">
        <v>4.2</v>
      </c>
      <c r="D60" s="23">
        <v>4.2</v>
      </c>
      <c r="E60" s="23">
        <v>4.2</v>
      </c>
      <c r="F60" s="23">
        <v>4.2</v>
      </c>
      <c r="G60" s="23">
        <v>4.2</v>
      </c>
      <c r="H60" s="23">
        <v>4.2</v>
      </c>
      <c r="I60" s="23">
        <v>4.2</v>
      </c>
      <c r="J60" s="23">
        <v>4.2</v>
      </c>
      <c r="K60" s="23">
        <v>4.2</v>
      </c>
      <c r="L60" s="23">
        <v>4.2</v>
      </c>
      <c r="M60" s="23">
        <v>13</v>
      </c>
      <c r="N60" s="23">
        <v>2</v>
      </c>
      <c r="O60" s="24">
        <v>6.1999999999999998E-3</v>
      </c>
    </row>
    <row r="61" spans="1:15" x14ac:dyDescent="0.25">
      <c r="A61" s="16" t="s">
        <v>55</v>
      </c>
      <c r="B61" s="22">
        <v>5</v>
      </c>
      <c r="C61" s="23">
        <v>5</v>
      </c>
      <c r="D61" s="23">
        <v>5</v>
      </c>
      <c r="E61" s="23">
        <v>5</v>
      </c>
      <c r="F61" s="23">
        <v>5</v>
      </c>
      <c r="G61" s="23">
        <v>5</v>
      </c>
      <c r="H61" s="23">
        <v>5</v>
      </c>
      <c r="I61" s="23">
        <v>5</v>
      </c>
      <c r="J61" s="23">
        <v>5</v>
      </c>
      <c r="K61" s="23">
        <v>5</v>
      </c>
      <c r="L61" s="23">
        <v>5</v>
      </c>
      <c r="M61" s="23">
        <v>9</v>
      </c>
      <c r="N61" s="23">
        <v>4</v>
      </c>
      <c r="O61" s="24">
        <v>5.0000000000000001E-3</v>
      </c>
    </row>
    <row r="62" spans="1:15" x14ac:dyDescent="0.25">
      <c r="A62" s="16" t="s">
        <v>56</v>
      </c>
      <c r="B62" s="22">
        <v>5.6</v>
      </c>
      <c r="C62" s="23">
        <v>5.4</v>
      </c>
      <c r="D62" s="23">
        <v>5.4</v>
      </c>
      <c r="E62" s="23">
        <v>5.56</v>
      </c>
      <c r="F62" s="23">
        <v>5.4</v>
      </c>
      <c r="G62" s="23">
        <v>5.56</v>
      </c>
      <c r="H62" s="23">
        <v>5.4</v>
      </c>
      <c r="I62" s="23">
        <v>5.4</v>
      </c>
      <c r="J62" s="23">
        <v>5.4</v>
      </c>
      <c r="K62" s="23">
        <v>5.6</v>
      </c>
      <c r="L62" s="23">
        <v>5.4</v>
      </c>
      <c r="M62" s="23">
        <v>11</v>
      </c>
      <c r="N62" s="23">
        <v>4</v>
      </c>
      <c r="O62" s="24">
        <v>6.0000000000000001E-3</v>
      </c>
    </row>
    <row r="63" spans="1:15" x14ac:dyDescent="0.25">
      <c r="A63" s="16" t="s">
        <v>57</v>
      </c>
      <c r="B63" s="22">
        <v>4.32</v>
      </c>
      <c r="C63" s="23">
        <v>4.32</v>
      </c>
      <c r="D63" s="23">
        <v>4.32</v>
      </c>
      <c r="E63" s="23">
        <v>4.32</v>
      </c>
      <c r="F63" s="23">
        <v>4.32</v>
      </c>
      <c r="G63" s="23">
        <v>4.32</v>
      </c>
      <c r="H63" s="23">
        <v>4.32</v>
      </c>
      <c r="I63" s="23">
        <v>4.32</v>
      </c>
      <c r="J63" s="23">
        <v>4.32</v>
      </c>
      <c r="K63" s="23">
        <v>4.32</v>
      </c>
      <c r="L63" s="23">
        <v>4.32</v>
      </c>
      <c r="M63" s="23">
        <v>8</v>
      </c>
      <c r="N63" s="23">
        <v>3.4</v>
      </c>
      <c r="O63" s="24">
        <v>4.7999999999999996E-3</v>
      </c>
    </row>
    <row r="64" spans="1:15" x14ac:dyDescent="0.25">
      <c r="A64" s="16" t="s">
        <v>58</v>
      </c>
      <c r="B64" s="22">
        <v>5.12</v>
      </c>
      <c r="C64" s="23">
        <v>5.12</v>
      </c>
      <c r="D64" s="23">
        <v>5.12</v>
      </c>
      <c r="E64" s="23">
        <v>5.12</v>
      </c>
      <c r="F64" s="23">
        <v>5.12</v>
      </c>
      <c r="G64" s="23">
        <v>5.12</v>
      </c>
      <c r="H64" s="23">
        <v>5.12</v>
      </c>
      <c r="I64" s="23">
        <v>5.12</v>
      </c>
      <c r="J64" s="23">
        <v>5.12</v>
      </c>
      <c r="K64" s="23">
        <v>5.12</v>
      </c>
      <c r="L64" s="23">
        <v>5.12</v>
      </c>
      <c r="M64" s="23">
        <v>12</v>
      </c>
      <c r="N64" s="23">
        <v>3.4</v>
      </c>
      <c r="O64" s="24">
        <v>6.0000000000000001E-3</v>
      </c>
    </row>
    <row r="65" spans="1:15" x14ac:dyDescent="0.25">
      <c r="A65" s="16" t="s">
        <v>59</v>
      </c>
      <c r="B65" s="22">
        <v>4.28</v>
      </c>
      <c r="C65" s="23">
        <v>4.28</v>
      </c>
      <c r="D65" s="23">
        <v>4.28</v>
      </c>
      <c r="E65" s="23">
        <v>4.28</v>
      </c>
      <c r="F65" s="23">
        <v>4.28</v>
      </c>
      <c r="G65" s="23">
        <v>4.28</v>
      </c>
      <c r="H65" s="23">
        <v>4.28</v>
      </c>
      <c r="I65" s="23">
        <v>4.28</v>
      </c>
      <c r="J65" s="23">
        <v>4.28</v>
      </c>
      <c r="K65" s="23">
        <v>4.28</v>
      </c>
      <c r="L65" s="23">
        <v>4.28</v>
      </c>
      <c r="M65" s="23">
        <v>11</v>
      </c>
      <c r="N65" s="23">
        <v>2.6</v>
      </c>
      <c r="O65" s="24">
        <v>5.0000000000000001E-3</v>
      </c>
    </row>
    <row r="66" spans="1:15" x14ac:dyDescent="0.25">
      <c r="A66" s="16" t="s">
        <v>60</v>
      </c>
      <c r="B66" s="22">
        <v>2.76</v>
      </c>
      <c r="C66" s="23">
        <v>2.76</v>
      </c>
      <c r="D66" s="23">
        <v>2.76</v>
      </c>
      <c r="E66" s="23">
        <v>2.76</v>
      </c>
      <c r="F66" s="23">
        <v>2.76</v>
      </c>
      <c r="G66" s="23">
        <v>2.76</v>
      </c>
      <c r="H66" s="23">
        <v>2.76</v>
      </c>
      <c r="I66" s="23">
        <v>2.76</v>
      </c>
      <c r="J66" s="23">
        <v>2.76</v>
      </c>
      <c r="K66" s="23">
        <v>2.76</v>
      </c>
      <c r="L66" s="23">
        <v>2.76</v>
      </c>
      <c r="M66" s="23">
        <v>9</v>
      </c>
      <c r="N66" s="23">
        <v>1.2</v>
      </c>
      <c r="O66" s="24">
        <v>5.0000000000000001E-3</v>
      </c>
    </row>
    <row r="67" spans="1:15" x14ac:dyDescent="0.25">
      <c r="A67" s="16" t="s">
        <v>61</v>
      </c>
      <c r="B67" s="22">
        <v>3.2</v>
      </c>
      <c r="C67" s="23">
        <v>3.2</v>
      </c>
      <c r="D67" s="23">
        <v>3.2</v>
      </c>
      <c r="E67" s="23">
        <v>3.2</v>
      </c>
      <c r="F67" s="23">
        <v>3.2</v>
      </c>
      <c r="G67" s="23">
        <v>3.2</v>
      </c>
      <c r="H67" s="23">
        <v>3.2</v>
      </c>
      <c r="I67" s="23">
        <v>3.2</v>
      </c>
      <c r="J67" s="23">
        <v>3.2</v>
      </c>
      <c r="K67" s="23">
        <v>3.2</v>
      </c>
      <c r="L67" s="23">
        <v>3.2</v>
      </c>
      <c r="M67" s="23">
        <v>8</v>
      </c>
      <c r="N67" s="23">
        <v>2</v>
      </c>
      <c r="O67" s="24">
        <v>8.9999999999999993E-3</v>
      </c>
    </row>
    <row r="68" spans="1:15" x14ac:dyDescent="0.25">
      <c r="A68" s="16" t="s">
        <v>62</v>
      </c>
      <c r="B68" s="22">
        <v>4.4400000000000004</v>
      </c>
      <c r="C68" s="23">
        <v>4.4400000000000004</v>
      </c>
      <c r="D68" s="23">
        <v>4.4400000000000004</v>
      </c>
      <c r="E68" s="23">
        <v>4.4400000000000004</v>
      </c>
      <c r="F68" s="23">
        <v>4.4400000000000004</v>
      </c>
      <c r="G68" s="23">
        <v>4.4400000000000004</v>
      </c>
      <c r="H68" s="23">
        <v>4.4400000000000004</v>
      </c>
      <c r="I68" s="23">
        <v>4.4400000000000004</v>
      </c>
      <c r="J68" s="23">
        <v>4.4400000000000004</v>
      </c>
      <c r="K68" s="23">
        <v>4.4400000000000004</v>
      </c>
      <c r="L68" s="23">
        <v>4.4400000000000004</v>
      </c>
      <c r="M68" s="23">
        <v>11</v>
      </c>
      <c r="N68" s="23">
        <v>2.8</v>
      </c>
      <c r="O68" s="24">
        <v>1.18E-2</v>
      </c>
    </row>
    <row r="69" spans="1:15" x14ac:dyDescent="0.25">
      <c r="A69" s="16" t="s">
        <v>63</v>
      </c>
      <c r="B69" s="22">
        <v>3.76</v>
      </c>
      <c r="C69" s="23">
        <v>3.76</v>
      </c>
      <c r="D69" s="23">
        <v>3.76</v>
      </c>
      <c r="E69" s="23">
        <v>3.76</v>
      </c>
      <c r="F69" s="23">
        <v>3.76</v>
      </c>
      <c r="G69" s="23">
        <v>3.76</v>
      </c>
      <c r="H69" s="23">
        <v>3.76</v>
      </c>
      <c r="I69" s="23">
        <v>3.76</v>
      </c>
      <c r="J69" s="23">
        <v>3.76</v>
      </c>
      <c r="K69" s="23">
        <v>3.76</v>
      </c>
      <c r="L69" s="23">
        <v>3.76</v>
      </c>
      <c r="M69" s="23">
        <v>10</v>
      </c>
      <c r="N69" s="23">
        <v>2.2000000000000002</v>
      </c>
      <c r="O69" s="24">
        <v>1.0800000000000001E-2</v>
      </c>
    </row>
    <row r="70" spans="1:15" x14ac:dyDescent="0.25">
      <c r="A70" s="16" t="s">
        <v>64</v>
      </c>
      <c r="B70" s="22">
        <v>5.44</v>
      </c>
      <c r="C70" s="23">
        <v>5.44</v>
      </c>
      <c r="D70" s="23">
        <v>5.6</v>
      </c>
      <c r="E70" s="23">
        <v>5.44</v>
      </c>
      <c r="F70" s="23">
        <v>5.44</v>
      </c>
      <c r="G70" s="23">
        <v>5.44</v>
      </c>
      <c r="H70" s="23">
        <v>5.44</v>
      </c>
      <c r="I70" s="23">
        <v>5.6</v>
      </c>
      <c r="J70" s="23">
        <v>5.44</v>
      </c>
      <c r="K70" s="23">
        <v>5.6</v>
      </c>
      <c r="L70" s="23">
        <v>5.44</v>
      </c>
      <c r="M70" s="23">
        <v>12</v>
      </c>
      <c r="N70" s="23">
        <v>3.8</v>
      </c>
      <c r="O70" s="24">
        <v>1.2E-2</v>
      </c>
    </row>
    <row r="71" spans="1:15" x14ac:dyDescent="0.25">
      <c r="A71" s="16" t="s">
        <v>65</v>
      </c>
      <c r="B71" s="22">
        <v>2.92</v>
      </c>
      <c r="C71" s="23">
        <v>2.92</v>
      </c>
      <c r="D71" s="23">
        <v>2.92</v>
      </c>
      <c r="E71" s="23">
        <v>2.92</v>
      </c>
      <c r="F71" s="23">
        <v>2.92</v>
      </c>
      <c r="G71" s="23">
        <v>2.96</v>
      </c>
      <c r="H71" s="23">
        <v>2.96</v>
      </c>
      <c r="I71" s="23">
        <v>2.96</v>
      </c>
      <c r="J71" s="23">
        <v>2.96</v>
      </c>
      <c r="K71" s="23">
        <v>2.92</v>
      </c>
      <c r="L71" s="23">
        <v>2.92</v>
      </c>
      <c r="M71" s="23">
        <v>9</v>
      </c>
      <c r="N71" s="23">
        <v>1.4</v>
      </c>
      <c r="O71" s="24">
        <v>1.0200000000000001E-2</v>
      </c>
    </row>
    <row r="72" spans="1:15" x14ac:dyDescent="0.25">
      <c r="A72" s="16" t="s">
        <v>66</v>
      </c>
      <c r="B72" s="22">
        <v>3.24</v>
      </c>
      <c r="C72" s="23">
        <v>3.24</v>
      </c>
      <c r="D72" s="23">
        <v>3.24</v>
      </c>
      <c r="E72" s="23">
        <v>3.24</v>
      </c>
      <c r="F72" s="23">
        <v>3.24</v>
      </c>
      <c r="G72" s="23">
        <v>3.24</v>
      </c>
      <c r="H72" s="23">
        <v>3.24</v>
      </c>
      <c r="I72" s="23">
        <v>3.24</v>
      </c>
      <c r="J72" s="23">
        <v>3.24</v>
      </c>
      <c r="K72" s="23">
        <v>3.24</v>
      </c>
      <c r="L72" s="23">
        <v>3.24</v>
      </c>
      <c r="M72" s="23">
        <v>9</v>
      </c>
      <c r="N72" s="23">
        <v>1.8</v>
      </c>
      <c r="O72" s="24">
        <v>9.1000000000000004E-3</v>
      </c>
    </row>
    <row r="73" spans="1:15" x14ac:dyDescent="0.25">
      <c r="A73" s="16" t="s">
        <v>67</v>
      </c>
      <c r="B73" s="22">
        <v>4.4000000000000004</v>
      </c>
      <c r="C73" s="23">
        <v>4.4000000000000004</v>
      </c>
      <c r="D73" s="23">
        <v>4.4000000000000004</v>
      </c>
      <c r="E73" s="23">
        <v>4.4000000000000004</v>
      </c>
      <c r="F73" s="23">
        <v>4.4000000000000004</v>
      </c>
      <c r="G73" s="23">
        <v>4.4000000000000004</v>
      </c>
      <c r="H73" s="23">
        <v>4.4000000000000004</v>
      </c>
      <c r="I73" s="23">
        <v>4.4000000000000004</v>
      </c>
      <c r="J73" s="23">
        <v>4.4000000000000004</v>
      </c>
      <c r="K73" s="23">
        <v>4.4000000000000004</v>
      </c>
      <c r="L73" s="23">
        <v>4.4000000000000004</v>
      </c>
      <c r="M73" s="23">
        <v>10</v>
      </c>
      <c r="N73" s="23">
        <v>3</v>
      </c>
      <c r="O73" s="24">
        <v>1.03E-2</v>
      </c>
    </row>
    <row r="74" spans="1:15" x14ac:dyDescent="0.25">
      <c r="A74" s="16" t="s">
        <v>68</v>
      </c>
      <c r="B74" s="22">
        <v>4</v>
      </c>
      <c r="C74" s="23">
        <v>4</v>
      </c>
      <c r="D74" s="23">
        <v>4</v>
      </c>
      <c r="E74" s="23">
        <v>4</v>
      </c>
      <c r="F74" s="23">
        <v>4</v>
      </c>
      <c r="G74" s="23">
        <v>4</v>
      </c>
      <c r="H74" s="23">
        <v>4</v>
      </c>
      <c r="I74" s="23">
        <v>4</v>
      </c>
      <c r="J74" s="23">
        <v>4</v>
      </c>
      <c r="K74" s="23">
        <v>4</v>
      </c>
      <c r="L74" s="23">
        <v>4</v>
      </c>
      <c r="M74" s="23">
        <v>12</v>
      </c>
      <c r="N74" s="23">
        <v>2</v>
      </c>
      <c r="O74" s="24">
        <v>1.15E-2</v>
      </c>
    </row>
    <row r="75" spans="1:15" x14ac:dyDescent="0.25">
      <c r="A75" s="16" t="s">
        <v>69</v>
      </c>
      <c r="B75" s="22">
        <v>3.4</v>
      </c>
      <c r="C75" s="23">
        <v>3.4</v>
      </c>
      <c r="D75" s="23">
        <v>3.4</v>
      </c>
      <c r="E75" s="23">
        <v>3.4</v>
      </c>
      <c r="F75" s="23">
        <v>3.4</v>
      </c>
      <c r="G75" s="23">
        <v>3.4</v>
      </c>
      <c r="H75" s="23">
        <v>3.4</v>
      </c>
      <c r="I75" s="23">
        <v>3.24</v>
      </c>
      <c r="J75" s="23">
        <v>3.4</v>
      </c>
      <c r="K75" s="23">
        <v>3.4</v>
      </c>
      <c r="L75" s="23">
        <v>3.24</v>
      </c>
      <c r="M75" s="23">
        <v>9</v>
      </c>
      <c r="N75" s="23">
        <v>1.8</v>
      </c>
      <c r="O75" s="24">
        <v>1.01E-2</v>
      </c>
    </row>
    <row r="76" spans="1:15" x14ac:dyDescent="0.25">
      <c r="A76" s="16" t="s">
        <v>70</v>
      </c>
      <c r="B76" s="22">
        <v>3.88</v>
      </c>
      <c r="C76" s="23">
        <v>3.88</v>
      </c>
      <c r="D76" s="23">
        <v>4.04</v>
      </c>
      <c r="E76" s="23">
        <v>3.88</v>
      </c>
      <c r="F76" s="23">
        <v>3.88</v>
      </c>
      <c r="G76" s="23">
        <v>4.04</v>
      </c>
      <c r="H76" s="23">
        <v>3.88</v>
      </c>
      <c r="I76" s="23">
        <v>3.88</v>
      </c>
      <c r="J76" s="23">
        <v>4.04</v>
      </c>
      <c r="K76" s="23">
        <v>4.04</v>
      </c>
      <c r="L76" s="23">
        <v>3.88</v>
      </c>
      <c r="M76" s="23">
        <v>9</v>
      </c>
      <c r="N76" s="23">
        <v>2.6</v>
      </c>
      <c r="O76" s="24">
        <v>9.9000000000000008E-3</v>
      </c>
    </row>
    <row r="77" spans="1:15" x14ac:dyDescent="0.25">
      <c r="A77" s="16" t="s">
        <v>71</v>
      </c>
      <c r="B77" s="22">
        <v>4.28</v>
      </c>
      <c r="C77" s="23">
        <v>4.28</v>
      </c>
      <c r="D77" s="23">
        <v>4.28</v>
      </c>
      <c r="E77" s="23">
        <v>4.28</v>
      </c>
      <c r="F77" s="23">
        <v>4.28</v>
      </c>
      <c r="G77" s="23">
        <v>4.28</v>
      </c>
      <c r="H77" s="23">
        <v>4.28</v>
      </c>
      <c r="I77" s="23">
        <v>4.28</v>
      </c>
      <c r="J77" s="23">
        <v>4.28</v>
      </c>
      <c r="K77" s="23">
        <v>4.28</v>
      </c>
      <c r="L77" s="23">
        <v>4.28</v>
      </c>
      <c r="M77" s="23">
        <v>11</v>
      </c>
      <c r="N77" s="23">
        <v>2.6</v>
      </c>
      <c r="O77" s="24">
        <v>1.7999999999999999E-2</v>
      </c>
    </row>
    <row r="78" spans="1:15" x14ac:dyDescent="0.25">
      <c r="A78" s="16" t="s">
        <v>72</v>
      </c>
      <c r="B78" s="22">
        <v>3.96</v>
      </c>
      <c r="C78" s="23">
        <v>3.96</v>
      </c>
      <c r="D78" s="23">
        <v>3.96</v>
      </c>
      <c r="E78" s="23">
        <v>3.96</v>
      </c>
      <c r="F78" s="23">
        <v>3.96</v>
      </c>
      <c r="G78" s="23">
        <v>3.96</v>
      </c>
      <c r="H78" s="23">
        <v>3.96</v>
      </c>
      <c r="I78" s="23">
        <v>3.96</v>
      </c>
      <c r="J78" s="23">
        <v>3.96</v>
      </c>
      <c r="K78" s="23">
        <v>3.96</v>
      </c>
      <c r="L78" s="23">
        <v>3.96</v>
      </c>
      <c r="M78" s="23">
        <v>11</v>
      </c>
      <c r="N78" s="23">
        <v>2.2000000000000002</v>
      </c>
      <c r="O78" s="24">
        <v>1.9E-2</v>
      </c>
    </row>
    <row r="79" spans="1:15" x14ac:dyDescent="0.25">
      <c r="A79" s="16" t="s">
        <v>73</v>
      </c>
      <c r="B79" s="22">
        <v>3.96</v>
      </c>
      <c r="C79" s="23">
        <v>3.96</v>
      </c>
      <c r="D79" s="23">
        <v>3.96</v>
      </c>
      <c r="E79" s="23">
        <v>3.96</v>
      </c>
      <c r="F79" s="23">
        <v>3.96</v>
      </c>
      <c r="G79" s="23">
        <v>3.96</v>
      </c>
      <c r="H79" s="23">
        <v>3.96</v>
      </c>
      <c r="I79" s="23">
        <v>3.96</v>
      </c>
      <c r="J79" s="23">
        <v>3.96</v>
      </c>
      <c r="K79" s="23">
        <v>3.96</v>
      </c>
      <c r="L79" s="23">
        <v>3.96</v>
      </c>
      <c r="M79" s="23">
        <v>11</v>
      </c>
      <c r="N79" s="23">
        <v>2.2000000000000002</v>
      </c>
      <c r="O79" s="24">
        <v>1.8200000000000001E-2</v>
      </c>
    </row>
    <row r="80" spans="1:15" x14ac:dyDescent="0.25">
      <c r="A80" s="16" t="s">
        <v>74</v>
      </c>
      <c r="B80" s="22">
        <v>2.88</v>
      </c>
      <c r="C80" s="23">
        <v>2.88</v>
      </c>
      <c r="D80" s="23">
        <v>2.88</v>
      </c>
      <c r="E80" s="23">
        <v>2.88</v>
      </c>
      <c r="F80" s="23">
        <v>2.88</v>
      </c>
      <c r="G80" s="23">
        <v>2.88</v>
      </c>
      <c r="H80" s="23">
        <v>2.88</v>
      </c>
      <c r="I80" s="23">
        <v>2.88</v>
      </c>
      <c r="J80" s="23">
        <v>2.88</v>
      </c>
      <c r="K80" s="23">
        <v>2.88</v>
      </c>
      <c r="L80" s="23">
        <v>2.88</v>
      </c>
      <c r="M80" s="23">
        <v>8</v>
      </c>
      <c r="N80" s="23">
        <v>1.6</v>
      </c>
      <c r="O80" s="24">
        <v>1.5100000000000001E-2</v>
      </c>
    </row>
    <row r="81" spans="1:15" x14ac:dyDescent="0.25">
      <c r="A81" s="16" t="s">
        <v>75</v>
      </c>
      <c r="B81" s="22">
        <v>3.4</v>
      </c>
      <c r="C81" s="23">
        <v>3.4</v>
      </c>
      <c r="D81" s="23">
        <v>3.4</v>
      </c>
      <c r="E81" s="23">
        <v>3.4</v>
      </c>
      <c r="F81" s="23">
        <v>3.4</v>
      </c>
      <c r="G81" s="23">
        <v>3.4</v>
      </c>
      <c r="H81" s="23">
        <v>3.4</v>
      </c>
      <c r="I81" s="23">
        <v>3.4</v>
      </c>
      <c r="J81" s="23">
        <v>3.4</v>
      </c>
      <c r="K81" s="23">
        <v>3.4</v>
      </c>
      <c r="L81" s="23">
        <v>3.4</v>
      </c>
      <c r="M81" s="23">
        <v>9</v>
      </c>
      <c r="N81" s="23">
        <v>2</v>
      </c>
      <c r="O81" s="24">
        <v>1.5699999999999999E-2</v>
      </c>
    </row>
    <row r="82" spans="1:15" x14ac:dyDescent="0.25">
      <c r="A82" s="16" t="s">
        <v>76</v>
      </c>
      <c r="B82" s="22">
        <v>5.08</v>
      </c>
      <c r="C82" s="23">
        <v>5.08</v>
      </c>
      <c r="D82" s="23">
        <v>5.08</v>
      </c>
      <c r="E82" s="23">
        <v>5.08</v>
      </c>
      <c r="F82" s="23">
        <v>5.08</v>
      </c>
      <c r="G82" s="23">
        <v>5.08</v>
      </c>
      <c r="H82" s="23">
        <v>5.08</v>
      </c>
      <c r="I82" s="23">
        <v>5.08</v>
      </c>
      <c r="J82" s="23">
        <v>5.08</v>
      </c>
      <c r="K82" s="23">
        <v>5.08</v>
      </c>
      <c r="L82" s="23">
        <v>5.08</v>
      </c>
      <c r="M82" s="23">
        <v>11</v>
      </c>
      <c r="N82" s="23">
        <v>3.6</v>
      </c>
      <c r="O82" s="24">
        <v>1.9400000000000001E-2</v>
      </c>
    </row>
    <row r="83" spans="1:15" x14ac:dyDescent="0.25">
      <c r="A83" s="16" t="s">
        <v>77</v>
      </c>
      <c r="B83" s="22">
        <v>4.2</v>
      </c>
      <c r="C83" s="23">
        <v>4.04</v>
      </c>
      <c r="D83" s="23">
        <v>4.04</v>
      </c>
      <c r="E83" s="23">
        <v>4.04</v>
      </c>
      <c r="F83" s="23">
        <v>4.04</v>
      </c>
      <c r="G83" s="23">
        <v>4.04</v>
      </c>
      <c r="H83" s="23">
        <v>4.04</v>
      </c>
      <c r="I83" s="23">
        <v>4.04</v>
      </c>
      <c r="J83" s="23">
        <v>4.04</v>
      </c>
      <c r="K83" s="23">
        <v>4.2</v>
      </c>
      <c r="L83" s="23">
        <v>4.04</v>
      </c>
      <c r="M83" s="23">
        <v>9</v>
      </c>
      <c r="N83" s="23">
        <v>2.8</v>
      </c>
      <c r="O83" s="24">
        <v>1.6899999999999998E-2</v>
      </c>
    </row>
    <row r="84" spans="1:15" x14ac:dyDescent="0.25">
      <c r="A84" s="16" t="s">
        <v>78</v>
      </c>
      <c r="B84" s="22">
        <v>2.6</v>
      </c>
      <c r="C84" s="23">
        <v>2.6</v>
      </c>
      <c r="D84" s="23">
        <v>2.6</v>
      </c>
      <c r="E84" s="23">
        <v>2.6</v>
      </c>
      <c r="F84" s="23">
        <v>2.6</v>
      </c>
      <c r="G84" s="23">
        <v>2.6</v>
      </c>
      <c r="H84" s="23">
        <v>2.6</v>
      </c>
      <c r="I84" s="23">
        <v>2.6</v>
      </c>
      <c r="J84" s="23">
        <v>2.6</v>
      </c>
      <c r="K84" s="23">
        <v>2.6</v>
      </c>
      <c r="L84" s="23">
        <v>2.6</v>
      </c>
      <c r="M84" s="23">
        <v>9</v>
      </c>
      <c r="N84" s="23">
        <v>1</v>
      </c>
      <c r="O84" s="24">
        <v>1.4999999999999999E-2</v>
      </c>
    </row>
    <row r="85" spans="1:15" x14ac:dyDescent="0.25">
      <c r="A85" s="16" t="s">
        <v>79</v>
      </c>
      <c r="B85" s="68">
        <v>5.28</v>
      </c>
      <c r="C85" s="69">
        <v>5.24</v>
      </c>
      <c r="D85" s="69">
        <v>5.28</v>
      </c>
      <c r="E85" s="69">
        <v>5.28</v>
      </c>
      <c r="F85" s="69">
        <v>5.24</v>
      </c>
      <c r="G85" s="69">
        <v>5.28</v>
      </c>
      <c r="H85" s="69">
        <v>5.28</v>
      </c>
      <c r="I85" s="69">
        <v>5.24</v>
      </c>
      <c r="J85" s="69">
        <v>5.28</v>
      </c>
      <c r="K85" s="69">
        <v>5.28</v>
      </c>
      <c r="L85" s="69">
        <v>5.24</v>
      </c>
      <c r="M85" s="23">
        <v>11</v>
      </c>
      <c r="N85" s="23">
        <v>3.8</v>
      </c>
      <c r="O85" s="24">
        <v>1.9800000000000002E-2</v>
      </c>
    </row>
    <row r="86" spans="1:15" x14ac:dyDescent="0.25">
      <c r="A86" s="16" t="s">
        <v>80</v>
      </c>
      <c r="B86" s="68">
        <v>5.84</v>
      </c>
      <c r="C86" s="69">
        <v>5.88</v>
      </c>
      <c r="D86" s="69">
        <v>5.84</v>
      </c>
      <c r="E86" s="69">
        <v>5.88</v>
      </c>
      <c r="F86" s="69">
        <v>5.88</v>
      </c>
      <c r="G86" s="69">
        <v>5.88</v>
      </c>
      <c r="H86" s="69">
        <v>5.88</v>
      </c>
      <c r="I86" s="69">
        <v>5.88</v>
      </c>
      <c r="J86" s="69">
        <v>5.84</v>
      </c>
      <c r="K86" s="69">
        <v>5.88</v>
      </c>
      <c r="L86" s="69">
        <v>5.84</v>
      </c>
      <c r="M86" s="23">
        <v>10</v>
      </c>
      <c r="N86" s="23">
        <v>4.8</v>
      </c>
      <c r="O86" s="24">
        <v>1.9099999999999999E-2</v>
      </c>
    </row>
    <row r="87" spans="1:15" x14ac:dyDescent="0.25">
      <c r="A87" s="16" t="s">
        <v>81</v>
      </c>
      <c r="B87" s="22">
        <v>2.6</v>
      </c>
      <c r="C87" s="23">
        <v>2.6</v>
      </c>
      <c r="D87" s="23">
        <v>2.6</v>
      </c>
      <c r="E87" s="23">
        <v>2.6</v>
      </c>
      <c r="F87" s="23">
        <v>2.6</v>
      </c>
      <c r="G87" s="23">
        <v>2.6</v>
      </c>
      <c r="H87" s="23">
        <v>2.6</v>
      </c>
      <c r="I87" s="23">
        <v>2.6</v>
      </c>
      <c r="J87" s="23">
        <v>2.6</v>
      </c>
      <c r="K87" s="23">
        <v>2.6</v>
      </c>
      <c r="L87" s="23">
        <v>2.6</v>
      </c>
      <c r="M87" s="23">
        <v>9</v>
      </c>
      <c r="N87" s="23">
        <v>1</v>
      </c>
      <c r="O87" s="24">
        <v>1.7600000000000001E-2</v>
      </c>
    </row>
    <row r="88" spans="1:15" x14ac:dyDescent="0.25">
      <c r="A88" s="16" t="s">
        <v>82</v>
      </c>
      <c r="B88" s="22">
        <v>2.52</v>
      </c>
      <c r="C88" s="23">
        <v>2.52</v>
      </c>
      <c r="D88" s="23">
        <v>2.52</v>
      </c>
      <c r="E88" s="23">
        <v>2.52</v>
      </c>
      <c r="F88" s="23">
        <v>2.52</v>
      </c>
      <c r="G88" s="23">
        <v>2.52</v>
      </c>
      <c r="H88" s="23">
        <v>2.52</v>
      </c>
      <c r="I88" s="23">
        <v>2.52</v>
      </c>
      <c r="J88" s="23">
        <v>2.52</v>
      </c>
      <c r="K88" s="23">
        <v>2.52</v>
      </c>
      <c r="L88" s="23">
        <v>2.52</v>
      </c>
      <c r="M88" s="23">
        <v>7</v>
      </c>
      <c r="N88" s="23">
        <v>1.4</v>
      </c>
      <c r="O88" s="24">
        <v>1.6500000000000001E-2</v>
      </c>
    </row>
    <row r="89" spans="1:15" x14ac:dyDescent="0.25">
      <c r="A89" s="16" t="s">
        <v>83</v>
      </c>
      <c r="B89" s="22">
        <v>3.24</v>
      </c>
      <c r="C89" s="23">
        <v>3.24</v>
      </c>
      <c r="D89" s="23">
        <v>3.24</v>
      </c>
      <c r="E89" s="23">
        <v>3.24</v>
      </c>
      <c r="F89" s="23">
        <v>3.24</v>
      </c>
      <c r="G89" s="23">
        <v>3.24</v>
      </c>
      <c r="H89" s="23">
        <v>3.24</v>
      </c>
      <c r="I89" s="23">
        <v>3.24</v>
      </c>
      <c r="J89" s="23">
        <v>3.24</v>
      </c>
      <c r="K89" s="23">
        <v>3.24</v>
      </c>
      <c r="L89" s="23">
        <v>3.24</v>
      </c>
      <c r="M89" s="23">
        <v>9</v>
      </c>
      <c r="N89" s="23">
        <v>1.8</v>
      </c>
      <c r="O89" s="24">
        <v>1.9099999999999999E-2</v>
      </c>
    </row>
    <row r="90" spans="1:15" x14ac:dyDescent="0.25">
      <c r="A90" s="16" t="s">
        <v>84</v>
      </c>
      <c r="B90" s="22">
        <v>5.2</v>
      </c>
      <c r="C90" s="23">
        <v>5.2</v>
      </c>
      <c r="D90" s="23">
        <v>5.2</v>
      </c>
      <c r="E90" s="23">
        <v>5.2</v>
      </c>
      <c r="F90" s="23">
        <v>5.2</v>
      </c>
      <c r="G90" s="23">
        <v>5.2</v>
      </c>
      <c r="H90" s="23">
        <v>5.2</v>
      </c>
      <c r="I90" s="23">
        <v>5.2</v>
      </c>
      <c r="J90" s="23">
        <v>5.2</v>
      </c>
      <c r="K90" s="23">
        <v>5.2</v>
      </c>
      <c r="L90" s="23">
        <v>5.2</v>
      </c>
      <c r="M90" s="23">
        <v>10</v>
      </c>
      <c r="N90" s="23">
        <v>4</v>
      </c>
      <c r="O90" s="24">
        <v>2.2700000000000001E-2</v>
      </c>
    </row>
    <row r="91" spans="1:15" x14ac:dyDescent="0.25">
      <c r="A91" s="16" t="s">
        <v>85</v>
      </c>
      <c r="B91" s="22">
        <v>4.12</v>
      </c>
      <c r="C91" s="23">
        <v>4.12</v>
      </c>
      <c r="D91" s="23">
        <v>4.12</v>
      </c>
      <c r="E91" s="23">
        <v>4.12</v>
      </c>
      <c r="F91" s="23">
        <v>4.12</v>
      </c>
      <c r="G91" s="23">
        <v>4.12</v>
      </c>
      <c r="H91" s="23">
        <v>4.12</v>
      </c>
      <c r="I91" s="23">
        <v>4.12</v>
      </c>
      <c r="J91" s="23">
        <v>4.12</v>
      </c>
      <c r="K91" s="23">
        <v>4.12</v>
      </c>
      <c r="L91" s="23">
        <v>4.12</v>
      </c>
      <c r="M91" s="23">
        <v>11</v>
      </c>
      <c r="N91" s="23">
        <v>2.4</v>
      </c>
      <c r="O91" s="24">
        <v>2.2200000000000001E-2</v>
      </c>
    </row>
    <row r="92" spans="1:15" x14ac:dyDescent="0.25">
      <c r="A92" s="16" t="s">
        <v>86</v>
      </c>
      <c r="B92" s="22">
        <v>1.6</v>
      </c>
      <c r="C92" s="23">
        <v>1.6</v>
      </c>
      <c r="D92" s="23">
        <v>1.6</v>
      </c>
      <c r="E92" s="23">
        <v>1.6</v>
      </c>
      <c r="F92" s="23">
        <v>1.6</v>
      </c>
      <c r="G92" s="23">
        <v>1.6</v>
      </c>
      <c r="H92" s="23">
        <v>1.6</v>
      </c>
      <c r="I92" s="23">
        <v>1.6</v>
      </c>
      <c r="J92" s="23">
        <v>1.6</v>
      </c>
      <c r="K92" s="23">
        <v>1.6</v>
      </c>
      <c r="L92" s="23">
        <v>1.6</v>
      </c>
      <c r="M92" s="23">
        <v>8</v>
      </c>
      <c r="N92" s="23">
        <v>0</v>
      </c>
      <c r="O92" s="24">
        <v>1.5299999999999999E-2</v>
      </c>
    </row>
    <row r="93" spans="1:15" x14ac:dyDescent="0.25">
      <c r="A93" s="16" t="s">
        <v>87</v>
      </c>
      <c r="B93" s="22">
        <v>3.6</v>
      </c>
      <c r="C93" s="23">
        <v>3.6</v>
      </c>
      <c r="D93" s="23">
        <v>3.6</v>
      </c>
      <c r="E93" s="23">
        <v>3.6</v>
      </c>
      <c r="F93" s="23">
        <v>3.6</v>
      </c>
      <c r="G93" s="23">
        <v>3.6</v>
      </c>
      <c r="H93" s="23">
        <v>3.6</v>
      </c>
      <c r="I93" s="23">
        <v>3.6</v>
      </c>
      <c r="J93" s="23">
        <v>3.6</v>
      </c>
      <c r="K93" s="23">
        <v>3.6</v>
      </c>
      <c r="L93" s="23">
        <v>3.6</v>
      </c>
      <c r="M93" s="23">
        <v>10</v>
      </c>
      <c r="N93" s="23">
        <v>2</v>
      </c>
      <c r="O93" s="24">
        <v>2.06E-2</v>
      </c>
    </row>
    <row r="94" spans="1:15" x14ac:dyDescent="0.25">
      <c r="A94" s="16" t="s">
        <v>88</v>
      </c>
      <c r="B94" s="22">
        <v>4.84</v>
      </c>
      <c r="C94" s="23">
        <v>4.84</v>
      </c>
      <c r="D94" s="23">
        <v>4.84</v>
      </c>
      <c r="E94" s="23">
        <v>4.84</v>
      </c>
      <c r="F94" s="23">
        <v>4.84</v>
      </c>
      <c r="G94" s="23">
        <v>4.84</v>
      </c>
      <c r="H94" s="23">
        <v>4.84</v>
      </c>
      <c r="I94" s="23">
        <v>4.84</v>
      </c>
      <c r="J94" s="23">
        <v>4.84</v>
      </c>
      <c r="K94" s="23">
        <v>4.84</v>
      </c>
      <c r="L94" s="23">
        <v>4.84</v>
      </c>
      <c r="M94" s="23">
        <v>13</v>
      </c>
      <c r="N94" s="23">
        <v>2.8</v>
      </c>
      <c r="O94" s="24">
        <v>2.47E-2</v>
      </c>
    </row>
    <row r="95" spans="1:15" x14ac:dyDescent="0.25">
      <c r="A95" s="16" t="s">
        <v>89</v>
      </c>
      <c r="B95" s="22">
        <v>4.16</v>
      </c>
      <c r="C95" s="23">
        <v>4.16</v>
      </c>
      <c r="D95" s="23">
        <v>4.16</v>
      </c>
      <c r="E95" s="23">
        <v>4.16</v>
      </c>
      <c r="F95" s="23">
        <v>4.12</v>
      </c>
      <c r="G95" s="23">
        <v>4.12</v>
      </c>
      <c r="H95" s="23">
        <v>4.12</v>
      </c>
      <c r="I95" s="23">
        <v>4.12</v>
      </c>
      <c r="J95" s="23">
        <v>4.16</v>
      </c>
      <c r="K95" s="23">
        <v>4.16</v>
      </c>
      <c r="L95" s="23">
        <v>4.12</v>
      </c>
      <c r="M95" s="23">
        <v>11</v>
      </c>
      <c r="N95" s="23">
        <v>2.4</v>
      </c>
      <c r="O95" s="24">
        <v>2.3699999999999999E-2</v>
      </c>
    </row>
    <row r="96" spans="1:15" x14ac:dyDescent="0.25">
      <c r="A96" s="16" t="s">
        <v>90</v>
      </c>
      <c r="B96" s="22">
        <v>4.12</v>
      </c>
      <c r="C96" s="23">
        <v>4.12</v>
      </c>
      <c r="D96" s="23">
        <v>4.12</v>
      </c>
      <c r="E96" s="23">
        <v>4.12</v>
      </c>
      <c r="F96" s="23">
        <v>4.12</v>
      </c>
      <c r="G96" s="23">
        <v>4.12</v>
      </c>
      <c r="H96" s="23">
        <v>4.12</v>
      </c>
      <c r="I96" s="23">
        <v>4.12</v>
      </c>
      <c r="J96" s="23">
        <v>4.12</v>
      </c>
      <c r="K96" s="23">
        <v>4.12</v>
      </c>
      <c r="L96" s="23">
        <v>4.12</v>
      </c>
      <c r="M96" s="23">
        <v>11</v>
      </c>
      <c r="N96" s="23">
        <v>2.4</v>
      </c>
      <c r="O96" s="24">
        <v>2.2499999999999999E-2</v>
      </c>
    </row>
    <row r="97" spans="1:15" x14ac:dyDescent="0.25">
      <c r="A97" s="16" t="s">
        <v>91</v>
      </c>
      <c r="B97" s="22">
        <v>4.68</v>
      </c>
      <c r="C97" s="23">
        <v>4.68</v>
      </c>
      <c r="D97" s="23">
        <v>4.68</v>
      </c>
      <c r="E97" s="23">
        <v>4.68</v>
      </c>
      <c r="F97" s="23">
        <v>4.68</v>
      </c>
      <c r="G97" s="23">
        <v>4.68</v>
      </c>
      <c r="H97" s="23">
        <v>4.68</v>
      </c>
      <c r="I97" s="23">
        <v>4.68</v>
      </c>
      <c r="J97" s="23">
        <v>4.68</v>
      </c>
      <c r="K97" s="23">
        <v>4.68</v>
      </c>
      <c r="L97" s="23">
        <v>4.68</v>
      </c>
      <c r="M97" s="23">
        <v>13</v>
      </c>
      <c r="N97" s="23">
        <v>2.6</v>
      </c>
      <c r="O97" s="24">
        <v>3.5999999999999999E-3</v>
      </c>
    </row>
    <row r="98" spans="1:15" x14ac:dyDescent="0.25">
      <c r="A98" s="16" t="s">
        <v>92</v>
      </c>
      <c r="B98" s="22">
        <v>5</v>
      </c>
      <c r="C98" s="23">
        <v>5</v>
      </c>
      <c r="D98" s="23">
        <v>5</v>
      </c>
      <c r="E98" s="23">
        <v>5</v>
      </c>
      <c r="F98" s="23">
        <v>5</v>
      </c>
      <c r="G98" s="23">
        <v>5</v>
      </c>
      <c r="H98" s="23">
        <v>5</v>
      </c>
      <c r="I98" s="23">
        <v>5</v>
      </c>
      <c r="J98" s="23">
        <v>5</v>
      </c>
      <c r="K98" s="23">
        <v>5</v>
      </c>
      <c r="L98" s="23">
        <v>5</v>
      </c>
      <c r="M98" s="23">
        <v>13</v>
      </c>
      <c r="N98" s="23">
        <v>3</v>
      </c>
      <c r="O98" s="24">
        <v>3.0000000000000001E-3</v>
      </c>
    </row>
    <row r="99" spans="1:15" x14ac:dyDescent="0.25">
      <c r="A99" s="16" t="s">
        <v>93</v>
      </c>
      <c r="B99" s="22">
        <v>3.76</v>
      </c>
      <c r="C99" s="23">
        <v>3.76</v>
      </c>
      <c r="D99" s="23">
        <v>3.76</v>
      </c>
      <c r="E99" s="23">
        <v>3.76</v>
      </c>
      <c r="F99" s="23">
        <v>3.76</v>
      </c>
      <c r="G99" s="23">
        <v>3.76</v>
      </c>
      <c r="H99" s="23">
        <v>3.76</v>
      </c>
      <c r="I99" s="23">
        <v>3.76</v>
      </c>
      <c r="J99" s="23">
        <v>3.76</v>
      </c>
      <c r="K99" s="23">
        <v>3.76</v>
      </c>
      <c r="L99" s="23">
        <v>3.76</v>
      </c>
      <c r="M99" s="23">
        <v>10</v>
      </c>
      <c r="N99" s="23">
        <v>2.2000000000000002</v>
      </c>
      <c r="O99" s="24">
        <v>3.0000000000000001E-3</v>
      </c>
    </row>
    <row r="100" spans="1:15" x14ac:dyDescent="0.25">
      <c r="A100" s="16" t="s">
        <v>94</v>
      </c>
      <c r="B100" s="22">
        <v>4.68</v>
      </c>
      <c r="C100" s="23">
        <v>4.68</v>
      </c>
      <c r="D100" s="23">
        <v>4.68</v>
      </c>
      <c r="E100" s="23">
        <v>4.68</v>
      </c>
      <c r="F100" s="23">
        <v>4.68</v>
      </c>
      <c r="G100" s="23">
        <v>4.68</v>
      </c>
      <c r="H100" s="23">
        <v>4.68</v>
      </c>
      <c r="I100" s="23">
        <v>4.68</v>
      </c>
      <c r="J100" s="23">
        <v>4.68</v>
      </c>
      <c r="K100" s="23">
        <v>4.68</v>
      </c>
      <c r="L100" s="23">
        <v>4.68</v>
      </c>
      <c r="M100" s="23">
        <v>9</v>
      </c>
      <c r="N100" s="23">
        <v>3.6</v>
      </c>
      <c r="O100" s="24">
        <v>3.0000000000000001E-3</v>
      </c>
    </row>
    <row r="101" spans="1:15" x14ac:dyDescent="0.25">
      <c r="A101" s="16" t="s">
        <v>95</v>
      </c>
      <c r="B101" s="22">
        <v>5.56</v>
      </c>
      <c r="C101" s="23">
        <v>5.52</v>
      </c>
      <c r="D101" s="23">
        <v>5.56</v>
      </c>
      <c r="E101" s="23">
        <v>5.56</v>
      </c>
      <c r="F101" s="23">
        <v>5.56</v>
      </c>
      <c r="G101" s="23">
        <v>5.52</v>
      </c>
      <c r="H101" s="23">
        <v>5.52</v>
      </c>
      <c r="I101" s="23">
        <v>5.56</v>
      </c>
      <c r="J101" s="23">
        <v>5.52</v>
      </c>
      <c r="K101" s="23">
        <v>5.52</v>
      </c>
      <c r="L101" s="23">
        <v>5.52</v>
      </c>
      <c r="M101" s="23">
        <v>14</v>
      </c>
      <c r="N101" s="23">
        <v>3.4</v>
      </c>
      <c r="O101" s="24">
        <v>4.0000000000000001E-3</v>
      </c>
    </row>
    <row r="102" spans="1:15" x14ac:dyDescent="0.25">
      <c r="A102" s="16" t="s">
        <v>96</v>
      </c>
      <c r="B102" s="22">
        <v>3.24</v>
      </c>
      <c r="C102" s="23">
        <v>3.24</v>
      </c>
      <c r="D102" s="23">
        <v>3.24</v>
      </c>
      <c r="E102" s="23">
        <v>3.24</v>
      </c>
      <c r="F102" s="23">
        <v>3.24</v>
      </c>
      <c r="G102" s="23">
        <v>3.24</v>
      </c>
      <c r="H102" s="23">
        <v>3.24</v>
      </c>
      <c r="I102" s="23">
        <v>3.24</v>
      </c>
      <c r="J102" s="23">
        <v>3.24</v>
      </c>
      <c r="K102" s="23">
        <v>3.24</v>
      </c>
      <c r="L102" s="23">
        <v>3.24</v>
      </c>
      <c r="M102" s="23">
        <v>9</v>
      </c>
      <c r="N102" s="23">
        <v>1.8</v>
      </c>
      <c r="O102" s="24">
        <v>3.0000000000000001E-3</v>
      </c>
    </row>
    <row r="103" spans="1:15" x14ac:dyDescent="0.25">
      <c r="A103" s="16" t="s">
        <v>97</v>
      </c>
      <c r="B103" s="22">
        <v>4.2</v>
      </c>
      <c r="C103" s="23">
        <v>4.2</v>
      </c>
      <c r="D103" s="23">
        <v>4.2</v>
      </c>
      <c r="E103" s="23">
        <v>4.2</v>
      </c>
      <c r="F103" s="23">
        <v>4.2</v>
      </c>
      <c r="G103" s="23">
        <v>4.2</v>
      </c>
      <c r="H103" s="23">
        <v>4.2</v>
      </c>
      <c r="I103" s="23">
        <v>4.2</v>
      </c>
      <c r="J103" s="23">
        <v>4.2</v>
      </c>
      <c r="K103" s="23">
        <v>4.2</v>
      </c>
      <c r="L103" s="23">
        <v>4.2</v>
      </c>
      <c r="M103" s="23">
        <v>9</v>
      </c>
      <c r="N103" s="23">
        <v>3</v>
      </c>
      <c r="O103" s="24">
        <v>3.0000000000000001E-3</v>
      </c>
    </row>
    <row r="104" spans="1:15" x14ac:dyDescent="0.25">
      <c r="A104" s="16" t="s">
        <v>98</v>
      </c>
      <c r="B104" s="22">
        <v>4.4400000000000004</v>
      </c>
      <c r="C104" s="23">
        <v>4.4400000000000004</v>
      </c>
      <c r="D104" s="23">
        <v>4.4400000000000004</v>
      </c>
      <c r="E104" s="23">
        <v>4.4400000000000004</v>
      </c>
      <c r="F104" s="23">
        <v>4.4400000000000004</v>
      </c>
      <c r="G104" s="23">
        <v>4.4400000000000004</v>
      </c>
      <c r="H104" s="23">
        <v>4.4400000000000004</v>
      </c>
      <c r="I104" s="23">
        <v>4.4400000000000004</v>
      </c>
      <c r="J104" s="23">
        <v>4.4400000000000004</v>
      </c>
      <c r="K104" s="23">
        <v>4.4400000000000004</v>
      </c>
      <c r="L104" s="23">
        <v>4.4400000000000004</v>
      </c>
      <c r="M104" s="23">
        <v>11</v>
      </c>
      <c r="N104" s="23">
        <v>2.8</v>
      </c>
      <c r="O104" s="24">
        <v>3.0000000000000001E-3</v>
      </c>
    </row>
    <row r="105" spans="1:15" x14ac:dyDescent="0.25">
      <c r="A105" s="16" t="s">
        <v>99</v>
      </c>
      <c r="B105" s="22">
        <v>3.2</v>
      </c>
      <c r="C105" s="23">
        <v>3.2</v>
      </c>
      <c r="D105" s="23">
        <v>3.2</v>
      </c>
      <c r="E105" s="23">
        <v>3.2</v>
      </c>
      <c r="F105" s="23">
        <v>3.2</v>
      </c>
      <c r="G105" s="23">
        <v>3.2</v>
      </c>
      <c r="H105" s="23">
        <v>3.2</v>
      </c>
      <c r="I105" s="23">
        <v>3.2</v>
      </c>
      <c r="J105" s="23">
        <v>3.2</v>
      </c>
      <c r="K105" s="23">
        <v>3.2</v>
      </c>
      <c r="L105" s="23">
        <v>3.2</v>
      </c>
      <c r="M105" s="23">
        <v>12</v>
      </c>
      <c r="N105" s="23">
        <v>1</v>
      </c>
      <c r="O105" s="24">
        <v>3.0000000000000001E-3</v>
      </c>
    </row>
    <row r="106" spans="1:15" x14ac:dyDescent="0.25">
      <c r="A106" s="16" t="s">
        <v>100</v>
      </c>
      <c r="B106" s="22">
        <v>4.2</v>
      </c>
      <c r="C106" s="23">
        <v>4.2</v>
      </c>
      <c r="D106" s="23">
        <v>4.3600000000000003</v>
      </c>
      <c r="E106" s="23">
        <v>4.3600000000000003</v>
      </c>
      <c r="F106" s="23">
        <v>4.3600000000000003</v>
      </c>
      <c r="G106" s="23">
        <v>4.2</v>
      </c>
      <c r="H106" s="23">
        <v>4.2</v>
      </c>
      <c r="I106" s="23">
        <v>4.2</v>
      </c>
      <c r="J106" s="23">
        <v>4.2</v>
      </c>
      <c r="K106" s="23">
        <v>4.3600000000000003</v>
      </c>
      <c r="L106" s="23">
        <v>4.2</v>
      </c>
      <c r="M106" s="23">
        <v>9</v>
      </c>
      <c r="N106" s="23">
        <v>3</v>
      </c>
      <c r="O106" s="24">
        <v>3.0000000000000001E-3</v>
      </c>
    </row>
    <row r="107" spans="1:15" x14ac:dyDescent="0.25">
      <c r="A107" s="16" t="s">
        <v>101</v>
      </c>
      <c r="B107" s="22">
        <v>3.12</v>
      </c>
      <c r="C107" s="23">
        <v>3.12</v>
      </c>
      <c r="D107" s="23">
        <v>3.12</v>
      </c>
      <c r="E107" s="23">
        <v>3.12</v>
      </c>
      <c r="F107" s="23">
        <v>3.12</v>
      </c>
      <c r="G107" s="23">
        <v>3.12</v>
      </c>
      <c r="H107" s="23">
        <v>3.12</v>
      </c>
      <c r="I107" s="23">
        <v>3.12</v>
      </c>
      <c r="J107" s="23">
        <v>3.12</v>
      </c>
      <c r="K107" s="23">
        <v>3.12</v>
      </c>
      <c r="L107" s="23">
        <v>3.12</v>
      </c>
      <c r="M107" s="23">
        <v>10</v>
      </c>
      <c r="N107" s="23">
        <v>1.4</v>
      </c>
      <c r="O107" s="24">
        <v>2.9600000000000001E-2</v>
      </c>
    </row>
    <row r="108" spans="1:15" x14ac:dyDescent="0.25">
      <c r="A108" s="16" t="s">
        <v>102</v>
      </c>
      <c r="B108" s="22">
        <v>6.2</v>
      </c>
      <c r="C108" s="23">
        <v>6.2</v>
      </c>
      <c r="D108" s="23">
        <v>6.2</v>
      </c>
      <c r="E108" s="23">
        <v>6.2</v>
      </c>
      <c r="F108" s="23">
        <v>6.2</v>
      </c>
      <c r="G108" s="23">
        <v>6.2</v>
      </c>
      <c r="H108" s="23">
        <v>6.2</v>
      </c>
      <c r="I108" s="23">
        <v>6.2</v>
      </c>
      <c r="J108" s="23">
        <v>6.2</v>
      </c>
      <c r="K108" s="23">
        <v>6.2</v>
      </c>
      <c r="L108" s="23">
        <v>6.2</v>
      </c>
      <c r="M108" s="23">
        <v>11</v>
      </c>
      <c r="N108" s="23">
        <v>5</v>
      </c>
      <c r="O108" s="24">
        <v>3.3399999999999999E-2</v>
      </c>
    </row>
    <row r="109" spans="1:15" x14ac:dyDescent="0.25">
      <c r="A109" s="16" t="s">
        <v>103</v>
      </c>
      <c r="B109" s="22">
        <v>3.24</v>
      </c>
      <c r="C109" s="23">
        <v>3.24</v>
      </c>
      <c r="D109" s="23">
        <v>3.24</v>
      </c>
      <c r="E109" s="23">
        <v>3.24</v>
      </c>
      <c r="F109" s="23">
        <v>3.24</v>
      </c>
      <c r="G109" s="23">
        <v>3.24</v>
      </c>
      <c r="H109" s="23">
        <v>3.24</v>
      </c>
      <c r="I109" s="23">
        <v>3.24</v>
      </c>
      <c r="J109" s="23">
        <v>3.24</v>
      </c>
      <c r="K109" s="23">
        <v>3.24</v>
      </c>
      <c r="L109" s="23">
        <v>3.24</v>
      </c>
      <c r="M109" s="23">
        <v>9</v>
      </c>
      <c r="N109" s="23">
        <v>1.8</v>
      </c>
      <c r="O109" s="24">
        <v>2.63E-2</v>
      </c>
    </row>
    <row r="110" spans="1:15" x14ac:dyDescent="0.25">
      <c r="A110" s="16" t="s">
        <v>104</v>
      </c>
      <c r="B110" s="22">
        <v>2.8</v>
      </c>
      <c r="C110" s="23">
        <v>2.8</v>
      </c>
      <c r="D110" s="23">
        <v>2.8</v>
      </c>
      <c r="E110" s="23">
        <v>2.8</v>
      </c>
      <c r="F110" s="23">
        <v>2.8</v>
      </c>
      <c r="G110" s="23">
        <v>2.8</v>
      </c>
      <c r="H110" s="23">
        <v>2.8</v>
      </c>
      <c r="I110" s="23">
        <v>2.8</v>
      </c>
      <c r="J110" s="23">
        <v>2.8</v>
      </c>
      <c r="K110" s="23">
        <v>2.8</v>
      </c>
      <c r="L110" s="23">
        <v>2.8</v>
      </c>
      <c r="M110" s="23">
        <v>10</v>
      </c>
      <c r="N110" s="23">
        <v>1</v>
      </c>
      <c r="O110" s="24">
        <v>2.8400000000000002E-2</v>
      </c>
    </row>
    <row r="111" spans="1:15" x14ac:dyDescent="0.25">
      <c r="A111" s="16" t="s">
        <v>105</v>
      </c>
      <c r="B111" s="22">
        <v>2.76</v>
      </c>
      <c r="C111" s="23">
        <v>2.76</v>
      </c>
      <c r="D111" s="23">
        <v>2.76</v>
      </c>
      <c r="E111" s="23">
        <v>2.76</v>
      </c>
      <c r="F111" s="23">
        <v>2.76</v>
      </c>
      <c r="G111" s="23">
        <v>2.76</v>
      </c>
      <c r="H111" s="23">
        <v>2.76</v>
      </c>
      <c r="I111" s="23">
        <v>2.76</v>
      </c>
      <c r="J111" s="23">
        <v>2.76</v>
      </c>
      <c r="K111" s="23">
        <v>2.76</v>
      </c>
      <c r="L111" s="23">
        <v>2.76</v>
      </c>
      <c r="M111" s="23">
        <v>9</v>
      </c>
      <c r="N111" s="23">
        <v>1.2</v>
      </c>
      <c r="O111" s="24">
        <v>2.6499999999999999E-2</v>
      </c>
    </row>
    <row r="112" spans="1:15" x14ac:dyDescent="0.25">
      <c r="A112" s="16" t="s">
        <v>106</v>
      </c>
      <c r="B112" s="22">
        <v>6.08</v>
      </c>
      <c r="C112" s="23">
        <v>6.08</v>
      </c>
      <c r="D112" s="23">
        <v>6.08</v>
      </c>
      <c r="E112" s="23">
        <v>6.08</v>
      </c>
      <c r="F112" s="23">
        <v>6.08</v>
      </c>
      <c r="G112" s="23">
        <v>6.08</v>
      </c>
      <c r="H112" s="23">
        <v>6.08</v>
      </c>
      <c r="I112" s="23">
        <v>6.08</v>
      </c>
      <c r="J112" s="23">
        <v>6.08</v>
      </c>
      <c r="K112" s="23">
        <v>6.08</v>
      </c>
      <c r="L112" s="23">
        <v>6.08</v>
      </c>
      <c r="M112" s="23">
        <v>12</v>
      </c>
      <c r="N112" s="23">
        <v>4.5999999999999996</v>
      </c>
      <c r="O112" s="24">
        <v>3.6900000000000002E-2</v>
      </c>
    </row>
    <row r="113" spans="1:15" x14ac:dyDescent="0.25">
      <c r="A113" s="16" t="s">
        <v>107</v>
      </c>
      <c r="B113" s="22">
        <v>2</v>
      </c>
      <c r="C113" s="23">
        <v>2</v>
      </c>
      <c r="D113" s="23">
        <v>2</v>
      </c>
      <c r="E113" s="23">
        <v>2</v>
      </c>
      <c r="F113" s="23">
        <v>2</v>
      </c>
      <c r="G113" s="23">
        <v>2</v>
      </c>
      <c r="H113" s="23">
        <v>2</v>
      </c>
      <c r="I113" s="23">
        <v>2</v>
      </c>
      <c r="J113" s="23">
        <v>2</v>
      </c>
      <c r="K113" s="23">
        <v>2</v>
      </c>
      <c r="L113" s="23">
        <v>2</v>
      </c>
      <c r="M113" s="23">
        <v>10</v>
      </c>
      <c r="N113" s="23">
        <v>0</v>
      </c>
      <c r="O113" s="24">
        <v>2.92E-2</v>
      </c>
    </row>
    <row r="114" spans="1:15" x14ac:dyDescent="0.25">
      <c r="A114" s="16" t="s">
        <v>108</v>
      </c>
      <c r="B114" s="22">
        <v>3.64</v>
      </c>
      <c r="C114" s="23">
        <v>3.64</v>
      </c>
      <c r="D114" s="23">
        <v>3.64</v>
      </c>
      <c r="E114" s="23">
        <v>3.64</v>
      </c>
      <c r="F114" s="23">
        <v>3.64</v>
      </c>
      <c r="G114" s="23">
        <v>3.64</v>
      </c>
      <c r="H114" s="23">
        <v>3.64</v>
      </c>
      <c r="I114" s="23">
        <v>3.64</v>
      </c>
      <c r="J114" s="23">
        <v>3.64</v>
      </c>
      <c r="K114" s="23">
        <v>3.64</v>
      </c>
      <c r="L114" s="23">
        <v>3.64</v>
      </c>
      <c r="M114" s="23">
        <v>11</v>
      </c>
      <c r="N114" s="23">
        <v>1.8</v>
      </c>
      <c r="O114" s="24">
        <v>3.3300000000000003E-2</v>
      </c>
    </row>
    <row r="115" spans="1:15" x14ac:dyDescent="0.25">
      <c r="A115" s="16" t="s">
        <v>109</v>
      </c>
      <c r="B115" s="22">
        <v>2.76</v>
      </c>
      <c r="C115" s="23">
        <v>2.76</v>
      </c>
      <c r="D115" s="23">
        <v>2.76</v>
      </c>
      <c r="E115" s="23">
        <v>2.76</v>
      </c>
      <c r="F115" s="23">
        <v>2.76</v>
      </c>
      <c r="G115" s="23">
        <v>2.76</v>
      </c>
      <c r="H115" s="23">
        <v>2.76</v>
      </c>
      <c r="I115" s="23">
        <v>2.76</v>
      </c>
      <c r="J115" s="23">
        <v>2.76</v>
      </c>
      <c r="K115" s="23">
        <v>2.76</v>
      </c>
      <c r="L115" s="23">
        <v>2.76</v>
      </c>
      <c r="M115" s="23">
        <v>9</v>
      </c>
      <c r="N115" s="23">
        <v>1.2</v>
      </c>
      <c r="O115" s="24">
        <v>2.6200000000000001E-2</v>
      </c>
    </row>
    <row r="116" spans="1:15" x14ac:dyDescent="0.25">
      <c r="A116" s="16" t="s">
        <v>110</v>
      </c>
      <c r="B116" s="22">
        <v>4.88</v>
      </c>
      <c r="C116" s="23">
        <v>4.88</v>
      </c>
      <c r="D116" s="23">
        <v>4.88</v>
      </c>
      <c r="E116" s="23">
        <v>4.88</v>
      </c>
      <c r="F116" s="23">
        <v>4.88</v>
      </c>
      <c r="G116" s="23">
        <v>4.88</v>
      </c>
      <c r="H116" s="23">
        <v>4.88</v>
      </c>
      <c r="I116" s="23">
        <v>4.88</v>
      </c>
      <c r="J116" s="23">
        <v>4.88</v>
      </c>
      <c r="K116" s="23">
        <v>4.88</v>
      </c>
      <c r="L116" s="23">
        <v>4.88</v>
      </c>
      <c r="M116" s="23">
        <v>10</v>
      </c>
      <c r="N116" s="23">
        <v>3.6</v>
      </c>
      <c r="O116" s="24">
        <v>3.3399999999999999E-2</v>
      </c>
    </row>
    <row r="117" spans="1:15" x14ac:dyDescent="0.25">
      <c r="A117" s="16" t="s">
        <v>111</v>
      </c>
      <c r="B117" s="22">
        <v>3.16</v>
      </c>
      <c r="C117" s="23">
        <v>3.16</v>
      </c>
      <c r="D117" s="23">
        <v>3.16</v>
      </c>
      <c r="E117" s="23">
        <v>3.16</v>
      </c>
      <c r="F117" s="23">
        <v>3.16</v>
      </c>
      <c r="G117" s="23">
        <v>3.16</v>
      </c>
      <c r="H117" s="23">
        <v>3.16</v>
      </c>
      <c r="I117" s="23">
        <v>3.16</v>
      </c>
      <c r="J117" s="23">
        <v>3.16</v>
      </c>
      <c r="K117" s="23">
        <v>3.16</v>
      </c>
      <c r="L117" s="23">
        <v>3.16</v>
      </c>
      <c r="M117" s="23">
        <v>11</v>
      </c>
      <c r="N117" s="23">
        <v>1.2</v>
      </c>
      <c r="O117" s="24">
        <v>3.8999999999999998E-3</v>
      </c>
    </row>
    <row r="118" spans="1:15" x14ac:dyDescent="0.25">
      <c r="A118" s="16" t="s">
        <v>112</v>
      </c>
      <c r="B118" s="22">
        <v>5.48</v>
      </c>
      <c r="C118" s="23">
        <v>5.48</v>
      </c>
      <c r="D118" s="23">
        <v>5.48</v>
      </c>
      <c r="E118" s="23">
        <v>5.48</v>
      </c>
      <c r="F118" s="23">
        <v>5.48</v>
      </c>
      <c r="G118" s="23">
        <v>5.48</v>
      </c>
      <c r="H118" s="23">
        <v>5.48</v>
      </c>
      <c r="I118" s="23">
        <v>5.48</v>
      </c>
      <c r="J118" s="23">
        <v>5.48</v>
      </c>
      <c r="K118" s="23">
        <v>5.48</v>
      </c>
      <c r="L118" s="23">
        <v>5.48</v>
      </c>
      <c r="M118" s="23">
        <v>9</v>
      </c>
      <c r="N118" s="23">
        <v>4.5999999999999996</v>
      </c>
      <c r="O118" s="24">
        <v>3.0000000000000001E-3</v>
      </c>
    </row>
    <row r="119" spans="1:15" x14ac:dyDescent="0.25">
      <c r="A119" s="16" t="s">
        <v>113</v>
      </c>
      <c r="B119" s="22">
        <v>4.8</v>
      </c>
      <c r="C119" s="23">
        <v>4.8</v>
      </c>
      <c r="D119" s="23">
        <v>4.8</v>
      </c>
      <c r="E119" s="23">
        <v>4.8</v>
      </c>
      <c r="F119" s="23">
        <v>4.8</v>
      </c>
      <c r="G119" s="23">
        <v>4.8</v>
      </c>
      <c r="H119" s="23">
        <v>4.8</v>
      </c>
      <c r="I119" s="23">
        <v>4.8</v>
      </c>
      <c r="J119" s="23">
        <v>4.8</v>
      </c>
      <c r="K119" s="23">
        <v>4.8</v>
      </c>
      <c r="L119" s="23">
        <v>4.8</v>
      </c>
      <c r="M119" s="23">
        <v>12</v>
      </c>
      <c r="N119" s="23">
        <v>3</v>
      </c>
      <c r="O119" s="24">
        <v>3.8999999999999998E-3</v>
      </c>
    </row>
    <row r="120" spans="1:15" x14ac:dyDescent="0.25">
      <c r="A120" s="16" t="s">
        <v>114</v>
      </c>
      <c r="B120" s="22">
        <v>3.76</v>
      </c>
      <c r="C120" s="23">
        <v>3.76</v>
      </c>
      <c r="D120" s="23">
        <v>3.76</v>
      </c>
      <c r="E120" s="23">
        <v>3.76</v>
      </c>
      <c r="F120" s="23">
        <v>3.76</v>
      </c>
      <c r="G120" s="23">
        <v>3.76</v>
      </c>
      <c r="H120" s="23">
        <v>3.76</v>
      </c>
      <c r="I120" s="23">
        <v>3.76</v>
      </c>
      <c r="J120" s="23">
        <v>3.76</v>
      </c>
      <c r="K120" s="23">
        <v>3.92</v>
      </c>
      <c r="L120" s="23">
        <v>3.76</v>
      </c>
      <c r="M120" s="23">
        <v>10</v>
      </c>
      <c r="N120" s="23">
        <v>2.2000000000000002</v>
      </c>
      <c r="O120" s="24">
        <v>3.0999999999999999E-3</v>
      </c>
    </row>
    <row r="121" spans="1:15" x14ac:dyDescent="0.25">
      <c r="A121" s="16" t="s">
        <v>115</v>
      </c>
      <c r="B121" s="22">
        <v>5.24</v>
      </c>
      <c r="C121" s="23">
        <v>5.24</v>
      </c>
      <c r="D121" s="23">
        <v>5.24</v>
      </c>
      <c r="E121" s="23">
        <v>5.24</v>
      </c>
      <c r="F121" s="23">
        <v>5.24</v>
      </c>
      <c r="G121" s="23">
        <v>5.24</v>
      </c>
      <c r="H121" s="23">
        <v>5.24</v>
      </c>
      <c r="I121" s="23">
        <v>5.24</v>
      </c>
      <c r="J121" s="23">
        <v>5.24</v>
      </c>
      <c r="K121" s="23">
        <v>5.24</v>
      </c>
      <c r="L121" s="23">
        <v>5.24</v>
      </c>
      <c r="M121" s="23">
        <v>11</v>
      </c>
      <c r="N121" s="23">
        <v>3.8</v>
      </c>
      <c r="O121" s="24">
        <v>3.5000000000000009E-3</v>
      </c>
    </row>
    <row r="122" spans="1:15" x14ac:dyDescent="0.25">
      <c r="A122" s="16" t="s">
        <v>116</v>
      </c>
      <c r="B122" s="22">
        <v>6.2</v>
      </c>
      <c r="C122" s="23">
        <v>6.16</v>
      </c>
      <c r="D122" s="23">
        <v>6.2</v>
      </c>
      <c r="E122" s="23">
        <v>6.2</v>
      </c>
      <c r="F122" s="23">
        <v>6.2</v>
      </c>
      <c r="G122" s="23">
        <v>6.2</v>
      </c>
      <c r="H122" s="23">
        <v>6.2</v>
      </c>
      <c r="I122" s="23">
        <v>6.2</v>
      </c>
      <c r="J122" s="23">
        <v>6.2</v>
      </c>
      <c r="K122" s="23">
        <v>6.2</v>
      </c>
      <c r="L122" s="23">
        <v>6.16</v>
      </c>
      <c r="M122" s="23">
        <v>10</v>
      </c>
      <c r="N122" s="23">
        <v>5.2</v>
      </c>
      <c r="O122" s="24">
        <v>3.0999999999999999E-3</v>
      </c>
    </row>
    <row r="123" spans="1:15" x14ac:dyDescent="0.25">
      <c r="A123" s="16" t="s">
        <v>117</v>
      </c>
      <c r="B123" s="22">
        <v>3.28</v>
      </c>
      <c r="C123" s="23">
        <v>3.28</v>
      </c>
      <c r="D123" s="23">
        <v>3.28</v>
      </c>
      <c r="E123" s="23">
        <v>3.28</v>
      </c>
      <c r="F123" s="23">
        <v>3.28</v>
      </c>
      <c r="G123" s="23">
        <v>3.28</v>
      </c>
      <c r="H123" s="23">
        <v>3.28</v>
      </c>
      <c r="I123" s="23">
        <v>3.28</v>
      </c>
      <c r="J123" s="23">
        <v>3.28</v>
      </c>
      <c r="K123" s="23">
        <v>3.28</v>
      </c>
      <c r="L123" s="23">
        <v>3.28</v>
      </c>
      <c r="M123" s="23">
        <v>6</v>
      </c>
      <c r="N123" s="23">
        <v>2.6</v>
      </c>
      <c r="O123" s="24">
        <v>3.0000000000000001E-3</v>
      </c>
    </row>
    <row r="124" spans="1:15" x14ac:dyDescent="0.25">
      <c r="A124" s="16" t="s">
        <v>118</v>
      </c>
      <c r="B124" s="22">
        <v>3.24</v>
      </c>
      <c r="C124" s="23">
        <v>3.24</v>
      </c>
      <c r="D124" s="23">
        <v>3.24</v>
      </c>
      <c r="E124" s="23">
        <v>3.24</v>
      </c>
      <c r="F124" s="23">
        <v>3.24</v>
      </c>
      <c r="G124" s="23">
        <v>3.24</v>
      </c>
      <c r="H124" s="23">
        <v>3.24</v>
      </c>
      <c r="I124" s="23">
        <v>3.24</v>
      </c>
      <c r="J124" s="23">
        <v>3.24</v>
      </c>
      <c r="K124" s="23">
        <v>3.24</v>
      </c>
      <c r="L124" s="23">
        <v>3.24</v>
      </c>
      <c r="M124" s="23">
        <v>9</v>
      </c>
      <c r="N124" s="23">
        <v>1.8</v>
      </c>
      <c r="O124" s="24">
        <v>3.0000000000000001E-3</v>
      </c>
    </row>
    <row r="125" spans="1:15" x14ac:dyDescent="0.25">
      <c r="A125" s="16" t="s">
        <v>119</v>
      </c>
      <c r="B125" s="22">
        <v>3.68</v>
      </c>
      <c r="C125" s="23">
        <v>3.68</v>
      </c>
      <c r="D125" s="23">
        <v>3.68</v>
      </c>
      <c r="E125" s="23">
        <v>3.68</v>
      </c>
      <c r="F125" s="23">
        <v>3.68</v>
      </c>
      <c r="G125" s="23">
        <v>3.68</v>
      </c>
      <c r="H125" s="23">
        <v>3.68</v>
      </c>
      <c r="I125" s="23">
        <v>3.68</v>
      </c>
      <c r="J125" s="23">
        <v>3.68</v>
      </c>
      <c r="K125" s="23">
        <v>3.68</v>
      </c>
      <c r="L125" s="23">
        <v>3.68</v>
      </c>
      <c r="M125" s="23">
        <v>8</v>
      </c>
      <c r="N125" s="23">
        <v>2.6</v>
      </c>
      <c r="O125" s="24">
        <v>3.0000000000000001E-3</v>
      </c>
    </row>
    <row r="126" spans="1:15" x14ac:dyDescent="0.25">
      <c r="A126" s="16" t="s">
        <v>120</v>
      </c>
      <c r="B126" s="22">
        <v>5.52</v>
      </c>
      <c r="C126" s="23">
        <v>5.52</v>
      </c>
      <c r="D126" s="23">
        <v>5.52</v>
      </c>
      <c r="E126" s="23">
        <v>5.52</v>
      </c>
      <c r="F126" s="23">
        <v>5.52</v>
      </c>
      <c r="G126" s="23">
        <v>5.52</v>
      </c>
      <c r="H126" s="23">
        <v>5.52</v>
      </c>
      <c r="I126" s="23">
        <v>5.52</v>
      </c>
      <c r="J126" s="23">
        <v>5.52</v>
      </c>
      <c r="K126" s="23">
        <v>5.52</v>
      </c>
      <c r="L126" s="23">
        <v>5.52</v>
      </c>
      <c r="M126" s="23">
        <v>10</v>
      </c>
      <c r="N126" s="23">
        <v>4.4000000000000004</v>
      </c>
      <c r="O126" s="24">
        <v>3.3E-3</v>
      </c>
    </row>
    <row r="127" spans="1:15" x14ac:dyDescent="0.25">
      <c r="A127" s="17" t="s">
        <v>121</v>
      </c>
      <c r="B127" s="22">
        <v>2.8</v>
      </c>
      <c r="C127" s="23">
        <v>2.8</v>
      </c>
      <c r="D127" s="23">
        <v>2.8</v>
      </c>
      <c r="E127" s="23">
        <v>2.8</v>
      </c>
      <c r="F127" s="23">
        <v>2.8</v>
      </c>
      <c r="G127" s="23">
        <v>2.8</v>
      </c>
      <c r="H127" s="23">
        <v>2.8</v>
      </c>
      <c r="I127" s="23">
        <v>2.8</v>
      </c>
      <c r="J127" s="23">
        <v>2.8</v>
      </c>
      <c r="K127" s="23">
        <v>2.8</v>
      </c>
      <c r="L127" s="23">
        <v>2.8</v>
      </c>
      <c r="M127" s="23">
        <v>10</v>
      </c>
      <c r="N127" s="23">
        <v>1</v>
      </c>
      <c r="O127" s="24">
        <v>3.8899999999999997E-2</v>
      </c>
    </row>
    <row r="128" spans="1:15" x14ac:dyDescent="0.25">
      <c r="A128" s="17" t="s">
        <v>122</v>
      </c>
      <c r="B128" s="22">
        <v>5.76</v>
      </c>
      <c r="C128" s="23">
        <v>5.28</v>
      </c>
      <c r="D128" s="23">
        <v>5.76</v>
      </c>
      <c r="E128" s="23">
        <v>5.76</v>
      </c>
      <c r="F128" s="23">
        <v>5.76</v>
      </c>
      <c r="G128" s="23">
        <v>5.44</v>
      </c>
      <c r="H128" s="23">
        <v>5.44</v>
      </c>
      <c r="I128" s="23">
        <v>5.6</v>
      </c>
      <c r="J128" s="23">
        <v>5.44</v>
      </c>
      <c r="K128" s="23">
        <v>4.96</v>
      </c>
      <c r="L128" s="23">
        <v>4.96</v>
      </c>
      <c r="M128" s="23">
        <v>16</v>
      </c>
      <c r="N128" s="23">
        <v>2.2000000000000002</v>
      </c>
      <c r="O128" s="24">
        <v>0.1234</v>
      </c>
    </row>
    <row r="129" spans="1:15" x14ac:dyDescent="0.25">
      <c r="A129" s="17" t="s">
        <v>123</v>
      </c>
      <c r="B129" s="22">
        <v>4.96</v>
      </c>
      <c r="C129" s="23">
        <v>4.96</v>
      </c>
      <c r="D129" s="23">
        <v>4.96</v>
      </c>
      <c r="E129" s="23">
        <v>4.96</v>
      </c>
      <c r="F129" s="23">
        <v>4.96</v>
      </c>
      <c r="G129" s="23">
        <v>4.96</v>
      </c>
      <c r="H129" s="23">
        <v>4.96</v>
      </c>
      <c r="I129" s="23">
        <v>4.96</v>
      </c>
      <c r="J129" s="23">
        <v>4.96</v>
      </c>
      <c r="K129" s="23">
        <v>4.96</v>
      </c>
      <c r="L129" s="23">
        <v>4.96</v>
      </c>
      <c r="M129" s="23">
        <v>16</v>
      </c>
      <c r="N129" s="23">
        <v>2.2000000000000002</v>
      </c>
      <c r="O129" s="24">
        <v>0.1186</v>
      </c>
    </row>
    <row r="130" spans="1:15" x14ac:dyDescent="0.25">
      <c r="A130" s="17" t="s">
        <v>124</v>
      </c>
      <c r="B130" s="22">
        <v>6.24</v>
      </c>
      <c r="C130" s="23">
        <v>6.24</v>
      </c>
      <c r="D130" s="23">
        <v>6.24</v>
      </c>
      <c r="E130" s="23">
        <v>6.24</v>
      </c>
      <c r="F130" s="23">
        <v>6.24</v>
      </c>
      <c r="G130" s="23">
        <v>6.24</v>
      </c>
      <c r="H130" s="23">
        <v>6.24</v>
      </c>
      <c r="I130" s="23">
        <v>6.24</v>
      </c>
      <c r="J130" s="23">
        <v>6.24</v>
      </c>
      <c r="K130" s="23">
        <v>6.24</v>
      </c>
      <c r="L130" s="23">
        <v>6.24</v>
      </c>
      <c r="M130" s="23">
        <v>20</v>
      </c>
      <c r="N130" s="23">
        <v>2.8</v>
      </c>
      <c r="O130" s="24">
        <v>0.14099999999999999</v>
      </c>
    </row>
    <row r="131" spans="1:15" x14ac:dyDescent="0.25">
      <c r="A131" s="17" t="s">
        <v>125</v>
      </c>
      <c r="B131" s="22">
        <v>6.44</v>
      </c>
      <c r="C131" s="23">
        <v>6.28</v>
      </c>
      <c r="D131" s="23">
        <v>6.28</v>
      </c>
      <c r="E131" s="23">
        <v>6.44</v>
      </c>
      <c r="F131" s="23">
        <v>6.44</v>
      </c>
      <c r="G131" s="23">
        <v>6.44</v>
      </c>
      <c r="H131" s="23">
        <v>5.96</v>
      </c>
      <c r="I131" s="23">
        <v>6.44</v>
      </c>
      <c r="J131" s="23">
        <v>5.96</v>
      </c>
      <c r="K131" s="23">
        <v>6.12</v>
      </c>
      <c r="L131" s="23">
        <v>5.96</v>
      </c>
      <c r="M131" s="23">
        <v>21</v>
      </c>
      <c r="N131" s="23">
        <v>2.2000000000000002</v>
      </c>
      <c r="O131" s="24">
        <v>0.25990000000000002</v>
      </c>
    </row>
    <row r="132" spans="1:15" x14ac:dyDescent="0.25">
      <c r="A132" s="17" t="s">
        <v>126</v>
      </c>
      <c r="B132" s="22">
        <v>7.8</v>
      </c>
      <c r="C132" s="23">
        <v>7.8</v>
      </c>
      <c r="D132" s="23">
        <v>7.8</v>
      </c>
      <c r="E132" s="23">
        <v>7.8</v>
      </c>
      <c r="F132" s="23">
        <v>7.8</v>
      </c>
      <c r="G132" s="23">
        <v>7.8</v>
      </c>
      <c r="H132" s="23">
        <v>7.8</v>
      </c>
      <c r="I132" s="23">
        <v>7.8</v>
      </c>
      <c r="J132" s="23">
        <v>7.8</v>
      </c>
      <c r="K132" s="23">
        <v>7.8</v>
      </c>
      <c r="L132" s="23">
        <v>7.8</v>
      </c>
      <c r="M132" s="23">
        <v>27</v>
      </c>
      <c r="N132" s="23">
        <v>3</v>
      </c>
      <c r="O132" s="24">
        <v>0.28100000000000003</v>
      </c>
    </row>
    <row r="133" spans="1:15" x14ac:dyDescent="0.25">
      <c r="A133" s="17" t="s">
        <v>127</v>
      </c>
      <c r="B133" s="22">
        <v>7.8</v>
      </c>
      <c r="C133" s="23">
        <v>7.64</v>
      </c>
      <c r="D133" s="23">
        <v>7.96</v>
      </c>
      <c r="E133" s="23">
        <v>7.96</v>
      </c>
      <c r="F133" s="23">
        <v>7.8</v>
      </c>
      <c r="G133" s="23">
        <v>7.8</v>
      </c>
      <c r="H133" s="23">
        <v>7.96</v>
      </c>
      <c r="I133" s="23">
        <v>7.8</v>
      </c>
      <c r="J133" s="23">
        <v>7.64</v>
      </c>
      <c r="K133" s="23">
        <v>7.96</v>
      </c>
      <c r="L133" s="23">
        <v>7.64</v>
      </c>
      <c r="M133" s="23">
        <v>23</v>
      </c>
      <c r="N133" s="23">
        <v>3.8</v>
      </c>
      <c r="O133" s="24">
        <v>0.24529999999999999</v>
      </c>
    </row>
    <row r="134" spans="1:15" x14ac:dyDescent="0.25">
      <c r="A134" s="17" t="s">
        <v>128</v>
      </c>
      <c r="B134" s="22">
        <v>5.52</v>
      </c>
      <c r="C134" s="23">
        <v>5.52</v>
      </c>
      <c r="D134" s="23">
        <v>5.52</v>
      </c>
      <c r="E134" s="23">
        <v>5.52</v>
      </c>
      <c r="F134" s="23">
        <v>5.52</v>
      </c>
      <c r="G134" s="23">
        <v>5.52</v>
      </c>
      <c r="H134" s="23">
        <v>5.52</v>
      </c>
      <c r="I134" s="23">
        <v>5.52</v>
      </c>
      <c r="J134" s="23">
        <v>5.52</v>
      </c>
      <c r="K134" s="23">
        <v>5.52</v>
      </c>
      <c r="L134" s="23">
        <v>5.52</v>
      </c>
      <c r="M134" s="23">
        <v>22</v>
      </c>
      <c r="N134" s="23">
        <v>1.4</v>
      </c>
      <c r="O134" s="24">
        <v>0.23119999999999999</v>
      </c>
    </row>
    <row r="135" spans="1:15" x14ac:dyDescent="0.25">
      <c r="A135" s="17" t="s">
        <v>129</v>
      </c>
      <c r="B135" s="22">
        <v>7.52</v>
      </c>
      <c r="C135" s="23">
        <v>7.36</v>
      </c>
      <c r="D135" s="23">
        <v>7.52</v>
      </c>
      <c r="E135" s="23">
        <v>7.52</v>
      </c>
      <c r="F135" s="23">
        <v>7.52</v>
      </c>
      <c r="G135" s="23">
        <v>7.52</v>
      </c>
      <c r="H135" s="23">
        <v>7.52</v>
      </c>
      <c r="I135" s="23">
        <v>7.52</v>
      </c>
      <c r="J135" s="23">
        <v>7.52</v>
      </c>
      <c r="K135" s="23">
        <v>7.52</v>
      </c>
      <c r="L135" s="23">
        <v>7.36</v>
      </c>
      <c r="M135" s="23">
        <v>24</v>
      </c>
      <c r="N135" s="23">
        <v>3.2</v>
      </c>
      <c r="O135" s="24">
        <v>0.2944</v>
      </c>
    </row>
    <row r="136" spans="1:15" x14ac:dyDescent="0.25">
      <c r="A136" s="17" t="s">
        <v>130</v>
      </c>
      <c r="B136" s="22">
        <v>6.6</v>
      </c>
      <c r="C136" s="23">
        <v>6.8</v>
      </c>
      <c r="D136" s="23">
        <v>6.8</v>
      </c>
      <c r="E136" s="23">
        <v>6.6</v>
      </c>
      <c r="F136" s="23">
        <v>6.8</v>
      </c>
      <c r="G136" s="23">
        <v>6.8</v>
      </c>
      <c r="H136" s="23">
        <v>6.76</v>
      </c>
      <c r="I136" s="23">
        <v>6.6</v>
      </c>
      <c r="J136" s="23">
        <v>6.8</v>
      </c>
      <c r="K136" s="23">
        <v>6.44</v>
      </c>
      <c r="L136" s="23">
        <v>6.44</v>
      </c>
      <c r="M136" s="23">
        <v>25</v>
      </c>
      <c r="N136" s="23">
        <v>1.8</v>
      </c>
      <c r="O136" s="24">
        <v>0.33090000000000003</v>
      </c>
    </row>
    <row r="137" spans="1:15" x14ac:dyDescent="0.25">
      <c r="A137" s="17" t="s">
        <v>131</v>
      </c>
      <c r="B137" s="22">
        <v>10.08</v>
      </c>
      <c r="C137" s="23">
        <v>10.08</v>
      </c>
      <c r="D137" s="23">
        <v>10.08</v>
      </c>
      <c r="E137" s="23">
        <v>10.08</v>
      </c>
      <c r="F137" s="23">
        <v>10.24</v>
      </c>
      <c r="G137" s="23">
        <v>10.08</v>
      </c>
      <c r="H137" s="23">
        <v>10.24</v>
      </c>
      <c r="I137" s="23">
        <v>10.08</v>
      </c>
      <c r="J137" s="23">
        <v>10.08</v>
      </c>
      <c r="K137" s="23">
        <v>10.08</v>
      </c>
      <c r="L137" s="23">
        <v>10.08</v>
      </c>
      <c r="M137" s="23">
        <v>32</v>
      </c>
      <c r="N137" s="23">
        <v>4.5999999999999996</v>
      </c>
      <c r="O137" s="24">
        <v>0.4572</v>
      </c>
    </row>
    <row r="138" spans="1:15" x14ac:dyDescent="0.25">
      <c r="A138" s="17" t="s">
        <v>132</v>
      </c>
      <c r="B138" s="22">
        <v>9.0399999999999991</v>
      </c>
      <c r="C138" s="23">
        <v>8.7200000000000006</v>
      </c>
      <c r="D138" s="23">
        <v>9.0399999999999991</v>
      </c>
      <c r="E138" s="23">
        <v>9.0399999999999991</v>
      </c>
      <c r="F138" s="23">
        <v>9.1999999999999993</v>
      </c>
      <c r="G138" s="23">
        <v>9.0399999999999991</v>
      </c>
      <c r="H138" s="23">
        <v>8.8800000000000008</v>
      </c>
      <c r="I138" s="23">
        <v>8.8800000000000008</v>
      </c>
      <c r="J138" s="23">
        <v>8.8800000000000008</v>
      </c>
      <c r="K138" s="23">
        <v>9.0399999999999991</v>
      </c>
      <c r="L138" s="23">
        <v>8.7200000000000006</v>
      </c>
      <c r="M138" s="23">
        <v>34</v>
      </c>
      <c r="N138" s="23">
        <v>2.4</v>
      </c>
      <c r="O138" s="24">
        <v>0.35770000000000002</v>
      </c>
    </row>
    <row r="139" spans="1:15" x14ac:dyDescent="0.25">
      <c r="A139" s="17" t="s">
        <v>133</v>
      </c>
      <c r="B139" s="22">
        <v>8.8000000000000007</v>
      </c>
      <c r="C139" s="23">
        <v>9</v>
      </c>
      <c r="D139" s="23">
        <v>9</v>
      </c>
      <c r="E139" s="23">
        <v>8.8000000000000007</v>
      </c>
      <c r="F139" s="23">
        <v>9</v>
      </c>
      <c r="G139" s="23">
        <v>9.1199999999999992</v>
      </c>
      <c r="H139" s="23">
        <v>9.1199999999999992</v>
      </c>
      <c r="I139" s="23">
        <v>8.9600000000000009</v>
      </c>
      <c r="J139" s="23">
        <v>9.1199999999999992</v>
      </c>
      <c r="K139" s="23">
        <v>9.1199999999999992</v>
      </c>
      <c r="L139" s="23">
        <v>8.8000000000000007</v>
      </c>
      <c r="M139" s="23">
        <v>24</v>
      </c>
      <c r="N139" s="23">
        <v>5</v>
      </c>
      <c r="O139" s="24">
        <v>0.29659999999999997</v>
      </c>
    </row>
    <row r="140" spans="1:15" x14ac:dyDescent="0.25">
      <c r="A140" s="17" t="s">
        <v>134</v>
      </c>
      <c r="B140" s="22">
        <v>10.119999999999999</v>
      </c>
      <c r="C140" s="23">
        <v>10.119999999999999</v>
      </c>
      <c r="D140" s="23">
        <v>10.119999999999999</v>
      </c>
      <c r="E140" s="23">
        <v>10.119999999999999</v>
      </c>
      <c r="F140" s="23">
        <v>10.08</v>
      </c>
      <c r="G140" s="23">
        <v>10.08</v>
      </c>
      <c r="H140" s="23">
        <v>10.28</v>
      </c>
      <c r="I140" s="23">
        <v>10.08</v>
      </c>
      <c r="J140" s="23">
        <v>10.119999999999999</v>
      </c>
      <c r="K140" s="23">
        <v>10.24</v>
      </c>
      <c r="L140" s="23">
        <v>10.08</v>
      </c>
      <c r="M140" s="23">
        <v>28</v>
      </c>
      <c r="N140" s="23">
        <v>5.6</v>
      </c>
      <c r="O140" s="24">
        <v>0.55570000000000008</v>
      </c>
    </row>
    <row r="141" spans="1:15" x14ac:dyDescent="0.25">
      <c r="A141" s="17" t="s">
        <v>135</v>
      </c>
      <c r="B141" s="22">
        <v>9.76</v>
      </c>
      <c r="C141" s="23">
        <v>9.76</v>
      </c>
      <c r="D141" s="23">
        <v>9.76</v>
      </c>
      <c r="E141" s="23">
        <v>9.92</v>
      </c>
      <c r="F141" s="23">
        <v>9.76</v>
      </c>
      <c r="G141" s="23">
        <v>9.76</v>
      </c>
      <c r="H141" s="23">
        <v>9.76</v>
      </c>
      <c r="I141" s="23">
        <v>9.92</v>
      </c>
      <c r="J141" s="23">
        <v>9.92</v>
      </c>
      <c r="K141" s="23">
        <v>9.76</v>
      </c>
      <c r="L141" s="23">
        <v>9.76</v>
      </c>
      <c r="M141" s="23">
        <v>28</v>
      </c>
      <c r="N141" s="23">
        <v>5.2</v>
      </c>
      <c r="O141" s="24">
        <v>0.39910000000000001</v>
      </c>
    </row>
    <row r="142" spans="1:15" x14ac:dyDescent="0.25">
      <c r="A142" s="17" t="s">
        <v>136</v>
      </c>
      <c r="B142" s="22">
        <v>9.9600000000000009</v>
      </c>
      <c r="C142" s="23">
        <v>10.119999999999999</v>
      </c>
      <c r="D142" s="23">
        <v>10.119999999999999</v>
      </c>
      <c r="E142" s="23">
        <v>10.119999999999999</v>
      </c>
      <c r="F142" s="23">
        <v>10.119999999999999</v>
      </c>
      <c r="G142" s="23">
        <v>10.119999999999999</v>
      </c>
      <c r="H142" s="23">
        <v>10.119999999999999</v>
      </c>
      <c r="I142" s="23">
        <v>9.9600000000000009</v>
      </c>
      <c r="J142" s="23">
        <v>10.119999999999999</v>
      </c>
      <c r="K142" s="23">
        <v>10.119999999999999</v>
      </c>
      <c r="L142" s="23">
        <v>9.9600000000000009</v>
      </c>
      <c r="M142" s="23">
        <v>29</v>
      </c>
      <c r="N142" s="23">
        <v>5.2</v>
      </c>
      <c r="O142" s="24">
        <v>0.44319999999999998</v>
      </c>
    </row>
    <row r="143" spans="1:15" x14ac:dyDescent="0.25">
      <c r="A143" s="17" t="s">
        <v>137</v>
      </c>
      <c r="B143" s="22">
        <v>11.76</v>
      </c>
      <c r="C143" s="23">
        <v>11.92</v>
      </c>
      <c r="D143" s="23">
        <v>11.76</v>
      </c>
      <c r="E143" s="23">
        <v>11.92</v>
      </c>
      <c r="F143" s="23">
        <v>11.92</v>
      </c>
      <c r="G143" s="23">
        <v>11.92</v>
      </c>
      <c r="H143" s="23">
        <v>11.6</v>
      </c>
      <c r="I143" s="23">
        <v>12.08</v>
      </c>
      <c r="J143" s="23">
        <v>11.92</v>
      </c>
      <c r="K143" s="23">
        <v>11.92</v>
      </c>
      <c r="L143" s="23">
        <v>11.6</v>
      </c>
      <c r="M143" s="23">
        <v>38</v>
      </c>
      <c r="N143" s="23">
        <v>5</v>
      </c>
      <c r="O143" s="24">
        <v>0.64900000000000002</v>
      </c>
    </row>
    <row r="144" spans="1:15" x14ac:dyDescent="0.25">
      <c r="A144" s="17" t="s">
        <v>138</v>
      </c>
      <c r="B144" s="22">
        <v>10.24</v>
      </c>
      <c r="C144" s="23">
        <v>10.4</v>
      </c>
      <c r="D144" s="23">
        <v>10.4</v>
      </c>
      <c r="E144" s="23">
        <v>10.4</v>
      </c>
      <c r="F144" s="23">
        <v>10.24</v>
      </c>
      <c r="G144" s="23">
        <v>10.4</v>
      </c>
      <c r="H144" s="23">
        <v>10.24</v>
      </c>
      <c r="I144" s="23">
        <v>10.4</v>
      </c>
      <c r="J144" s="23">
        <v>10.4</v>
      </c>
      <c r="K144" s="23">
        <v>10.4</v>
      </c>
      <c r="L144" s="23">
        <v>10.24</v>
      </c>
      <c r="M144" s="23">
        <v>36</v>
      </c>
      <c r="N144" s="23">
        <v>3.8</v>
      </c>
      <c r="O144" s="24">
        <v>0.75560000000000005</v>
      </c>
    </row>
    <row r="145" spans="1:15" x14ac:dyDescent="0.25">
      <c r="A145" s="17" t="s">
        <v>139</v>
      </c>
      <c r="B145" s="22">
        <v>11.48</v>
      </c>
      <c r="C145" s="23">
        <v>11.48</v>
      </c>
      <c r="D145" s="23">
        <v>11.48</v>
      </c>
      <c r="E145" s="23">
        <v>11.48</v>
      </c>
      <c r="F145" s="23">
        <v>11.48</v>
      </c>
      <c r="G145" s="23">
        <v>11.48</v>
      </c>
      <c r="H145" s="23">
        <v>11.48</v>
      </c>
      <c r="I145" s="23">
        <v>11.48</v>
      </c>
      <c r="J145" s="23">
        <v>11.48</v>
      </c>
      <c r="K145" s="23">
        <v>11.48</v>
      </c>
      <c r="L145" s="23">
        <v>11.48</v>
      </c>
      <c r="M145" s="23">
        <v>39</v>
      </c>
      <c r="N145" s="23">
        <v>4.5999999999999996</v>
      </c>
      <c r="O145" s="24">
        <v>0.6593</v>
      </c>
    </row>
    <row r="146" spans="1:15" x14ac:dyDescent="0.25">
      <c r="A146" s="17" t="s">
        <v>140</v>
      </c>
      <c r="B146" s="22">
        <v>12.24</v>
      </c>
      <c r="C146" s="23">
        <v>12.24</v>
      </c>
      <c r="D146" s="23">
        <v>12.24</v>
      </c>
      <c r="E146" s="23">
        <v>12.24</v>
      </c>
      <c r="F146" s="23">
        <v>12.56</v>
      </c>
      <c r="G146" s="23">
        <v>12.24</v>
      </c>
      <c r="H146" s="23">
        <v>12.24</v>
      </c>
      <c r="I146" s="23">
        <v>11.92</v>
      </c>
      <c r="J146" s="23">
        <v>12.24</v>
      </c>
      <c r="K146" s="23">
        <v>12.24</v>
      </c>
      <c r="L146" s="23">
        <v>11.92</v>
      </c>
      <c r="M146" s="23">
        <v>46</v>
      </c>
      <c r="N146" s="23">
        <v>3.4</v>
      </c>
      <c r="O146" s="24">
        <v>0.83350000000000013</v>
      </c>
    </row>
    <row r="147" spans="1:15" x14ac:dyDescent="0.25">
      <c r="A147" s="17" t="s">
        <v>141</v>
      </c>
      <c r="B147" s="22">
        <v>14.2</v>
      </c>
      <c r="C147" s="23">
        <v>14.32</v>
      </c>
      <c r="D147" s="23">
        <v>14.2</v>
      </c>
      <c r="E147" s="23">
        <v>14.2</v>
      </c>
      <c r="F147" s="23">
        <v>14.2</v>
      </c>
      <c r="G147" s="23">
        <v>14.2</v>
      </c>
      <c r="H147" s="23">
        <v>14.2</v>
      </c>
      <c r="I147" s="23">
        <v>14.32</v>
      </c>
      <c r="J147" s="23">
        <v>14.2</v>
      </c>
      <c r="K147" s="23">
        <v>14.2</v>
      </c>
      <c r="L147" s="23">
        <v>14.2</v>
      </c>
      <c r="M147" s="23">
        <v>47</v>
      </c>
      <c r="N147" s="23">
        <v>6</v>
      </c>
      <c r="O147" s="24">
        <v>1.0366</v>
      </c>
    </row>
    <row r="148" spans="1:15" x14ac:dyDescent="0.25">
      <c r="A148" s="17" t="s">
        <v>142</v>
      </c>
      <c r="B148" s="22">
        <v>10.76</v>
      </c>
      <c r="C148" s="23">
        <v>11.08</v>
      </c>
      <c r="D148" s="23">
        <v>10.92</v>
      </c>
      <c r="E148" s="23">
        <v>10.76</v>
      </c>
      <c r="F148" s="23">
        <v>10.6</v>
      </c>
      <c r="G148" s="23">
        <v>10.92</v>
      </c>
      <c r="H148" s="23">
        <v>10.6</v>
      </c>
      <c r="I148" s="23">
        <v>10.76</v>
      </c>
      <c r="J148" s="23">
        <v>10.6</v>
      </c>
      <c r="K148" s="23">
        <v>10.28</v>
      </c>
      <c r="L148" s="23">
        <v>10.28</v>
      </c>
      <c r="M148" s="23">
        <v>45</v>
      </c>
      <c r="N148" s="23">
        <v>1.6</v>
      </c>
      <c r="O148" s="24">
        <v>1.0429999999999999</v>
      </c>
    </row>
    <row r="149" spans="1:15" x14ac:dyDescent="0.25">
      <c r="A149" s="17" t="s">
        <v>143</v>
      </c>
      <c r="B149" s="22">
        <v>14.2</v>
      </c>
      <c r="C149" s="23">
        <v>14.36</v>
      </c>
      <c r="D149" s="23">
        <v>14.36</v>
      </c>
      <c r="E149" s="23">
        <v>14.36</v>
      </c>
      <c r="F149" s="23">
        <v>14.32</v>
      </c>
      <c r="G149" s="23">
        <v>14.36</v>
      </c>
      <c r="H149" s="23">
        <v>14.36</v>
      </c>
      <c r="I149" s="23">
        <v>14.32</v>
      </c>
      <c r="J149" s="23">
        <v>14.36</v>
      </c>
      <c r="K149" s="23">
        <v>14.32</v>
      </c>
      <c r="L149" s="23">
        <v>14.2</v>
      </c>
      <c r="M149" s="23">
        <v>59</v>
      </c>
      <c r="N149" s="23">
        <v>3</v>
      </c>
      <c r="O149" s="24">
        <v>1.26</v>
      </c>
    </row>
    <row r="150" spans="1:15" x14ac:dyDescent="0.25">
      <c r="A150" s="17" t="s">
        <v>144</v>
      </c>
      <c r="B150" s="22">
        <v>15.6</v>
      </c>
      <c r="C150" s="23">
        <v>15.6</v>
      </c>
      <c r="D150" s="23">
        <v>15.6</v>
      </c>
      <c r="E150" s="23">
        <v>15.6</v>
      </c>
      <c r="F150" s="23">
        <v>15.6</v>
      </c>
      <c r="G150" s="23">
        <v>15.6</v>
      </c>
      <c r="H150" s="23">
        <v>15.44</v>
      </c>
      <c r="I150" s="23">
        <v>15.6</v>
      </c>
      <c r="J150" s="23">
        <v>15.6</v>
      </c>
      <c r="K150" s="23">
        <v>15.56</v>
      </c>
      <c r="L150" s="23">
        <v>15.44</v>
      </c>
      <c r="M150" s="23">
        <v>62</v>
      </c>
      <c r="N150" s="23">
        <v>3.8</v>
      </c>
      <c r="O150" s="24">
        <v>1.3366</v>
      </c>
    </row>
    <row r="151" spans="1:15" x14ac:dyDescent="0.25">
      <c r="A151" s="17" t="s">
        <v>145</v>
      </c>
      <c r="B151" s="22">
        <v>13.16</v>
      </c>
      <c r="C151" s="23">
        <v>13.16</v>
      </c>
      <c r="D151" s="23">
        <v>13.16</v>
      </c>
      <c r="E151" s="23">
        <v>13.16</v>
      </c>
      <c r="F151" s="23">
        <v>13.16</v>
      </c>
      <c r="G151" s="23">
        <v>13.32</v>
      </c>
      <c r="H151" s="23">
        <v>13.16</v>
      </c>
      <c r="I151" s="23">
        <v>13.16</v>
      </c>
      <c r="J151" s="23">
        <v>13.48</v>
      </c>
      <c r="K151" s="23">
        <v>13.16</v>
      </c>
      <c r="L151" s="23">
        <v>13.16</v>
      </c>
      <c r="M151" s="23">
        <v>53</v>
      </c>
      <c r="N151" s="23">
        <v>3.2</v>
      </c>
      <c r="O151" s="24">
        <v>1.3393999999999999</v>
      </c>
    </row>
    <row r="152" spans="1:15" x14ac:dyDescent="0.25">
      <c r="A152" s="17" t="s">
        <v>146</v>
      </c>
      <c r="B152" s="22">
        <v>13</v>
      </c>
      <c r="C152" s="23">
        <v>13</v>
      </c>
      <c r="D152" s="23">
        <v>12.68</v>
      </c>
      <c r="E152" s="23">
        <v>13</v>
      </c>
      <c r="F152" s="23">
        <v>13.2</v>
      </c>
      <c r="G152" s="23">
        <v>13.16</v>
      </c>
      <c r="H152" s="23">
        <v>13.16</v>
      </c>
      <c r="I152" s="23">
        <v>13.16</v>
      </c>
      <c r="J152" s="23">
        <v>13</v>
      </c>
      <c r="K152" s="23">
        <v>12.84</v>
      </c>
      <c r="L152" s="23">
        <v>12.68</v>
      </c>
      <c r="M152" s="23">
        <v>45</v>
      </c>
      <c r="N152" s="23">
        <v>4.5999999999999996</v>
      </c>
      <c r="O152" s="24">
        <v>1.4773000000000001</v>
      </c>
    </row>
    <row r="153" spans="1:15" x14ac:dyDescent="0.25">
      <c r="A153" s="17" t="s">
        <v>147</v>
      </c>
      <c r="B153" s="22">
        <v>12</v>
      </c>
      <c r="C153" s="23">
        <v>12</v>
      </c>
      <c r="D153" s="23">
        <v>12.16</v>
      </c>
      <c r="E153" s="23">
        <v>12</v>
      </c>
      <c r="F153" s="23">
        <v>12</v>
      </c>
      <c r="G153" s="23">
        <v>12</v>
      </c>
      <c r="H153" s="23">
        <v>12</v>
      </c>
      <c r="I153" s="23">
        <v>12.16</v>
      </c>
      <c r="J153" s="23">
        <v>11.84</v>
      </c>
      <c r="K153" s="23">
        <v>12.16</v>
      </c>
      <c r="L153" s="23">
        <v>11.84</v>
      </c>
      <c r="M153" s="23">
        <v>44</v>
      </c>
      <c r="N153" s="23">
        <v>3.8</v>
      </c>
      <c r="O153" s="24">
        <v>1.2265999999999999</v>
      </c>
    </row>
    <row r="154" spans="1:15" x14ac:dyDescent="0.25">
      <c r="A154" s="17" t="s">
        <v>148</v>
      </c>
      <c r="B154" s="22">
        <v>15.64</v>
      </c>
      <c r="C154" s="23">
        <v>15.64</v>
      </c>
      <c r="D154" s="23">
        <v>15.48</v>
      </c>
      <c r="E154" s="23">
        <v>15.68</v>
      </c>
      <c r="F154" s="23">
        <v>15.68</v>
      </c>
      <c r="G154" s="23">
        <v>15.64</v>
      </c>
      <c r="H154" s="23">
        <v>15.64</v>
      </c>
      <c r="I154" s="23">
        <v>15.52</v>
      </c>
      <c r="J154" s="23">
        <v>15.68</v>
      </c>
      <c r="K154" s="23">
        <v>15.64</v>
      </c>
      <c r="L154" s="23">
        <v>15.48</v>
      </c>
      <c r="M154" s="23">
        <v>55</v>
      </c>
      <c r="N154" s="23">
        <v>5.6</v>
      </c>
      <c r="O154" s="24">
        <v>1.3424</v>
      </c>
    </row>
    <row r="155" spans="1:15" x14ac:dyDescent="0.25">
      <c r="A155" s="17" t="s">
        <v>149</v>
      </c>
      <c r="B155" s="22">
        <v>15.16</v>
      </c>
      <c r="C155" s="23">
        <v>15.16</v>
      </c>
      <c r="D155" s="23">
        <v>15.32</v>
      </c>
      <c r="E155" s="23">
        <v>15.32</v>
      </c>
      <c r="F155" s="23">
        <v>15</v>
      </c>
      <c r="G155" s="23">
        <v>15.32</v>
      </c>
      <c r="H155" s="23">
        <v>15.32</v>
      </c>
      <c r="I155" s="23">
        <v>15.32</v>
      </c>
      <c r="J155" s="23">
        <v>15.32</v>
      </c>
      <c r="K155" s="23">
        <v>15.28</v>
      </c>
      <c r="L155" s="23">
        <v>15</v>
      </c>
      <c r="M155" s="23">
        <v>55</v>
      </c>
      <c r="N155" s="23">
        <v>5</v>
      </c>
      <c r="O155" s="24">
        <v>1.1394</v>
      </c>
    </row>
    <row r="156" spans="1:15" x14ac:dyDescent="0.25">
      <c r="A156" s="17" t="s">
        <v>150</v>
      </c>
      <c r="B156" s="22">
        <v>19</v>
      </c>
      <c r="C156" s="23">
        <v>18.52</v>
      </c>
      <c r="D156" s="23">
        <v>18.68</v>
      </c>
      <c r="E156" s="23">
        <v>19</v>
      </c>
      <c r="F156" s="23">
        <v>18.52</v>
      </c>
      <c r="G156" s="23">
        <v>18.68</v>
      </c>
      <c r="H156" s="23">
        <v>18.68</v>
      </c>
      <c r="I156" s="23">
        <v>18.84</v>
      </c>
      <c r="J156" s="23">
        <v>18.84</v>
      </c>
      <c r="K156" s="23">
        <v>18.68</v>
      </c>
      <c r="L156" s="23">
        <v>18.52</v>
      </c>
      <c r="M156" s="23">
        <v>63</v>
      </c>
      <c r="N156" s="23">
        <v>7.4</v>
      </c>
      <c r="O156" s="24">
        <v>1.2994000000000001</v>
      </c>
    </row>
    <row r="157" spans="1:15" x14ac:dyDescent="0.25">
      <c r="A157" s="17" t="s">
        <v>151</v>
      </c>
      <c r="B157" s="22">
        <v>24.72</v>
      </c>
      <c r="C157" s="23">
        <v>24.88</v>
      </c>
      <c r="D157" s="23">
        <v>24.72</v>
      </c>
      <c r="E157" s="23">
        <v>25.04</v>
      </c>
      <c r="F157" s="23">
        <v>24.88</v>
      </c>
      <c r="G157" s="23">
        <v>24.56</v>
      </c>
      <c r="H157" s="23">
        <v>24.88</v>
      </c>
      <c r="I157" s="23">
        <v>24.72</v>
      </c>
      <c r="J157" s="23">
        <v>25.2</v>
      </c>
      <c r="K157" s="23">
        <v>24.88</v>
      </c>
      <c r="L157" s="23">
        <v>24.56</v>
      </c>
      <c r="M157" s="23">
        <v>82</v>
      </c>
      <c r="N157" s="23">
        <v>10.199999999999999</v>
      </c>
      <c r="O157" s="24">
        <v>1.8956</v>
      </c>
    </row>
    <row r="158" spans="1:15" x14ac:dyDescent="0.25">
      <c r="A158" s="17" t="s">
        <v>152</v>
      </c>
      <c r="B158" s="22">
        <v>17.440000000000001</v>
      </c>
      <c r="C158" s="23">
        <v>17.600000000000001</v>
      </c>
      <c r="D158" s="23">
        <v>17.64</v>
      </c>
      <c r="E158" s="23">
        <v>17.64</v>
      </c>
      <c r="F158" s="23">
        <v>17.48</v>
      </c>
      <c r="G158" s="23">
        <v>17.760000000000002</v>
      </c>
      <c r="H158" s="23">
        <v>17.64</v>
      </c>
      <c r="I158" s="23">
        <v>17.64</v>
      </c>
      <c r="J158" s="23">
        <v>17.64</v>
      </c>
      <c r="K158" s="23">
        <v>17.64</v>
      </c>
      <c r="L158" s="23">
        <v>17.440000000000001</v>
      </c>
      <c r="M158" s="23">
        <v>64</v>
      </c>
      <c r="N158" s="23">
        <v>5.8</v>
      </c>
      <c r="O158" s="24">
        <v>1.6911</v>
      </c>
    </row>
    <row r="159" spans="1:15" x14ac:dyDescent="0.25">
      <c r="A159" s="17" t="s">
        <v>153</v>
      </c>
      <c r="B159" s="22">
        <v>18.079999999999998</v>
      </c>
      <c r="C159" s="23">
        <v>18.239999999999998</v>
      </c>
      <c r="D159" s="23">
        <v>17.88</v>
      </c>
      <c r="E159" s="23">
        <v>18.079999999999998</v>
      </c>
      <c r="F159" s="23">
        <v>18.079999999999998</v>
      </c>
      <c r="G159" s="23">
        <v>18.04</v>
      </c>
      <c r="H159" s="23">
        <v>17.760000000000002</v>
      </c>
      <c r="I159" s="23">
        <v>17.88</v>
      </c>
      <c r="J159" s="23">
        <v>17.559999999999999</v>
      </c>
      <c r="K159" s="23">
        <v>17.600000000000001</v>
      </c>
      <c r="L159" s="23">
        <v>17.559999999999999</v>
      </c>
      <c r="M159" s="23">
        <v>67</v>
      </c>
      <c r="N159" s="23">
        <v>5.2</v>
      </c>
      <c r="O159" s="24">
        <v>1.6042000000000001</v>
      </c>
    </row>
    <row r="160" spans="1:15" x14ac:dyDescent="0.25">
      <c r="A160" s="17" t="s">
        <v>154</v>
      </c>
      <c r="B160" s="22">
        <v>23.96</v>
      </c>
      <c r="C160" s="23">
        <v>23.96</v>
      </c>
      <c r="D160" s="23">
        <v>23.96</v>
      </c>
      <c r="E160" s="23">
        <v>23.96</v>
      </c>
      <c r="F160" s="23">
        <v>23.96</v>
      </c>
      <c r="G160" s="23">
        <v>23.96</v>
      </c>
      <c r="H160" s="23">
        <v>23.96</v>
      </c>
      <c r="I160" s="23">
        <v>23.96</v>
      </c>
      <c r="J160" s="23">
        <v>23.96</v>
      </c>
      <c r="K160" s="23">
        <v>23.96</v>
      </c>
      <c r="L160" s="23">
        <v>23.96</v>
      </c>
      <c r="M160" s="23">
        <v>63</v>
      </c>
      <c r="N160" s="23">
        <v>14.2</v>
      </c>
      <c r="O160" s="24">
        <v>2.1436999999999999</v>
      </c>
    </row>
    <row r="161" spans="1:15" x14ac:dyDescent="0.25">
      <c r="A161" s="17" t="s">
        <v>155</v>
      </c>
      <c r="B161" s="22">
        <v>23.64</v>
      </c>
      <c r="C161" s="23">
        <v>23.8</v>
      </c>
      <c r="D161" s="23">
        <v>23.8</v>
      </c>
      <c r="E161" s="23">
        <v>23.96</v>
      </c>
      <c r="F161" s="23">
        <v>23.8</v>
      </c>
      <c r="G161" s="23">
        <v>23.8</v>
      </c>
      <c r="H161" s="23">
        <v>23.64</v>
      </c>
      <c r="I161" s="23">
        <v>23.64</v>
      </c>
      <c r="J161" s="23">
        <v>23.8</v>
      </c>
      <c r="K161" s="23">
        <v>23.64</v>
      </c>
      <c r="L161" s="23">
        <v>23.64</v>
      </c>
      <c r="M161" s="23">
        <v>67</v>
      </c>
      <c r="N161" s="23">
        <v>12.8</v>
      </c>
      <c r="O161" s="24">
        <v>2.2482000000000002</v>
      </c>
    </row>
    <row r="162" spans="1:15" x14ac:dyDescent="0.25">
      <c r="A162" s="17" t="s">
        <v>156</v>
      </c>
      <c r="B162" s="22">
        <v>30.48</v>
      </c>
      <c r="C162" s="23">
        <v>30.64</v>
      </c>
      <c r="D162" s="23">
        <v>30.8</v>
      </c>
      <c r="E162" s="23">
        <v>30.32</v>
      </c>
      <c r="F162" s="23">
        <v>30.12</v>
      </c>
      <c r="G162" s="23">
        <v>30.64</v>
      </c>
      <c r="H162" s="23">
        <v>30.64</v>
      </c>
      <c r="I162" s="23">
        <v>30.32</v>
      </c>
      <c r="J162" s="23">
        <v>30.76</v>
      </c>
      <c r="K162" s="23">
        <v>30.32</v>
      </c>
      <c r="L162" s="23">
        <v>30.12</v>
      </c>
      <c r="M162" s="23">
        <v>85</v>
      </c>
      <c r="N162" s="23">
        <v>16.399999999999999</v>
      </c>
      <c r="O162" s="24">
        <v>2.3738999999999999</v>
      </c>
    </row>
    <row r="163" spans="1:15" x14ac:dyDescent="0.25">
      <c r="A163" s="17" t="s">
        <v>157</v>
      </c>
      <c r="B163" s="22">
        <v>27.52</v>
      </c>
      <c r="C163" s="23">
        <v>27.04</v>
      </c>
      <c r="D163" s="23">
        <v>27.2</v>
      </c>
      <c r="E163" s="23">
        <v>26.88</v>
      </c>
      <c r="F163" s="23">
        <v>27.08</v>
      </c>
      <c r="G163" s="23">
        <v>27.4</v>
      </c>
      <c r="H163" s="23">
        <v>27.04</v>
      </c>
      <c r="I163" s="23">
        <v>27.04</v>
      </c>
      <c r="J163" s="23">
        <v>26.72</v>
      </c>
      <c r="K163" s="23">
        <v>27.4</v>
      </c>
      <c r="L163" s="23">
        <v>26.72</v>
      </c>
      <c r="M163" s="23">
        <v>80</v>
      </c>
      <c r="N163" s="23">
        <v>13.4</v>
      </c>
      <c r="O163" s="24">
        <v>2.2412000000000001</v>
      </c>
    </row>
    <row r="164" spans="1:15" x14ac:dyDescent="0.25">
      <c r="A164" s="17" t="s">
        <v>158</v>
      </c>
      <c r="B164" s="22">
        <v>25.28</v>
      </c>
      <c r="C164" s="23">
        <v>25.92</v>
      </c>
      <c r="D164" s="23">
        <v>25.92</v>
      </c>
      <c r="E164" s="23">
        <v>25.44</v>
      </c>
      <c r="F164" s="23">
        <v>25.92</v>
      </c>
      <c r="G164" s="23">
        <v>25.44</v>
      </c>
      <c r="H164" s="23">
        <v>25.92</v>
      </c>
      <c r="I164" s="23">
        <v>25.76</v>
      </c>
      <c r="J164" s="23">
        <v>25.28</v>
      </c>
      <c r="K164" s="23">
        <v>25.32</v>
      </c>
      <c r="L164" s="23">
        <v>25.28</v>
      </c>
      <c r="M164" s="23">
        <v>80</v>
      </c>
      <c r="N164" s="23">
        <v>11.6</v>
      </c>
      <c r="O164" s="24">
        <v>2.8132999999999999</v>
      </c>
    </row>
    <row r="165" spans="1:15" x14ac:dyDescent="0.25">
      <c r="A165" s="17" t="s">
        <v>159</v>
      </c>
      <c r="B165" s="22">
        <v>22.4</v>
      </c>
      <c r="C165" s="23">
        <v>22.36</v>
      </c>
      <c r="D165" s="23">
        <v>21.88</v>
      </c>
      <c r="E165" s="23">
        <v>22.36</v>
      </c>
      <c r="F165" s="23">
        <v>22.36</v>
      </c>
      <c r="G165" s="23">
        <v>22.36</v>
      </c>
      <c r="H165" s="23">
        <v>22.68</v>
      </c>
      <c r="I165" s="23">
        <v>22.52</v>
      </c>
      <c r="J165" s="23">
        <v>22.36</v>
      </c>
      <c r="K165" s="23">
        <v>22.04</v>
      </c>
      <c r="L165" s="23">
        <v>21.88</v>
      </c>
      <c r="M165" s="23">
        <v>75</v>
      </c>
      <c r="N165" s="23">
        <v>8.6</v>
      </c>
      <c r="O165" s="24">
        <v>2.1217000000000001</v>
      </c>
    </row>
    <row r="166" spans="1:15" x14ac:dyDescent="0.25">
      <c r="A166" s="17" t="s">
        <v>160</v>
      </c>
      <c r="B166" s="22">
        <v>27.12</v>
      </c>
      <c r="C166" s="23">
        <v>27</v>
      </c>
      <c r="D166" s="23">
        <v>26.68</v>
      </c>
      <c r="E166" s="23">
        <v>27.16</v>
      </c>
      <c r="F166" s="23">
        <v>26.84</v>
      </c>
      <c r="G166" s="23">
        <v>26.68</v>
      </c>
      <c r="H166" s="23">
        <v>27.16</v>
      </c>
      <c r="I166" s="23">
        <v>27</v>
      </c>
      <c r="J166" s="23">
        <v>27</v>
      </c>
      <c r="K166" s="23">
        <v>27</v>
      </c>
      <c r="L166" s="23">
        <v>26.68</v>
      </c>
      <c r="M166" s="23">
        <v>87</v>
      </c>
      <c r="N166" s="23">
        <v>11.6</v>
      </c>
      <c r="O166" s="24">
        <v>3.0874999999999999</v>
      </c>
    </row>
    <row r="167" spans="1:15" x14ac:dyDescent="0.25">
      <c r="A167" s="17" t="s">
        <v>161</v>
      </c>
      <c r="B167" s="22">
        <v>23.08</v>
      </c>
      <c r="C167" s="23">
        <v>23.24</v>
      </c>
      <c r="D167" s="23">
        <v>23.56</v>
      </c>
      <c r="E167" s="23">
        <v>23.28</v>
      </c>
      <c r="F167" s="23">
        <v>22.92</v>
      </c>
      <c r="G167" s="23">
        <v>23.6</v>
      </c>
      <c r="H167" s="23">
        <v>23.76</v>
      </c>
      <c r="I167" s="23">
        <v>23.24</v>
      </c>
      <c r="J167" s="23">
        <v>23.56</v>
      </c>
      <c r="K167" s="23">
        <v>23.12</v>
      </c>
      <c r="L167" s="23">
        <v>22.92</v>
      </c>
      <c r="M167" s="23">
        <v>77</v>
      </c>
      <c r="N167" s="23">
        <v>9.4</v>
      </c>
      <c r="O167" s="24">
        <v>2.8229000000000002</v>
      </c>
    </row>
    <row r="168" spans="1:15" x14ac:dyDescent="0.25">
      <c r="A168" s="17" t="s">
        <v>162</v>
      </c>
      <c r="B168" s="22">
        <v>25.08</v>
      </c>
      <c r="C168" s="23">
        <v>24.76</v>
      </c>
      <c r="D168" s="23">
        <v>24.76</v>
      </c>
      <c r="E168" s="23">
        <v>24.6</v>
      </c>
      <c r="F168" s="23">
        <v>24.44</v>
      </c>
      <c r="G168" s="23">
        <v>25.08</v>
      </c>
      <c r="H168" s="23">
        <v>24.28</v>
      </c>
      <c r="I168" s="23">
        <v>24.44</v>
      </c>
      <c r="J168" s="23">
        <v>24.92</v>
      </c>
      <c r="K168" s="23">
        <v>24.76</v>
      </c>
      <c r="L168" s="23">
        <v>24.28</v>
      </c>
      <c r="M168" s="23">
        <v>79</v>
      </c>
      <c r="N168" s="23">
        <v>10.6</v>
      </c>
      <c r="O168" s="24">
        <v>3.2362000000000002</v>
      </c>
    </row>
    <row r="169" spans="1:15" x14ac:dyDescent="0.25">
      <c r="A169" s="17" t="s">
        <v>163</v>
      </c>
      <c r="B169" s="22">
        <v>25.84</v>
      </c>
      <c r="C169" s="23">
        <v>26.16</v>
      </c>
      <c r="D169" s="23">
        <v>26.16</v>
      </c>
      <c r="E169" s="23">
        <v>25.36</v>
      </c>
      <c r="F169" s="23">
        <v>26.16</v>
      </c>
      <c r="G169" s="23">
        <v>26</v>
      </c>
      <c r="H169" s="23">
        <v>25.84</v>
      </c>
      <c r="I169" s="23">
        <v>25.84</v>
      </c>
      <c r="J169" s="23">
        <v>26</v>
      </c>
      <c r="K169" s="23">
        <v>26</v>
      </c>
      <c r="L169" s="23">
        <v>25.36</v>
      </c>
      <c r="M169" s="23">
        <v>90</v>
      </c>
      <c r="N169" s="23">
        <v>9.1999999999999993</v>
      </c>
      <c r="O169" s="24">
        <v>3.8927999999999998</v>
      </c>
    </row>
    <row r="170" spans="1:15" x14ac:dyDescent="0.25">
      <c r="A170" s="17" t="s">
        <v>164</v>
      </c>
      <c r="B170" s="22">
        <v>30.12</v>
      </c>
      <c r="C170" s="23">
        <v>30.12</v>
      </c>
      <c r="D170" s="23">
        <v>30.12</v>
      </c>
      <c r="E170" s="23">
        <v>30.12</v>
      </c>
      <c r="F170" s="23">
        <v>30.12</v>
      </c>
      <c r="G170" s="23">
        <v>30.12</v>
      </c>
      <c r="H170" s="23">
        <v>29.96</v>
      </c>
      <c r="I170" s="23">
        <v>30.12</v>
      </c>
      <c r="J170" s="23">
        <v>30.12</v>
      </c>
      <c r="K170" s="23">
        <v>30.12</v>
      </c>
      <c r="L170" s="23">
        <v>29.96</v>
      </c>
      <c r="M170" s="23">
        <v>89</v>
      </c>
      <c r="N170" s="23">
        <v>15.2</v>
      </c>
      <c r="O170" s="24">
        <v>3.6915</v>
      </c>
    </row>
    <row r="171" spans="1:15" x14ac:dyDescent="0.25">
      <c r="A171" s="17" t="s">
        <v>165</v>
      </c>
      <c r="B171" s="22">
        <v>30.6</v>
      </c>
      <c r="C171" s="23">
        <v>29.8</v>
      </c>
      <c r="D171" s="23">
        <v>30.6</v>
      </c>
      <c r="E171" s="23">
        <v>30.44</v>
      </c>
      <c r="F171" s="23">
        <v>30.28</v>
      </c>
      <c r="G171" s="23">
        <v>30.44</v>
      </c>
      <c r="H171" s="23">
        <v>30.56</v>
      </c>
      <c r="I171" s="23">
        <v>30.12</v>
      </c>
      <c r="J171" s="23">
        <v>30.44</v>
      </c>
      <c r="K171" s="23">
        <v>30.76</v>
      </c>
      <c r="L171" s="23">
        <v>29.8</v>
      </c>
      <c r="M171" s="23">
        <v>109</v>
      </c>
      <c r="N171" s="23">
        <v>10</v>
      </c>
      <c r="O171" s="24">
        <v>4.3892000000000007</v>
      </c>
    </row>
    <row r="172" spans="1:15" x14ac:dyDescent="0.25">
      <c r="A172" s="17" t="s">
        <v>166</v>
      </c>
      <c r="B172" s="22">
        <v>19.12</v>
      </c>
      <c r="C172" s="23">
        <v>19.12</v>
      </c>
      <c r="D172" s="23">
        <v>19.28</v>
      </c>
      <c r="E172" s="23">
        <v>19.28</v>
      </c>
      <c r="F172" s="23">
        <v>19.440000000000001</v>
      </c>
      <c r="G172" s="23">
        <v>19.600000000000001</v>
      </c>
      <c r="H172" s="23">
        <v>19.440000000000001</v>
      </c>
      <c r="I172" s="23">
        <v>19.12</v>
      </c>
      <c r="J172" s="23">
        <v>19.760000000000002</v>
      </c>
      <c r="K172" s="23">
        <v>19.32</v>
      </c>
      <c r="L172" s="23">
        <v>19.12</v>
      </c>
      <c r="M172" s="23">
        <v>78</v>
      </c>
      <c r="N172" s="23">
        <v>4.4000000000000004</v>
      </c>
      <c r="O172" s="24">
        <v>4.3079000000000001</v>
      </c>
    </row>
    <row r="173" spans="1:15" x14ac:dyDescent="0.25">
      <c r="A173" s="17" t="s">
        <v>167</v>
      </c>
      <c r="B173" s="22">
        <v>25.72</v>
      </c>
      <c r="C173" s="23">
        <v>26.52</v>
      </c>
      <c r="D173" s="23">
        <v>26.04</v>
      </c>
      <c r="E173" s="23">
        <v>26.52</v>
      </c>
      <c r="F173" s="23">
        <v>25.88</v>
      </c>
      <c r="G173" s="23">
        <v>26.04</v>
      </c>
      <c r="H173" s="23">
        <v>26.36</v>
      </c>
      <c r="I173" s="23">
        <v>26.68</v>
      </c>
      <c r="J173" s="23">
        <v>26</v>
      </c>
      <c r="K173" s="23">
        <v>26.2</v>
      </c>
      <c r="L173" s="23">
        <v>25.72</v>
      </c>
      <c r="M173" s="23">
        <v>79</v>
      </c>
      <c r="N173" s="23">
        <v>12.4</v>
      </c>
      <c r="O173" s="24">
        <v>3.4064000000000001</v>
      </c>
    </row>
    <row r="174" spans="1:15" x14ac:dyDescent="0.25">
      <c r="A174" s="17" t="s">
        <v>168</v>
      </c>
      <c r="B174" s="22">
        <v>29.92</v>
      </c>
      <c r="C174" s="23">
        <v>29.76</v>
      </c>
      <c r="D174" s="23">
        <v>29.28</v>
      </c>
      <c r="E174" s="23">
        <v>29.6</v>
      </c>
      <c r="F174" s="23">
        <v>30.08</v>
      </c>
      <c r="G174" s="23">
        <v>29.92</v>
      </c>
      <c r="H174" s="23">
        <v>29.72</v>
      </c>
      <c r="I174" s="23">
        <v>29.4</v>
      </c>
      <c r="J174" s="23">
        <v>30.56</v>
      </c>
      <c r="K174" s="23">
        <v>30.2</v>
      </c>
      <c r="L174" s="23">
        <v>29.28</v>
      </c>
      <c r="M174" s="23">
        <v>88</v>
      </c>
      <c r="N174" s="23">
        <v>14.6</v>
      </c>
      <c r="O174" s="24">
        <v>4.7612000000000014</v>
      </c>
    </row>
    <row r="175" spans="1:15" x14ac:dyDescent="0.25">
      <c r="A175" s="17" t="s">
        <v>169</v>
      </c>
      <c r="B175" s="22">
        <v>25.12</v>
      </c>
      <c r="C175" s="23">
        <v>25.44</v>
      </c>
      <c r="D175" s="23">
        <v>25.6</v>
      </c>
      <c r="E175" s="23">
        <v>25.92</v>
      </c>
      <c r="F175" s="23">
        <v>26.08</v>
      </c>
      <c r="G175" s="23">
        <v>25.92</v>
      </c>
      <c r="H175" s="23">
        <v>25.92</v>
      </c>
      <c r="I175" s="23">
        <v>24.64</v>
      </c>
      <c r="J175" s="23">
        <v>25.44</v>
      </c>
      <c r="K175" s="23">
        <v>25.44</v>
      </c>
      <c r="L175" s="23">
        <v>24.64</v>
      </c>
      <c r="M175" s="23">
        <v>88</v>
      </c>
      <c r="N175" s="23">
        <v>8.8000000000000007</v>
      </c>
      <c r="O175" s="24">
        <v>5.5051000000000014</v>
      </c>
    </row>
    <row r="176" spans="1:15" x14ac:dyDescent="0.25">
      <c r="A176" s="17" t="s">
        <v>170</v>
      </c>
      <c r="B176" s="22">
        <v>28.84</v>
      </c>
      <c r="C176" s="23">
        <v>28.8</v>
      </c>
      <c r="D176" s="23">
        <v>28.48</v>
      </c>
      <c r="E176" s="23">
        <v>28.8</v>
      </c>
      <c r="F176" s="23">
        <v>28.8</v>
      </c>
      <c r="G176" s="23">
        <v>28.48</v>
      </c>
      <c r="H176" s="23">
        <v>28.68</v>
      </c>
      <c r="I176" s="23">
        <v>28.64</v>
      </c>
      <c r="J176" s="23">
        <v>28.64</v>
      </c>
      <c r="K176" s="23">
        <v>28.64</v>
      </c>
      <c r="L176" s="23">
        <v>28.48</v>
      </c>
      <c r="M176" s="23">
        <v>96</v>
      </c>
      <c r="N176" s="23">
        <v>11.6</v>
      </c>
      <c r="O176" s="24">
        <v>6.0381999999999998</v>
      </c>
    </row>
    <row r="177" spans="1:15" x14ac:dyDescent="0.25">
      <c r="A177" s="17" t="s">
        <v>171</v>
      </c>
      <c r="B177" s="22">
        <v>29.52</v>
      </c>
      <c r="C177" s="23">
        <v>29.68</v>
      </c>
      <c r="D177" s="23">
        <v>29.68</v>
      </c>
      <c r="E177" s="23">
        <v>29.68</v>
      </c>
      <c r="F177" s="23">
        <v>29.68</v>
      </c>
      <c r="G177" s="23">
        <v>29.52</v>
      </c>
      <c r="H177" s="23">
        <v>28.68</v>
      </c>
      <c r="I177" s="23">
        <v>29.2</v>
      </c>
      <c r="J177" s="23">
        <v>29.52</v>
      </c>
      <c r="K177" s="23">
        <v>29.48</v>
      </c>
      <c r="L177" s="23">
        <v>28.68</v>
      </c>
      <c r="M177" s="23">
        <v>105</v>
      </c>
      <c r="N177" s="23">
        <v>9.6</v>
      </c>
      <c r="O177" s="24">
        <v>5.1197999999999997</v>
      </c>
    </row>
    <row r="178" spans="1:15" x14ac:dyDescent="0.25">
      <c r="A178" s="17" t="s">
        <v>172</v>
      </c>
      <c r="B178" s="22">
        <v>25.04</v>
      </c>
      <c r="C178" s="23">
        <v>24.88</v>
      </c>
      <c r="D178" s="23">
        <v>25.2</v>
      </c>
      <c r="E178" s="23">
        <v>25.2</v>
      </c>
      <c r="F178" s="23">
        <v>24.88</v>
      </c>
      <c r="G178" s="23">
        <v>25.08</v>
      </c>
      <c r="H178" s="23">
        <v>25.24</v>
      </c>
      <c r="I178" s="23">
        <v>25.36</v>
      </c>
      <c r="J178" s="23">
        <v>24.88</v>
      </c>
      <c r="K178" s="23">
        <v>25.2</v>
      </c>
      <c r="L178" s="23">
        <v>24.88</v>
      </c>
      <c r="M178" s="23">
        <v>86</v>
      </c>
      <c r="N178" s="23">
        <v>9.6</v>
      </c>
      <c r="O178" s="24">
        <v>4.1468000000000007</v>
      </c>
    </row>
    <row r="179" spans="1:15" x14ac:dyDescent="0.25">
      <c r="A179" s="17" t="s">
        <v>173</v>
      </c>
      <c r="B179" s="68">
        <v>36.76</v>
      </c>
      <c r="C179" s="69">
        <v>37.4</v>
      </c>
      <c r="D179" s="69">
        <v>37.36</v>
      </c>
      <c r="E179" s="69">
        <v>36.56</v>
      </c>
      <c r="F179" s="69">
        <v>36.76</v>
      </c>
      <c r="G179" s="69">
        <v>36.28</v>
      </c>
      <c r="H179" s="69">
        <v>36.44</v>
      </c>
      <c r="I179" s="69">
        <v>36.44</v>
      </c>
      <c r="J179" s="69">
        <v>37.4</v>
      </c>
      <c r="K179" s="69">
        <v>36.6</v>
      </c>
      <c r="L179" s="69">
        <v>36.28</v>
      </c>
      <c r="M179" s="23">
        <v>115</v>
      </c>
      <c r="N179" s="23">
        <v>16.600000000000001</v>
      </c>
      <c r="O179" s="24">
        <v>7.3487999999999998</v>
      </c>
    </row>
    <row r="180" spans="1:15" x14ac:dyDescent="0.25">
      <c r="A180" s="18" t="s">
        <v>174</v>
      </c>
      <c r="B180" s="22">
        <v>10.039999999999999</v>
      </c>
      <c r="C180" s="23">
        <v>10.039999999999999</v>
      </c>
      <c r="D180" s="23">
        <v>9.84</v>
      </c>
      <c r="E180" s="23">
        <v>9.84</v>
      </c>
      <c r="F180" s="23">
        <v>9.84</v>
      </c>
      <c r="G180" s="23">
        <v>9.84</v>
      </c>
      <c r="H180" s="23">
        <v>9.84</v>
      </c>
      <c r="I180" s="23">
        <v>10.039999999999999</v>
      </c>
      <c r="J180" s="23">
        <v>9.84</v>
      </c>
      <c r="K180" s="23">
        <v>9.84</v>
      </c>
      <c r="L180" s="23">
        <v>9.84</v>
      </c>
      <c r="M180" s="23">
        <v>46</v>
      </c>
      <c r="N180" s="23">
        <v>0.8</v>
      </c>
      <c r="O180" s="24">
        <v>0.79390000000000005</v>
      </c>
    </row>
    <row r="181" spans="1:15" x14ac:dyDescent="0.25">
      <c r="A181" s="18" t="s">
        <v>175</v>
      </c>
      <c r="B181" s="22">
        <v>9.4</v>
      </c>
      <c r="C181" s="23">
        <v>9.4</v>
      </c>
      <c r="D181" s="23">
        <v>9.4</v>
      </c>
      <c r="E181" s="23">
        <v>9.4</v>
      </c>
      <c r="F181" s="23">
        <v>9.4</v>
      </c>
      <c r="G181" s="23">
        <v>9.4</v>
      </c>
      <c r="H181" s="23">
        <v>9.4</v>
      </c>
      <c r="I181" s="23">
        <v>9.4</v>
      </c>
      <c r="J181" s="23">
        <v>9.4</v>
      </c>
      <c r="K181" s="23">
        <v>9.4</v>
      </c>
      <c r="L181" s="23">
        <v>9.4</v>
      </c>
      <c r="M181" s="23">
        <v>47</v>
      </c>
      <c r="N181" s="23">
        <v>0</v>
      </c>
      <c r="O181" s="24">
        <v>0.91220000000000001</v>
      </c>
    </row>
    <row r="182" spans="1:15" x14ac:dyDescent="0.25">
      <c r="A182" s="18" t="s">
        <v>176</v>
      </c>
      <c r="B182" s="22">
        <v>10.28</v>
      </c>
      <c r="C182" s="23">
        <v>10.28</v>
      </c>
      <c r="D182" s="23">
        <v>10.119999999999999</v>
      </c>
      <c r="E182" s="23">
        <v>10.119999999999999</v>
      </c>
      <c r="F182" s="23">
        <v>10.119999999999999</v>
      </c>
      <c r="G182" s="23">
        <v>10.119999999999999</v>
      </c>
      <c r="H182" s="23">
        <v>10.119999999999999</v>
      </c>
      <c r="I182" s="23">
        <v>10.28</v>
      </c>
      <c r="J182" s="23">
        <v>10.119999999999999</v>
      </c>
      <c r="K182" s="23">
        <v>10.119999999999999</v>
      </c>
      <c r="L182" s="23">
        <v>10.119999999999999</v>
      </c>
      <c r="M182" s="23">
        <v>45</v>
      </c>
      <c r="N182" s="23">
        <v>1.4</v>
      </c>
      <c r="O182" s="24">
        <v>0.81750000000000012</v>
      </c>
    </row>
    <row r="183" spans="1:15" x14ac:dyDescent="0.25">
      <c r="A183" s="18" t="s">
        <v>177</v>
      </c>
      <c r="B183" s="22">
        <v>9.8000000000000007</v>
      </c>
      <c r="C183" s="23">
        <v>9.8000000000000007</v>
      </c>
      <c r="D183" s="23">
        <v>9.8000000000000007</v>
      </c>
      <c r="E183" s="23">
        <v>9.8000000000000007</v>
      </c>
      <c r="F183" s="23">
        <v>9.8000000000000007</v>
      </c>
      <c r="G183" s="23">
        <v>9.9600000000000009</v>
      </c>
      <c r="H183" s="23">
        <v>9.8000000000000007</v>
      </c>
      <c r="I183" s="23">
        <v>9.8000000000000007</v>
      </c>
      <c r="J183" s="23">
        <v>10</v>
      </c>
      <c r="K183" s="23">
        <v>9.9600000000000009</v>
      </c>
      <c r="L183" s="23">
        <v>9.8000000000000007</v>
      </c>
      <c r="M183" s="23">
        <v>45</v>
      </c>
      <c r="N183" s="23">
        <v>1</v>
      </c>
      <c r="O183" s="24">
        <v>0.79310000000000003</v>
      </c>
    </row>
    <row r="184" spans="1:15" x14ac:dyDescent="0.25">
      <c r="A184" s="18" t="s">
        <v>178</v>
      </c>
      <c r="B184" s="22">
        <v>9.8000000000000007</v>
      </c>
      <c r="C184" s="23">
        <v>9.8000000000000007</v>
      </c>
      <c r="D184" s="23">
        <v>9.8000000000000007</v>
      </c>
      <c r="E184" s="23">
        <v>9.8000000000000007</v>
      </c>
      <c r="F184" s="23">
        <v>9.8000000000000007</v>
      </c>
      <c r="G184" s="23">
        <v>9.8000000000000007</v>
      </c>
      <c r="H184" s="23">
        <v>9.8000000000000007</v>
      </c>
      <c r="I184" s="23">
        <v>9.8000000000000007</v>
      </c>
      <c r="J184" s="23">
        <v>9.8000000000000007</v>
      </c>
      <c r="K184" s="23">
        <v>9.8000000000000007</v>
      </c>
      <c r="L184" s="23">
        <v>9.8000000000000007</v>
      </c>
      <c r="M184" s="23">
        <v>45</v>
      </c>
      <c r="N184" s="23">
        <v>1</v>
      </c>
      <c r="O184" s="24">
        <v>0.9647</v>
      </c>
    </row>
    <row r="185" spans="1:15" x14ac:dyDescent="0.25">
      <c r="A185" s="18" t="s">
        <v>179</v>
      </c>
      <c r="B185" s="22">
        <v>12.64</v>
      </c>
      <c r="C185" s="23">
        <v>12.64</v>
      </c>
      <c r="D185" s="23">
        <v>12.64</v>
      </c>
      <c r="E185" s="23">
        <v>12.64</v>
      </c>
      <c r="F185" s="23">
        <v>12.64</v>
      </c>
      <c r="G185" s="23">
        <v>12.64</v>
      </c>
      <c r="H185" s="23">
        <v>12.64</v>
      </c>
      <c r="I185" s="23">
        <v>12.8</v>
      </c>
      <c r="J185" s="23">
        <v>12.64</v>
      </c>
      <c r="K185" s="23">
        <v>12.64</v>
      </c>
      <c r="L185" s="23">
        <v>12.64</v>
      </c>
      <c r="M185" s="23">
        <v>48</v>
      </c>
      <c r="N185" s="23">
        <v>3.8</v>
      </c>
      <c r="O185" s="24">
        <v>0.85809999999999997</v>
      </c>
    </row>
    <row r="186" spans="1:15" x14ac:dyDescent="0.25">
      <c r="A186" s="18" t="s">
        <v>180</v>
      </c>
      <c r="B186" s="22">
        <v>11.8</v>
      </c>
      <c r="C186" s="23">
        <v>11.88</v>
      </c>
      <c r="D186" s="23">
        <v>11.8</v>
      </c>
      <c r="E186" s="23">
        <v>11.8</v>
      </c>
      <c r="F186" s="23">
        <v>11.88</v>
      </c>
      <c r="G186" s="23">
        <v>11.8</v>
      </c>
      <c r="H186" s="23">
        <v>11.8</v>
      </c>
      <c r="I186" s="23">
        <v>11.72</v>
      </c>
      <c r="J186" s="23">
        <v>11.72</v>
      </c>
      <c r="K186" s="23">
        <v>11.72</v>
      </c>
      <c r="L186" s="23">
        <v>11.72</v>
      </c>
      <c r="M186" s="23">
        <v>45</v>
      </c>
      <c r="N186" s="23">
        <v>3.4</v>
      </c>
      <c r="O186" s="24">
        <v>0.7914000000000001</v>
      </c>
    </row>
    <row r="187" spans="1:15" x14ac:dyDescent="0.25">
      <c r="A187" s="18" t="s">
        <v>181</v>
      </c>
      <c r="B187" s="22">
        <v>10.84</v>
      </c>
      <c r="C187" s="23">
        <v>10.8</v>
      </c>
      <c r="D187" s="23">
        <v>11.04</v>
      </c>
      <c r="E187" s="23">
        <v>11.04</v>
      </c>
      <c r="F187" s="23">
        <v>11</v>
      </c>
      <c r="G187" s="23">
        <v>10.88</v>
      </c>
      <c r="H187" s="23">
        <v>10.88</v>
      </c>
      <c r="I187" s="23">
        <v>11.04</v>
      </c>
      <c r="J187" s="23">
        <v>11</v>
      </c>
      <c r="K187" s="23">
        <v>10.88</v>
      </c>
      <c r="L187" s="23">
        <v>10.8</v>
      </c>
      <c r="M187" s="23">
        <v>46</v>
      </c>
      <c r="N187" s="23">
        <v>2</v>
      </c>
      <c r="O187" s="24">
        <v>0.873</v>
      </c>
    </row>
    <row r="188" spans="1:15" x14ac:dyDescent="0.25">
      <c r="A188" s="18" t="s">
        <v>182</v>
      </c>
      <c r="B188" s="22">
        <v>11.32</v>
      </c>
      <c r="C188" s="23">
        <v>11.32</v>
      </c>
      <c r="D188" s="23">
        <v>11.32</v>
      </c>
      <c r="E188" s="23">
        <v>11.32</v>
      </c>
      <c r="F188" s="23">
        <v>11.32</v>
      </c>
      <c r="G188" s="23">
        <v>11.32</v>
      </c>
      <c r="H188" s="23">
        <v>11.32</v>
      </c>
      <c r="I188" s="23">
        <v>11.32</v>
      </c>
      <c r="J188" s="23">
        <v>11.32</v>
      </c>
      <c r="K188" s="23">
        <v>11.32</v>
      </c>
      <c r="L188" s="23">
        <v>11.32</v>
      </c>
      <c r="M188" s="23">
        <v>51</v>
      </c>
      <c r="N188" s="23">
        <v>1.4</v>
      </c>
      <c r="O188" s="24">
        <v>1.2165999999999999</v>
      </c>
    </row>
    <row r="189" spans="1:15" x14ac:dyDescent="0.25">
      <c r="A189" s="18" t="s">
        <v>183</v>
      </c>
      <c r="B189" s="22">
        <v>10.88</v>
      </c>
      <c r="C189" s="23">
        <v>11.04</v>
      </c>
      <c r="D189" s="23">
        <v>11.04</v>
      </c>
      <c r="E189" s="23">
        <v>11.08</v>
      </c>
      <c r="F189" s="23">
        <v>11.04</v>
      </c>
      <c r="G189" s="23">
        <v>10.88</v>
      </c>
      <c r="H189" s="23">
        <v>11.08</v>
      </c>
      <c r="I189" s="23">
        <v>11.08</v>
      </c>
      <c r="J189" s="23">
        <v>11.08</v>
      </c>
      <c r="K189" s="23">
        <v>10.88</v>
      </c>
      <c r="L189" s="23">
        <v>10.88</v>
      </c>
      <c r="M189" s="23">
        <v>44</v>
      </c>
      <c r="N189" s="23">
        <v>2.6</v>
      </c>
      <c r="O189" s="24">
        <v>1.2048000000000001</v>
      </c>
    </row>
    <row r="190" spans="1:15" x14ac:dyDescent="0.25">
      <c r="A190" s="18" t="s">
        <v>184</v>
      </c>
      <c r="B190" s="22">
        <v>13.28</v>
      </c>
      <c r="C190" s="23">
        <v>12.96</v>
      </c>
      <c r="D190" s="23">
        <v>12.8</v>
      </c>
      <c r="E190" s="23">
        <v>12.8</v>
      </c>
      <c r="F190" s="23">
        <v>13.44</v>
      </c>
      <c r="G190" s="23">
        <v>13.44</v>
      </c>
      <c r="H190" s="23">
        <v>13.44</v>
      </c>
      <c r="I190" s="23">
        <v>13.44</v>
      </c>
      <c r="J190" s="23">
        <v>13.28</v>
      </c>
      <c r="K190" s="23">
        <v>13.6</v>
      </c>
      <c r="L190" s="23">
        <v>12.8</v>
      </c>
      <c r="M190" s="23">
        <v>48</v>
      </c>
      <c r="N190" s="23">
        <v>4</v>
      </c>
      <c r="O190" s="24">
        <v>9.4500000000000001E-2</v>
      </c>
    </row>
    <row r="191" spans="1:15" x14ac:dyDescent="0.25">
      <c r="A191" s="18" t="s">
        <v>185</v>
      </c>
      <c r="B191" s="22">
        <v>11.24</v>
      </c>
      <c r="C191" s="23">
        <v>11.4</v>
      </c>
      <c r="D191" s="23">
        <v>11.24</v>
      </c>
      <c r="E191" s="23">
        <v>11.4</v>
      </c>
      <c r="F191" s="23">
        <v>11.4</v>
      </c>
      <c r="G191" s="23">
        <v>11.4</v>
      </c>
      <c r="H191" s="23">
        <v>11.24</v>
      </c>
      <c r="I191" s="23">
        <v>11.4</v>
      </c>
      <c r="J191" s="23">
        <v>11.4</v>
      </c>
      <c r="K191" s="23">
        <v>11.4</v>
      </c>
      <c r="L191" s="23">
        <v>11.24</v>
      </c>
      <c r="M191" s="23">
        <v>49</v>
      </c>
      <c r="N191" s="23">
        <v>1.8</v>
      </c>
      <c r="O191" s="24">
        <v>9.9599999999999994E-2</v>
      </c>
    </row>
    <row r="192" spans="1:15" x14ac:dyDescent="0.25">
      <c r="A192" s="18" t="s">
        <v>186</v>
      </c>
      <c r="B192" s="22">
        <v>10.72</v>
      </c>
      <c r="C192" s="23">
        <v>10.68</v>
      </c>
      <c r="D192" s="23">
        <v>10.68</v>
      </c>
      <c r="E192" s="23">
        <v>10.84</v>
      </c>
      <c r="F192" s="23">
        <v>10.68</v>
      </c>
      <c r="G192" s="23">
        <v>10.84</v>
      </c>
      <c r="H192" s="23">
        <v>10.84</v>
      </c>
      <c r="I192" s="23">
        <v>10.72</v>
      </c>
      <c r="J192" s="23">
        <v>10.68</v>
      </c>
      <c r="K192" s="23">
        <v>10.84</v>
      </c>
      <c r="L192" s="23">
        <v>10.68</v>
      </c>
      <c r="M192" s="23">
        <v>43</v>
      </c>
      <c r="N192" s="23">
        <v>2.6</v>
      </c>
      <c r="O192" s="24">
        <v>8.8599999999999984E-2</v>
      </c>
    </row>
    <row r="193" spans="1:15" x14ac:dyDescent="0.25">
      <c r="A193" s="18" t="s">
        <v>187</v>
      </c>
      <c r="B193" s="22">
        <v>12.2</v>
      </c>
      <c r="C193" s="23">
        <v>12.04</v>
      </c>
      <c r="D193" s="23">
        <v>12.2</v>
      </c>
      <c r="E193" s="23">
        <v>12.36</v>
      </c>
      <c r="F193" s="23">
        <v>12.04</v>
      </c>
      <c r="G193" s="23">
        <v>12.04</v>
      </c>
      <c r="H193" s="23">
        <v>12.2</v>
      </c>
      <c r="I193" s="23">
        <v>12.04</v>
      </c>
      <c r="J193" s="23">
        <v>12.2</v>
      </c>
      <c r="K193" s="23">
        <v>12.04</v>
      </c>
      <c r="L193" s="23">
        <v>12.04</v>
      </c>
      <c r="M193" s="23">
        <v>49</v>
      </c>
      <c r="N193" s="23">
        <v>2.8</v>
      </c>
      <c r="O193" s="24">
        <v>9.7100000000000006E-2</v>
      </c>
    </row>
    <row r="194" spans="1:15" x14ac:dyDescent="0.25">
      <c r="A194" s="18" t="s">
        <v>188</v>
      </c>
      <c r="B194" s="22">
        <v>12.4</v>
      </c>
      <c r="C194" s="23">
        <v>12.4</v>
      </c>
      <c r="D194" s="23">
        <v>12.24</v>
      </c>
      <c r="E194" s="23">
        <v>12.24</v>
      </c>
      <c r="F194" s="23">
        <v>12.4</v>
      </c>
      <c r="G194" s="23">
        <v>12.24</v>
      </c>
      <c r="H194" s="23">
        <v>12.24</v>
      </c>
      <c r="I194" s="23">
        <v>12.24</v>
      </c>
      <c r="J194" s="23">
        <v>12.24</v>
      </c>
      <c r="K194" s="23">
        <v>12.4</v>
      </c>
      <c r="L194" s="23">
        <v>12.24</v>
      </c>
      <c r="M194" s="23">
        <v>58</v>
      </c>
      <c r="N194" s="23">
        <v>0.8</v>
      </c>
      <c r="O194" s="24">
        <v>0.10970000000000001</v>
      </c>
    </row>
    <row r="195" spans="1:15" x14ac:dyDescent="0.25">
      <c r="A195" s="18" t="s">
        <v>189</v>
      </c>
      <c r="B195" s="22">
        <v>11.84</v>
      </c>
      <c r="C195" s="23">
        <v>11.84</v>
      </c>
      <c r="D195" s="23">
        <v>11.84</v>
      </c>
      <c r="E195" s="23">
        <v>11.84</v>
      </c>
      <c r="F195" s="23">
        <v>11.64</v>
      </c>
      <c r="G195" s="23">
        <v>11.84</v>
      </c>
      <c r="H195" s="23">
        <v>11.64</v>
      </c>
      <c r="I195" s="23">
        <v>11.84</v>
      </c>
      <c r="J195" s="23">
        <v>11.84</v>
      </c>
      <c r="K195" s="23">
        <v>11.84</v>
      </c>
      <c r="L195" s="23">
        <v>11.64</v>
      </c>
      <c r="M195" s="23">
        <v>51</v>
      </c>
      <c r="N195" s="23">
        <v>1.8</v>
      </c>
      <c r="O195" s="24">
        <v>0.10009999999999999</v>
      </c>
    </row>
    <row r="196" spans="1:15" x14ac:dyDescent="0.25">
      <c r="A196" s="18" t="s">
        <v>190</v>
      </c>
      <c r="B196" s="22">
        <v>9.7200000000000006</v>
      </c>
      <c r="C196" s="23">
        <v>9.56</v>
      </c>
      <c r="D196" s="23">
        <v>9.56</v>
      </c>
      <c r="E196" s="23">
        <v>9.56</v>
      </c>
      <c r="F196" s="23">
        <v>9.7200000000000006</v>
      </c>
      <c r="G196" s="23">
        <v>9.7200000000000006</v>
      </c>
      <c r="H196" s="23">
        <v>9.56</v>
      </c>
      <c r="I196" s="23">
        <v>9.56</v>
      </c>
      <c r="J196" s="23">
        <v>9.7200000000000006</v>
      </c>
      <c r="K196" s="23">
        <v>9.56</v>
      </c>
      <c r="L196" s="23">
        <v>9.56</v>
      </c>
      <c r="M196" s="23">
        <v>47</v>
      </c>
      <c r="N196" s="23">
        <v>0.2</v>
      </c>
      <c r="O196" s="24">
        <v>9.2399999999999996E-2</v>
      </c>
    </row>
    <row r="197" spans="1:15" x14ac:dyDescent="0.25">
      <c r="A197" s="18" t="s">
        <v>191</v>
      </c>
      <c r="B197" s="22">
        <v>9.76</v>
      </c>
      <c r="C197" s="23">
        <v>9.76</v>
      </c>
      <c r="D197" s="23">
        <v>9.6</v>
      </c>
      <c r="E197" s="23">
        <v>9.8000000000000007</v>
      </c>
      <c r="F197" s="23">
        <v>9.6</v>
      </c>
      <c r="G197" s="23">
        <v>9.9600000000000009</v>
      </c>
      <c r="H197" s="23">
        <v>9.8000000000000007</v>
      </c>
      <c r="I197" s="23">
        <v>9.76</v>
      </c>
      <c r="J197" s="23">
        <v>9.76</v>
      </c>
      <c r="K197" s="23">
        <v>9.76</v>
      </c>
      <c r="L197" s="23">
        <v>9.6</v>
      </c>
      <c r="M197" s="23">
        <v>48</v>
      </c>
      <c r="N197" s="23">
        <v>0</v>
      </c>
      <c r="O197" s="24">
        <v>9.5199999999999993E-2</v>
      </c>
    </row>
    <row r="198" spans="1:15" x14ac:dyDescent="0.25">
      <c r="A198" s="18" t="s">
        <v>192</v>
      </c>
      <c r="B198" s="22">
        <v>9.1999999999999993</v>
      </c>
      <c r="C198" s="23">
        <v>9.1999999999999993</v>
      </c>
      <c r="D198" s="23">
        <v>9.1999999999999993</v>
      </c>
      <c r="E198" s="23">
        <v>9.1999999999999993</v>
      </c>
      <c r="F198" s="23">
        <v>9.1999999999999993</v>
      </c>
      <c r="G198" s="23">
        <v>9.1999999999999993</v>
      </c>
      <c r="H198" s="23">
        <v>9.1999999999999993</v>
      </c>
      <c r="I198" s="23">
        <v>9.1999999999999993</v>
      </c>
      <c r="J198" s="23">
        <v>9.1999999999999993</v>
      </c>
      <c r="K198" s="23">
        <v>9.1999999999999993</v>
      </c>
      <c r="L198" s="23">
        <v>9.1999999999999993</v>
      </c>
      <c r="M198" s="23">
        <v>46</v>
      </c>
      <c r="N198" s="23">
        <v>0</v>
      </c>
      <c r="O198" s="24">
        <v>9.3599999999999989E-2</v>
      </c>
    </row>
    <row r="199" spans="1:15" x14ac:dyDescent="0.25">
      <c r="A199" s="18" t="s">
        <v>193</v>
      </c>
      <c r="B199" s="22">
        <v>9.6</v>
      </c>
      <c r="C199" s="23">
        <v>9.6</v>
      </c>
      <c r="D199" s="23">
        <v>9.6</v>
      </c>
      <c r="E199" s="23">
        <v>9.6</v>
      </c>
      <c r="F199" s="23">
        <v>9.6</v>
      </c>
      <c r="G199" s="23">
        <v>9.6</v>
      </c>
      <c r="H199" s="23">
        <v>9.6</v>
      </c>
      <c r="I199" s="23">
        <v>9.6</v>
      </c>
      <c r="J199" s="23">
        <v>9.6</v>
      </c>
      <c r="K199" s="23">
        <v>9.6</v>
      </c>
      <c r="L199" s="23">
        <v>9.6</v>
      </c>
      <c r="M199" s="23">
        <v>48</v>
      </c>
      <c r="N199" s="23">
        <v>0</v>
      </c>
      <c r="O199" s="24">
        <v>9.5000000000000001E-2</v>
      </c>
    </row>
    <row r="200" spans="1:15" x14ac:dyDescent="0.25">
      <c r="A200" s="18" t="s">
        <v>194</v>
      </c>
      <c r="B200" s="22">
        <v>12.64</v>
      </c>
      <c r="C200" s="23">
        <v>12.64</v>
      </c>
      <c r="D200" s="23">
        <v>12.48</v>
      </c>
      <c r="E200" s="23">
        <v>12.64</v>
      </c>
      <c r="F200" s="23">
        <v>12.64</v>
      </c>
      <c r="G200" s="23">
        <v>12.48</v>
      </c>
      <c r="H200" s="23">
        <v>12.48</v>
      </c>
      <c r="I200" s="23">
        <v>12.64</v>
      </c>
      <c r="J200" s="23">
        <v>12.64</v>
      </c>
      <c r="K200" s="23">
        <v>12.48</v>
      </c>
      <c r="L200" s="23">
        <v>12.48</v>
      </c>
      <c r="M200" s="23">
        <v>44</v>
      </c>
      <c r="N200" s="23">
        <v>4.5999999999999996</v>
      </c>
      <c r="O200" s="24">
        <v>0.1047</v>
      </c>
    </row>
    <row r="201" spans="1:15" x14ac:dyDescent="0.25">
      <c r="A201" s="18" t="s">
        <v>195</v>
      </c>
      <c r="B201" s="22">
        <v>13.72</v>
      </c>
      <c r="C201" s="23">
        <v>13.88</v>
      </c>
      <c r="D201" s="23">
        <v>13.68</v>
      </c>
      <c r="E201" s="23">
        <v>13.68</v>
      </c>
      <c r="F201" s="23">
        <v>13.56</v>
      </c>
      <c r="G201" s="23">
        <v>13.88</v>
      </c>
      <c r="H201" s="23">
        <v>13.56</v>
      </c>
      <c r="I201" s="23">
        <v>13.56</v>
      </c>
      <c r="J201" s="23">
        <v>13.68</v>
      </c>
      <c r="K201" s="23">
        <v>13.68</v>
      </c>
      <c r="L201" s="23">
        <v>13.56</v>
      </c>
      <c r="M201" s="23">
        <v>47</v>
      </c>
      <c r="N201" s="23">
        <v>5.2</v>
      </c>
      <c r="O201" s="24">
        <v>0.1099</v>
      </c>
    </row>
    <row r="202" spans="1:15" x14ac:dyDescent="0.25">
      <c r="A202" s="18" t="s">
        <v>196</v>
      </c>
      <c r="B202" s="22">
        <v>9.8800000000000008</v>
      </c>
      <c r="C202" s="23">
        <v>9.8800000000000008</v>
      </c>
      <c r="D202" s="23">
        <v>9.8800000000000008</v>
      </c>
      <c r="E202" s="23">
        <v>9.7200000000000006</v>
      </c>
      <c r="F202" s="23">
        <v>9.8800000000000008</v>
      </c>
      <c r="G202" s="23">
        <v>9.8800000000000008</v>
      </c>
      <c r="H202" s="23">
        <v>9.84</v>
      </c>
      <c r="I202" s="23">
        <v>9.84</v>
      </c>
      <c r="J202" s="23">
        <v>9.8800000000000008</v>
      </c>
      <c r="K202" s="23">
        <v>10.039999999999999</v>
      </c>
      <c r="L202" s="23">
        <v>9.7200000000000006</v>
      </c>
      <c r="M202" s="23">
        <v>47</v>
      </c>
      <c r="N202" s="23">
        <v>0.4</v>
      </c>
      <c r="O202" s="24">
        <v>0.10970000000000001</v>
      </c>
    </row>
    <row r="203" spans="1:15" x14ac:dyDescent="0.25">
      <c r="A203" s="18" t="s">
        <v>197</v>
      </c>
      <c r="B203" s="22">
        <v>10.4</v>
      </c>
      <c r="C203" s="23">
        <v>10.4</v>
      </c>
      <c r="D203" s="23">
        <v>10.199999999999999</v>
      </c>
      <c r="E203" s="23">
        <v>10.4</v>
      </c>
      <c r="F203" s="23">
        <v>10.4</v>
      </c>
      <c r="G203" s="23">
        <v>10.4</v>
      </c>
      <c r="H203" s="23">
        <v>10.4</v>
      </c>
      <c r="I203" s="23">
        <v>10.4</v>
      </c>
      <c r="J203" s="23">
        <v>10.4</v>
      </c>
      <c r="K203" s="23">
        <v>10.4</v>
      </c>
      <c r="L203" s="23">
        <v>10.199999999999999</v>
      </c>
      <c r="M203" s="23">
        <v>51</v>
      </c>
      <c r="N203" s="23">
        <v>0</v>
      </c>
      <c r="O203" s="24">
        <v>0.11650000000000001</v>
      </c>
    </row>
    <row r="204" spans="1:15" x14ac:dyDescent="0.25">
      <c r="A204" s="18" t="s">
        <v>198</v>
      </c>
      <c r="B204" s="22">
        <v>9.9600000000000009</v>
      </c>
      <c r="C204" s="23">
        <v>10.24</v>
      </c>
      <c r="D204" s="23">
        <v>10.44</v>
      </c>
      <c r="E204" s="23">
        <v>10.44</v>
      </c>
      <c r="F204" s="23">
        <v>10.24</v>
      </c>
      <c r="G204" s="23">
        <v>10.24</v>
      </c>
      <c r="H204" s="23">
        <v>9.9600000000000009</v>
      </c>
      <c r="I204" s="23">
        <v>10.24</v>
      </c>
      <c r="J204" s="23">
        <v>9.9600000000000009</v>
      </c>
      <c r="K204" s="23">
        <v>10.44</v>
      </c>
      <c r="L204" s="23">
        <v>9.9600000000000009</v>
      </c>
      <c r="M204" s="23">
        <v>49</v>
      </c>
      <c r="N204" s="23">
        <v>0.2</v>
      </c>
      <c r="O204" s="24">
        <v>0.11119999999999999</v>
      </c>
    </row>
    <row r="205" spans="1:15" x14ac:dyDescent="0.25">
      <c r="A205" s="18" t="s">
        <v>199</v>
      </c>
      <c r="B205" s="22">
        <v>10.44</v>
      </c>
      <c r="C205" s="23">
        <v>10.28</v>
      </c>
      <c r="D205" s="23">
        <v>10.44</v>
      </c>
      <c r="E205" s="23">
        <v>10.28</v>
      </c>
      <c r="F205" s="23">
        <v>10.24</v>
      </c>
      <c r="G205" s="23">
        <v>9.9600000000000009</v>
      </c>
      <c r="H205" s="23">
        <v>10.28</v>
      </c>
      <c r="I205" s="23">
        <v>10.28</v>
      </c>
      <c r="J205" s="23">
        <v>10.28</v>
      </c>
      <c r="K205" s="23">
        <v>10.28</v>
      </c>
      <c r="L205" s="23">
        <v>9.9600000000000009</v>
      </c>
      <c r="M205" s="23">
        <v>45</v>
      </c>
      <c r="N205" s="23">
        <v>1.2</v>
      </c>
      <c r="O205" s="24">
        <v>0.10489999999999999</v>
      </c>
    </row>
    <row r="206" spans="1:15" x14ac:dyDescent="0.25">
      <c r="A206" s="18" t="s">
        <v>200</v>
      </c>
      <c r="B206" s="22">
        <v>12.12</v>
      </c>
      <c r="C206" s="23">
        <v>12.08</v>
      </c>
      <c r="D206" s="23">
        <v>11.92</v>
      </c>
      <c r="E206" s="23">
        <v>12.12</v>
      </c>
      <c r="F206" s="23">
        <v>11.96</v>
      </c>
      <c r="G206" s="23">
        <v>12.12</v>
      </c>
      <c r="H206" s="23">
        <v>11.96</v>
      </c>
      <c r="I206" s="23">
        <v>12.12</v>
      </c>
      <c r="J206" s="23">
        <v>12.12</v>
      </c>
      <c r="K206" s="23">
        <v>12.24</v>
      </c>
      <c r="L206" s="23">
        <v>11.92</v>
      </c>
      <c r="M206" s="23">
        <v>46</v>
      </c>
      <c r="N206" s="23">
        <v>3.4</v>
      </c>
      <c r="O206" s="24">
        <v>0.10879999999999999</v>
      </c>
    </row>
    <row r="207" spans="1:15" x14ac:dyDescent="0.25">
      <c r="A207" s="18" t="s">
        <v>201</v>
      </c>
      <c r="B207" s="22">
        <v>12.72</v>
      </c>
      <c r="C207" s="23">
        <v>12.88</v>
      </c>
      <c r="D207" s="23">
        <v>12.72</v>
      </c>
      <c r="E207" s="23">
        <v>12.88</v>
      </c>
      <c r="F207" s="23">
        <v>12.88</v>
      </c>
      <c r="G207" s="23">
        <v>12.72</v>
      </c>
      <c r="H207" s="23">
        <v>12.72</v>
      </c>
      <c r="I207" s="23">
        <v>12.56</v>
      </c>
      <c r="J207" s="23">
        <v>12.88</v>
      </c>
      <c r="K207" s="23">
        <v>12.88</v>
      </c>
      <c r="L207" s="23">
        <v>12.56</v>
      </c>
      <c r="M207" s="23">
        <v>54</v>
      </c>
      <c r="N207" s="23">
        <v>2.2000000000000002</v>
      </c>
      <c r="O207" s="24">
        <v>0.1206</v>
      </c>
    </row>
    <row r="208" spans="1:15" x14ac:dyDescent="0.25">
      <c r="A208" s="18" t="s">
        <v>202</v>
      </c>
      <c r="B208" s="22">
        <v>11.28</v>
      </c>
      <c r="C208" s="23">
        <v>11.28</v>
      </c>
      <c r="D208" s="23">
        <v>11.28</v>
      </c>
      <c r="E208" s="23">
        <v>11.28</v>
      </c>
      <c r="F208" s="23">
        <v>11.28</v>
      </c>
      <c r="G208" s="23">
        <v>11.28</v>
      </c>
      <c r="H208" s="23">
        <v>11.28</v>
      </c>
      <c r="I208" s="23">
        <v>11.28</v>
      </c>
      <c r="J208" s="23">
        <v>11.28</v>
      </c>
      <c r="K208" s="23">
        <v>11.28</v>
      </c>
      <c r="L208" s="23">
        <v>11.28</v>
      </c>
      <c r="M208" s="23">
        <v>46</v>
      </c>
      <c r="N208" s="23">
        <v>2.6</v>
      </c>
      <c r="O208" s="24">
        <v>0.108</v>
      </c>
    </row>
    <row r="209" spans="1:15" x14ac:dyDescent="0.25">
      <c r="A209" s="18" t="s">
        <v>203</v>
      </c>
      <c r="B209" s="22">
        <v>10.28</v>
      </c>
      <c r="C209" s="23">
        <v>10.32</v>
      </c>
      <c r="D209" s="23">
        <v>10.32</v>
      </c>
      <c r="E209" s="23">
        <v>10.32</v>
      </c>
      <c r="F209" s="23">
        <v>10.32</v>
      </c>
      <c r="G209" s="23">
        <v>10.32</v>
      </c>
      <c r="H209" s="23">
        <v>10.32</v>
      </c>
      <c r="I209" s="23">
        <v>10.28</v>
      </c>
      <c r="J209" s="23">
        <v>10.32</v>
      </c>
      <c r="K209" s="23">
        <v>10.32</v>
      </c>
      <c r="L209" s="23">
        <v>10.28</v>
      </c>
      <c r="M209" s="23">
        <v>45</v>
      </c>
      <c r="N209" s="23">
        <v>1.6</v>
      </c>
      <c r="O209" s="24">
        <v>0.10630000000000001</v>
      </c>
    </row>
    <row r="210" spans="1:15" x14ac:dyDescent="0.25">
      <c r="A210" s="18" t="s">
        <v>204</v>
      </c>
      <c r="B210" s="22">
        <v>16</v>
      </c>
      <c r="C210" s="23">
        <v>15.84</v>
      </c>
      <c r="D210" s="23">
        <v>15.84</v>
      </c>
      <c r="E210" s="23">
        <v>15.84</v>
      </c>
      <c r="F210" s="23">
        <v>15.68</v>
      </c>
      <c r="G210" s="23">
        <v>16.04</v>
      </c>
      <c r="H210" s="23">
        <v>15.84</v>
      </c>
      <c r="I210" s="23">
        <v>15.84</v>
      </c>
      <c r="J210" s="23">
        <v>16</v>
      </c>
      <c r="K210" s="23">
        <v>15.84</v>
      </c>
      <c r="L210" s="23">
        <v>15.68</v>
      </c>
      <c r="M210" s="23">
        <v>48</v>
      </c>
      <c r="N210" s="23">
        <v>7.6</v>
      </c>
      <c r="O210" s="24">
        <v>0.1168</v>
      </c>
    </row>
    <row r="211" spans="1:15" x14ac:dyDescent="0.25">
      <c r="A211" s="18" t="s">
        <v>205</v>
      </c>
      <c r="B211" s="22">
        <v>16.8</v>
      </c>
      <c r="C211" s="23">
        <v>17</v>
      </c>
      <c r="D211" s="23">
        <v>16.96</v>
      </c>
      <c r="E211" s="23">
        <v>16.96</v>
      </c>
      <c r="F211" s="23">
        <v>16.96</v>
      </c>
      <c r="G211" s="23">
        <v>16.8</v>
      </c>
      <c r="H211" s="23">
        <v>17</v>
      </c>
      <c r="I211" s="23">
        <v>17</v>
      </c>
      <c r="J211" s="23">
        <v>16.96</v>
      </c>
      <c r="K211" s="23">
        <v>16.96</v>
      </c>
      <c r="L211" s="23">
        <v>16.8</v>
      </c>
      <c r="M211" s="23">
        <v>48</v>
      </c>
      <c r="N211" s="23">
        <v>9</v>
      </c>
      <c r="O211" s="24">
        <v>0.1181</v>
      </c>
    </row>
    <row r="212" spans="1:15" x14ac:dyDescent="0.25">
      <c r="A212" s="18" t="s">
        <v>206</v>
      </c>
      <c r="B212" s="22">
        <v>10.36</v>
      </c>
      <c r="C212" s="23">
        <v>10.36</v>
      </c>
      <c r="D212" s="23">
        <v>10.36</v>
      </c>
      <c r="E212" s="23">
        <v>10.36</v>
      </c>
      <c r="F212" s="23">
        <v>10.36</v>
      </c>
      <c r="G212" s="23">
        <v>10.36</v>
      </c>
      <c r="H212" s="23">
        <v>10.36</v>
      </c>
      <c r="I212" s="23">
        <v>10.36</v>
      </c>
      <c r="J212" s="23">
        <v>10.36</v>
      </c>
      <c r="K212" s="23">
        <v>10.36</v>
      </c>
      <c r="L212" s="23">
        <v>10.36</v>
      </c>
      <c r="M212" s="23">
        <v>47</v>
      </c>
      <c r="N212" s="23">
        <v>1.2</v>
      </c>
      <c r="O212" s="24">
        <v>0.11360000000000001</v>
      </c>
    </row>
    <row r="213" spans="1:15" x14ac:dyDescent="0.25">
      <c r="A213" s="18" t="s">
        <v>207</v>
      </c>
      <c r="B213" s="22">
        <v>9.32</v>
      </c>
      <c r="C213" s="23">
        <v>9.48</v>
      </c>
      <c r="D213" s="23">
        <v>9.52</v>
      </c>
      <c r="E213" s="23">
        <v>9.48</v>
      </c>
      <c r="F213" s="23">
        <v>9.48</v>
      </c>
      <c r="G213" s="23">
        <v>9.48</v>
      </c>
      <c r="H213" s="23">
        <v>9.48</v>
      </c>
      <c r="I213" s="23">
        <v>9.48</v>
      </c>
      <c r="J213" s="23">
        <v>9.48</v>
      </c>
      <c r="K213" s="23">
        <v>9.32</v>
      </c>
      <c r="L213" s="23">
        <v>9.32</v>
      </c>
      <c r="M213" s="23">
        <v>45</v>
      </c>
      <c r="N213" s="23">
        <v>0.4</v>
      </c>
      <c r="O213" s="24">
        <v>0.1108</v>
      </c>
    </row>
    <row r="214" spans="1:15" x14ac:dyDescent="0.25">
      <c r="A214" s="18" t="s">
        <v>208</v>
      </c>
      <c r="B214" s="22">
        <v>12.96</v>
      </c>
      <c r="C214" s="23">
        <v>12.96</v>
      </c>
      <c r="D214" s="23">
        <v>12.96</v>
      </c>
      <c r="E214" s="23">
        <v>12.96</v>
      </c>
      <c r="F214" s="23">
        <v>12.96</v>
      </c>
      <c r="G214" s="23">
        <v>12.96</v>
      </c>
      <c r="H214" s="23">
        <v>12.96</v>
      </c>
      <c r="I214" s="23">
        <v>12.96</v>
      </c>
      <c r="J214" s="23">
        <v>12.96</v>
      </c>
      <c r="K214" s="23">
        <v>12.96</v>
      </c>
      <c r="L214" s="23">
        <v>12.96</v>
      </c>
      <c r="M214" s="23">
        <v>48</v>
      </c>
      <c r="N214" s="23">
        <v>4.2</v>
      </c>
      <c r="O214" s="24">
        <v>0.1147</v>
      </c>
    </row>
    <row r="215" spans="1:15" x14ac:dyDescent="0.25">
      <c r="A215" s="18" t="s">
        <v>209</v>
      </c>
      <c r="B215" s="22">
        <v>11.92</v>
      </c>
      <c r="C215" s="23">
        <v>11.88</v>
      </c>
      <c r="D215" s="23">
        <v>12.04</v>
      </c>
      <c r="E215" s="23">
        <v>11.88</v>
      </c>
      <c r="F215" s="23">
        <v>11.88</v>
      </c>
      <c r="G215" s="23">
        <v>11.76</v>
      </c>
      <c r="H215" s="23">
        <v>11.76</v>
      </c>
      <c r="I215" s="23">
        <v>12.2</v>
      </c>
      <c r="J215" s="23">
        <v>11.88</v>
      </c>
      <c r="K215" s="23">
        <v>11.92</v>
      </c>
      <c r="L215" s="23">
        <v>11.76</v>
      </c>
      <c r="M215" s="23">
        <v>46</v>
      </c>
      <c r="N215" s="23">
        <v>3.2</v>
      </c>
      <c r="O215" s="24">
        <v>0.1095</v>
      </c>
    </row>
    <row r="216" spans="1:15" x14ac:dyDescent="0.25">
      <c r="A216" s="18" t="s">
        <v>210</v>
      </c>
      <c r="B216" s="22">
        <v>12.32</v>
      </c>
      <c r="C216" s="23">
        <v>12</v>
      </c>
      <c r="D216" s="23">
        <v>12.32</v>
      </c>
      <c r="E216" s="23">
        <v>12.32</v>
      </c>
      <c r="F216" s="23">
        <v>12</v>
      </c>
      <c r="G216" s="23">
        <v>12</v>
      </c>
      <c r="H216" s="23">
        <v>12.16</v>
      </c>
      <c r="I216" s="23">
        <v>11.96</v>
      </c>
      <c r="J216" s="23">
        <v>12</v>
      </c>
      <c r="K216" s="23">
        <v>11.8</v>
      </c>
      <c r="L216" s="23">
        <v>11.8</v>
      </c>
      <c r="M216" s="23">
        <v>51</v>
      </c>
      <c r="N216" s="23">
        <v>2</v>
      </c>
      <c r="O216" s="24">
        <v>0.13780000000000001</v>
      </c>
    </row>
    <row r="217" spans="1:15" x14ac:dyDescent="0.25">
      <c r="A217" s="18" t="s">
        <v>211</v>
      </c>
      <c r="B217" s="22">
        <v>15.48</v>
      </c>
      <c r="C217" s="23">
        <v>15.48</v>
      </c>
      <c r="D217" s="23">
        <v>15.44</v>
      </c>
      <c r="E217" s="23">
        <v>15.48</v>
      </c>
      <c r="F217" s="23">
        <v>15.48</v>
      </c>
      <c r="G217" s="23">
        <v>15.48</v>
      </c>
      <c r="H217" s="23">
        <v>15.44</v>
      </c>
      <c r="I217" s="23">
        <v>15.44</v>
      </c>
      <c r="J217" s="23">
        <v>15.44</v>
      </c>
      <c r="K217" s="23">
        <v>15.44</v>
      </c>
      <c r="L217" s="23">
        <v>15.44</v>
      </c>
      <c r="M217" s="23">
        <v>54</v>
      </c>
      <c r="N217" s="23">
        <v>5.8</v>
      </c>
      <c r="O217" s="24">
        <v>0.13009999999999999</v>
      </c>
    </row>
    <row r="218" spans="1:15" x14ac:dyDescent="0.25">
      <c r="A218" s="18" t="s">
        <v>212</v>
      </c>
      <c r="B218" s="22">
        <v>10.56</v>
      </c>
      <c r="C218" s="23">
        <v>10.56</v>
      </c>
      <c r="D218" s="23">
        <v>10.56</v>
      </c>
      <c r="E218" s="23">
        <v>10.56</v>
      </c>
      <c r="F218" s="23">
        <v>10.56</v>
      </c>
      <c r="G218" s="23">
        <v>10.56</v>
      </c>
      <c r="H218" s="23">
        <v>10.56</v>
      </c>
      <c r="I218" s="23">
        <v>10.56</v>
      </c>
      <c r="J218" s="23">
        <v>10.56</v>
      </c>
      <c r="K218" s="23">
        <v>10.52</v>
      </c>
      <c r="L218" s="23">
        <v>10.52</v>
      </c>
      <c r="M218" s="23">
        <v>43</v>
      </c>
      <c r="N218" s="23">
        <v>2.4</v>
      </c>
      <c r="O218" s="24">
        <v>0.1045</v>
      </c>
    </row>
    <row r="219" spans="1:15" x14ac:dyDescent="0.25">
      <c r="A219" s="18" t="s">
        <v>213</v>
      </c>
      <c r="B219" s="22">
        <v>11.36</v>
      </c>
      <c r="C219" s="23">
        <v>11.36</v>
      </c>
      <c r="D219" s="23">
        <v>11.36</v>
      </c>
      <c r="E219" s="23">
        <v>11.36</v>
      </c>
      <c r="F219" s="23">
        <v>11.36</v>
      </c>
      <c r="G219" s="23">
        <v>11.36</v>
      </c>
      <c r="H219" s="23">
        <v>11.36</v>
      </c>
      <c r="I219" s="23">
        <v>11.36</v>
      </c>
      <c r="J219" s="23">
        <v>11.36</v>
      </c>
      <c r="K219" s="23">
        <v>11.36</v>
      </c>
      <c r="L219" s="23">
        <v>11.36</v>
      </c>
      <c r="M219" s="23">
        <v>48</v>
      </c>
      <c r="N219" s="23">
        <v>2.2000000000000002</v>
      </c>
      <c r="O219" s="24">
        <v>0.11219999999999999</v>
      </c>
    </row>
    <row r="220" spans="1:15" x14ac:dyDescent="0.25">
      <c r="A220" s="18" t="s">
        <v>214</v>
      </c>
      <c r="B220" s="22">
        <v>13.8</v>
      </c>
      <c r="C220" s="23">
        <v>13.8</v>
      </c>
      <c r="D220" s="23">
        <v>13.8</v>
      </c>
      <c r="E220" s="23">
        <v>13.8</v>
      </c>
      <c r="F220" s="23">
        <v>13.8</v>
      </c>
      <c r="G220" s="23">
        <v>13.8</v>
      </c>
      <c r="H220" s="23">
        <v>13.8</v>
      </c>
      <c r="I220" s="23">
        <v>13.8</v>
      </c>
      <c r="J220" s="23">
        <v>13.8</v>
      </c>
      <c r="K220" s="23">
        <v>13.8</v>
      </c>
      <c r="L220" s="23">
        <v>13.8</v>
      </c>
      <c r="M220" s="23">
        <v>57</v>
      </c>
      <c r="N220" s="23">
        <v>3</v>
      </c>
      <c r="O220" s="24">
        <v>0.15260000000000001</v>
      </c>
    </row>
    <row r="221" spans="1:15" x14ac:dyDescent="0.25">
      <c r="A221" s="18" t="s">
        <v>215</v>
      </c>
      <c r="B221" s="22">
        <v>12.6</v>
      </c>
      <c r="C221" s="23">
        <v>12.12</v>
      </c>
      <c r="D221" s="23">
        <v>12.64</v>
      </c>
      <c r="E221" s="23">
        <v>12.48</v>
      </c>
      <c r="F221" s="23">
        <v>12.12</v>
      </c>
      <c r="G221" s="23">
        <v>12.64</v>
      </c>
      <c r="H221" s="23">
        <v>12.12</v>
      </c>
      <c r="I221" s="23">
        <v>12.64</v>
      </c>
      <c r="J221" s="23">
        <v>11.96</v>
      </c>
      <c r="K221" s="23">
        <v>11.96</v>
      </c>
      <c r="L221" s="23">
        <v>11.96</v>
      </c>
      <c r="M221" s="23">
        <v>47</v>
      </c>
      <c r="N221" s="23">
        <v>3.2</v>
      </c>
      <c r="O221" s="24">
        <v>0.1346</v>
      </c>
    </row>
    <row r="222" spans="1:15" x14ac:dyDescent="0.25">
      <c r="A222" s="18" t="s">
        <v>216</v>
      </c>
      <c r="B222" s="22">
        <v>12.2</v>
      </c>
      <c r="C222" s="23">
        <v>12.2</v>
      </c>
      <c r="D222" s="23">
        <v>12.2</v>
      </c>
      <c r="E222" s="23">
        <v>12.2</v>
      </c>
      <c r="F222" s="23">
        <v>12.2</v>
      </c>
      <c r="G222" s="23">
        <v>12.2</v>
      </c>
      <c r="H222" s="23">
        <v>12.2</v>
      </c>
      <c r="I222" s="23">
        <v>12.2</v>
      </c>
      <c r="J222" s="23">
        <v>12.2</v>
      </c>
      <c r="K222" s="23">
        <v>12.2</v>
      </c>
      <c r="L222" s="23">
        <v>12.2</v>
      </c>
      <c r="M222" s="23">
        <v>45</v>
      </c>
      <c r="N222" s="23">
        <v>4</v>
      </c>
      <c r="O222" s="24">
        <v>0.12770000000000001</v>
      </c>
    </row>
    <row r="223" spans="1:15" x14ac:dyDescent="0.25">
      <c r="A223" s="18" t="s">
        <v>217</v>
      </c>
      <c r="B223" s="22">
        <v>10.28</v>
      </c>
      <c r="C223" s="23">
        <v>10.28</v>
      </c>
      <c r="D223" s="23">
        <v>10.28</v>
      </c>
      <c r="E223" s="23">
        <v>10.28</v>
      </c>
      <c r="F223" s="23">
        <v>10.28</v>
      </c>
      <c r="G223" s="23">
        <v>10.28</v>
      </c>
      <c r="H223" s="23">
        <v>10.28</v>
      </c>
      <c r="I223" s="23">
        <v>10.28</v>
      </c>
      <c r="J223" s="23">
        <v>10.28</v>
      </c>
      <c r="K223" s="23">
        <v>10.28</v>
      </c>
      <c r="L223" s="23">
        <v>10.28</v>
      </c>
      <c r="M223" s="23">
        <v>45</v>
      </c>
      <c r="N223" s="23">
        <v>1.6</v>
      </c>
      <c r="O223" s="24">
        <v>0.1303</v>
      </c>
    </row>
    <row r="224" spans="1:15" x14ac:dyDescent="0.25">
      <c r="A224" s="18" t="s">
        <v>218</v>
      </c>
      <c r="B224" s="22">
        <v>11.48</v>
      </c>
      <c r="C224" s="23">
        <v>11.48</v>
      </c>
      <c r="D224" s="23">
        <v>11.48</v>
      </c>
      <c r="E224" s="23">
        <v>11.48</v>
      </c>
      <c r="F224" s="23">
        <v>11.48</v>
      </c>
      <c r="G224" s="23">
        <v>11.48</v>
      </c>
      <c r="H224" s="23">
        <v>11.48</v>
      </c>
      <c r="I224" s="23">
        <v>11.48</v>
      </c>
      <c r="J224" s="23">
        <v>11.48</v>
      </c>
      <c r="K224" s="23">
        <v>11.48</v>
      </c>
      <c r="L224" s="23">
        <v>11.48</v>
      </c>
      <c r="M224" s="23">
        <v>51</v>
      </c>
      <c r="N224" s="23">
        <v>1.6</v>
      </c>
      <c r="O224" s="24">
        <v>0.14030000000000001</v>
      </c>
    </row>
    <row r="225" spans="1:15" x14ac:dyDescent="0.25">
      <c r="A225" s="18" t="s">
        <v>219</v>
      </c>
      <c r="B225" s="22">
        <v>13.12</v>
      </c>
      <c r="C225" s="23">
        <v>12.96</v>
      </c>
      <c r="D225" s="23">
        <v>13</v>
      </c>
      <c r="E225" s="23">
        <v>12.8</v>
      </c>
      <c r="F225" s="23">
        <v>13</v>
      </c>
      <c r="G225" s="23">
        <v>12.96</v>
      </c>
      <c r="H225" s="23">
        <v>13.16</v>
      </c>
      <c r="I225" s="23">
        <v>12.84</v>
      </c>
      <c r="J225" s="23">
        <v>12.8</v>
      </c>
      <c r="K225" s="23">
        <v>12.84</v>
      </c>
      <c r="L225" s="23">
        <v>12.8</v>
      </c>
      <c r="M225" s="23">
        <v>48</v>
      </c>
      <c r="N225" s="23">
        <v>4</v>
      </c>
      <c r="O225" s="24">
        <v>0.1368</v>
      </c>
    </row>
    <row r="226" spans="1:15" x14ac:dyDescent="0.25">
      <c r="A226" s="18" t="s">
        <v>220</v>
      </c>
      <c r="B226" s="22">
        <v>9.68</v>
      </c>
      <c r="C226" s="23">
        <v>9.68</v>
      </c>
      <c r="D226" s="23">
        <v>9.68</v>
      </c>
      <c r="E226" s="23">
        <v>9.52</v>
      </c>
      <c r="F226" s="23">
        <v>9.52</v>
      </c>
      <c r="G226" s="23">
        <v>9.68</v>
      </c>
      <c r="H226" s="23">
        <v>9.68</v>
      </c>
      <c r="I226" s="23">
        <v>9.68</v>
      </c>
      <c r="J226" s="23">
        <v>9.68</v>
      </c>
      <c r="K226" s="23">
        <v>9.68</v>
      </c>
      <c r="L226" s="23">
        <v>9.52</v>
      </c>
      <c r="M226" s="23">
        <v>46</v>
      </c>
      <c r="N226" s="23">
        <v>0.4</v>
      </c>
      <c r="O226" s="24">
        <v>0.13109999999999999</v>
      </c>
    </row>
    <row r="227" spans="1:15" x14ac:dyDescent="0.25">
      <c r="A227" s="18" t="s">
        <v>221</v>
      </c>
      <c r="B227" s="22">
        <v>10.56</v>
      </c>
      <c r="C227" s="23">
        <v>10.56</v>
      </c>
      <c r="D227" s="23">
        <v>10.56</v>
      </c>
      <c r="E227" s="23">
        <v>10.56</v>
      </c>
      <c r="F227" s="23">
        <v>10.56</v>
      </c>
      <c r="G227" s="23">
        <v>10.56</v>
      </c>
      <c r="H227" s="23">
        <v>10.52</v>
      </c>
      <c r="I227" s="23">
        <v>10.56</v>
      </c>
      <c r="J227" s="23">
        <v>10.56</v>
      </c>
      <c r="K227" s="23">
        <v>10.56</v>
      </c>
      <c r="L227" s="23">
        <v>10.52</v>
      </c>
      <c r="M227" s="23">
        <v>47</v>
      </c>
      <c r="N227" s="23">
        <v>1.4</v>
      </c>
      <c r="O227" s="24">
        <v>0.1338</v>
      </c>
    </row>
    <row r="228" spans="1:15" x14ac:dyDescent="0.25">
      <c r="A228" s="18" t="s">
        <v>222</v>
      </c>
      <c r="B228" s="22">
        <v>10.6</v>
      </c>
      <c r="C228" s="23">
        <v>10.6</v>
      </c>
      <c r="D228" s="23">
        <v>10.56</v>
      </c>
      <c r="E228" s="23">
        <v>10.6</v>
      </c>
      <c r="F228" s="23">
        <v>10.6</v>
      </c>
      <c r="G228" s="23">
        <v>10.6</v>
      </c>
      <c r="H228" s="23">
        <v>10.6</v>
      </c>
      <c r="I228" s="23">
        <v>10.56</v>
      </c>
      <c r="J228" s="23">
        <v>10.56</v>
      </c>
      <c r="K228" s="23">
        <v>10.56</v>
      </c>
      <c r="L228" s="23">
        <v>10.56</v>
      </c>
      <c r="M228" s="23">
        <v>48</v>
      </c>
      <c r="N228" s="23">
        <v>1.2</v>
      </c>
      <c r="O228" s="24">
        <v>0.13639999999999999</v>
      </c>
    </row>
    <row r="229" spans="1:15" x14ac:dyDescent="0.25">
      <c r="A229" s="18" t="s">
        <v>223</v>
      </c>
      <c r="B229" s="22">
        <v>9.52</v>
      </c>
      <c r="C229" s="23">
        <v>9.36</v>
      </c>
      <c r="D229" s="23">
        <v>9.36</v>
      </c>
      <c r="E229" s="23">
        <v>9.36</v>
      </c>
      <c r="F229" s="23">
        <v>9.36</v>
      </c>
      <c r="G229" s="23">
        <v>9.36</v>
      </c>
      <c r="H229" s="23">
        <v>9.52</v>
      </c>
      <c r="I229" s="23">
        <v>9.36</v>
      </c>
      <c r="J229" s="23">
        <v>9.36</v>
      </c>
      <c r="K229" s="23">
        <v>9.36</v>
      </c>
      <c r="L229" s="23">
        <v>9.36</v>
      </c>
      <c r="M229" s="23">
        <v>46</v>
      </c>
      <c r="N229" s="23">
        <v>0.2</v>
      </c>
      <c r="O229" s="24">
        <v>0.12909999999999999</v>
      </c>
    </row>
    <row r="230" spans="1:15" x14ac:dyDescent="0.25">
      <c r="A230" s="18" t="s">
        <v>224</v>
      </c>
      <c r="B230" s="22">
        <v>12.48</v>
      </c>
      <c r="C230" s="23">
        <v>12.44</v>
      </c>
      <c r="D230" s="23">
        <v>12.48</v>
      </c>
      <c r="E230" s="23">
        <v>12.48</v>
      </c>
      <c r="F230" s="23">
        <v>12.48</v>
      </c>
      <c r="G230" s="23">
        <v>12.48</v>
      </c>
      <c r="H230" s="23">
        <v>12.44</v>
      </c>
      <c r="I230" s="23">
        <v>12.48</v>
      </c>
      <c r="J230" s="23">
        <v>12.48</v>
      </c>
      <c r="K230" s="23">
        <v>12.48</v>
      </c>
      <c r="L230" s="23">
        <v>12.44</v>
      </c>
      <c r="M230" s="23">
        <v>47</v>
      </c>
      <c r="N230" s="23">
        <v>3.8</v>
      </c>
      <c r="O230" s="24">
        <v>0.16900000000000001</v>
      </c>
    </row>
    <row r="231" spans="1:15" x14ac:dyDescent="0.25">
      <c r="A231" s="18" t="s">
        <v>225</v>
      </c>
      <c r="B231" s="22">
        <v>14.48</v>
      </c>
      <c r="C231" s="23">
        <v>14</v>
      </c>
      <c r="D231" s="23">
        <v>14.32</v>
      </c>
      <c r="E231" s="23">
        <v>14.48</v>
      </c>
      <c r="F231" s="23">
        <v>14.32</v>
      </c>
      <c r="G231" s="23">
        <v>14.32</v>
      </c>
      <c r="H231" s="23">
        <v>14.32</v>
      </c>
      <c r="I231" s="23">
        <v>14.64</v>
      </c>
      <c r="J231" s="23">
        <v>14.32</v>
      </c>
      <c r="K231" s="23">
        <v>14.64</v>
      </c>
      <c r="L231" s="23">
        <v>14</v>
      </c>
      <c r="M231" s="23">
        <v>50</v>
      </c>
      <c r="N231" s="23">
        <v>5</v>
      </c>
      <c r="O231" s="24">
        <v>0.2316</v>
      </c>
    </row>
    <row r="232" spans="1:15" x14ac:dyDescent="0.25">
      <c r="A232" s="18" t="s">
        <v>226</v>
      </c>
      <c r="B232" s="22">
        <v>11</v>
      </c>
      <c r="C232" s="23">
        <v>11</v>
      </c>
      <c r="D232" s="23">
        <v>11</v>
      </c>
      <c r="E232" s="23">
        <v>11.16</v>
      </c>
      <c r="F232" s="23">
        <v>11</v>
      </c>
      <c r="G232" s="23">
        <v>11</v>
      </c>
      <c r="H232" s="23">
        <v>11</v>
      </c>
      <c r="I232" s="23">
        <v>11.12</v>
      </c>
      <c r="J232" s="23">
        <v>11</v>
      </c>
      <c r="K232" s="23">
        <v>11</v>
      </c>
      <c r="L232" s="23">
        <v>11</v>
      </c>
      <c r="M232" s="23">
        <v>47</v>
      </c>
      <c r="N232" s="23">
        <v>2</v>
      </c>
      <c r="O232" s="24">
        <v>0.16719999999999999</v>
      </c>
    </row>
    <row r="233" spans="1:15" x14ac:dyDescent="0.25">
      <c r="A233" s="18" t="s">
        <v>227</v>
      </c>
      <c r="B233" s="22">
        <v>10.96</v>
      </c>
      <c r="C233" s="23">
        <v>10.76</v>
      </c>
      <c r="D233" s="23">
        <v>10.96</v>
      </c>
      <c r="E233" s="23">
        <v>10.96</v>
      </c>
      <c r="F233" s="23">
        <v>10.96</v>
      </c>
      <c r="G233" s="23">
        <v>10.92</v>
      </c>
      <c r="H233" s="23">
        <v>10.92</v>
      </c>
      <c r="I233" s="23">
        <v>10.96</v>
      </c>
      <c r="J233" s="23">
        <v>10.76</v>
      </c>
      <c r="K233" s="23">
        <v>10.76</v>
      </c>
      <c r="L233" s="23">
        <v>10.76</v>
      </c>
      <c r="M233" s="23">
        <v>45</v>
      </c>
      <c r="N233" s="23">
        <v>2.2000000000000002</v>
      </c>
      <c r="O233" s="24">
        <v>0.16259999999999999</v>
      </c>
    </row>
    <row r="234" spans="1:15" x14ac:dyDescent="0.25">
      <c r="A234" s="18" t="s">
        <v>228</v>
      </c>
      <c r="B234" s="22">
        <v>11.04</v>
      </c>
      <c r="C234" s="23">
        <v>11.04</v>
      </c>
      <c r="D234" s="23">
        <v>11.04</v>
      </c>
      <c r="E234" s="23">
        <v>11.04</v>
      </c>
      <c r="F234" s="23">
        <v>11.04</v>
      </c>
      <c r="G234" s="23">
        <v>11.04</v>
      </c>
      <c r="H234" s="23">
        <v>11.04</v>
      </c>
      <c r="I234" s="23">
        <v>11.04</v>
      </c>
      <c r="J234" s="23">
        <v>11.04</v>
      </c>
      <c r="K234" s="23">
        <v>11.04</v>
      </c>
      <c r="L234" s="23">
        <v>11.04</v>
      </c>
      <c r="M234" s="23">
        <v>48</v>
      </c>
      <c r="N234" s="23">
        <v>1.8</v>
      </c>
      <c r="O234" s="24">
        <v>0.16919999999999999</v>
      </c>
    </row>
    <row r="235" spans="1:15" x14ac:dyDescent="0.25">
      <c r="A235" s="18" t="s">
        <v>229</v>
      </c>
      <c r="B235" s="22">
        <v>15.32</v>
      </c>
      <c r="C235" s="23">
        <v>15.16</v>
      </c>
      <c r="D235" s="23">
        <v>15.28</v>
      </c>
      <c r="E235" s="23">
        <v>15.32</v>
      </c>
      <c r="F235" s="23">
        <v>15.16</v>
      </c>
      <c r="G235" s="23">
        <v>15.16</v>
      </c>
      <c r="H235" s="23">
        <v>15.16</v>
      </c>
      <c r="I235" s="23">
        <v>15.32</v>
      </c>
      <c r="J235" s="23">
        <v>15.16</v>
      </c>
      <c r="K235" s="23">
        <v>15.16</v>
      </c>
      <c r="L235" s="23">
        <v>15.16</v>
      </c>
      <c r="M235" s="23">
        <v>55</v>
      </c>
      <c r="N235" s="23">
        <v>5.2</v>
      </c>
      <c r="O235" s="24">
        <v>0.1867</v>
      </c>
    </row>
    <row r="236" spans="1:15" x14ac:dyDescent="0.25">
      <c r="A236" s="18" t="s">
        <v>230</v>
      </c>
      <c r="B236" s="22">
        <v>13.12</v>
      </c>
      <c r="C236" s="23">
        <v>13.12</v>
      </c>
      <c r="D236" s="23">
        <v>13.12</v>
      </c>
      <c r="E236" s="23">
        <v>13.12</v>
      </c>
      <c r="F236" s="23">
        <v>13.12</v>
      </c>
      <c r="G236" s="23">
        <v>13.12</v>
      </c>
      <c r="H236" s="23">
        <v>13.12</v>
      </c>
      <c r="I236" s="23">
        <v>13.12</v>
      </c>
      <c r="J236" s="23">
        <v>13.12</v>
      </c>
      <c r="K236" s="23">
        <v>13.12</v>
      </c>
      <c r="L236" s="23">
        <v>13.12</v>
      </c>
      <c r="M236" s="23">
        <v>52</v>
      </c>
      <c r="N236" s="23">
        <v>3.4</v>
      </c>
      <c r="O236" s="24">
        <v>0.18479999999999999</v>
      </c>
    </row>
    <row r="237" spans="1:15" x14ac:dyDescent="0.25">
      <c r="A237" s="18" t="s">
        <v>231</v>
      </c>
      <c r="B237" s="22">
        <v>13.6</v>
      </c>
      <c r="C237" s="23">
        <v>13.44</v>
      </c>
      <c r="D237" s="23">
        <v>13.6</v>
      </c>
      <c r="E237" s="23">
        <v>13.44</v>
      </c>
      <c r="F237" s="23">
        <v>13.6</v>
      </c>
      <c r="G237" s="23">
        <v>13.44</v>
      </c>
      <c r="H237" s="23">
        <v>13.44</v>
      </c>
      <c r="I237" s="23">
        <v>13.56</v>
      </c>
      <c r="J237" s="23">
        <v>13.6</v>
      </c>
      <c r="K237" s="23">
        <v>13.6</v>
      </c>
      <c r="L237" s="23">
        <v>13.44</v>
      </c>
      <c r="M237" s="23">
        <v>48</v>
      </c>
      <c r="N237" s="23">
        <v>4.8</v>
      </c>
      <c r="O237" s="24">
        <v>0.16880000000000001</v>
      </c>
    </row>
    <row r="238" spans="1:15" x14ac:dyDescent="0.25">
      <c r="A238" s="18" t="s">
        <v>232</v>
      </c>
      <c r="B238" s="22">
        <v>12.84</v>
      </c>
      <c r="C238" s="23">
        <v>12.84</v>
      </c>
      <c r="D238" s="23">
        <v>12.84</v>
      </c>
      <c r="E238" s="23">
        <v>12.84</v>
      </c>
      <c r="F238" s="23">
        <v>12.8</v>
      </c>
      <c r="G238" s="23">
        <v>12.84</v>
      </c>
      <c r="H238" s="23">
        <v>12.84</v>
      </c>
      <c r="I238" s="23">
        <v>12.8</v>
      </c>
      <c r="J238" s="23">
        <v>12.84</v>
      </c>
      <c r="K238" s="23">
        <v>12.64</v>
      </c>
      <c r="L238" s="23">
        <v>12.64</v>
      </c>
      <c r="M238" s="23">
        <v>52</v>
      </c>
      <c r="N238" s="23">
        <v>2.8</v>
      </c>
      <c r="O238" s="24">
        <v>0.18479999999999999</v>
      </c>
    </row>
    <row r="239" spans="1:15" x14ac:dyDescent="0.25">
      <c r="A239" s="18" t="s">
        <v>233</v>
      </c>
      <c r="B239" s="22">
        <v>15.28</v>
      </c>
      <c r="C239" s="23">
        <v>15.4</v>
      </c>
      <c r="D239" s="23">
        <v>15.28</v>
      </c>
      <c r="E239" s="23">
        <v>15.28</v>
      </c>
      <c r="F239" s="23">
        <v>15.44</v>
      </c>
      <c r="G239" s="23">
        <v>15.44</v>
      </c>
      <c r="H239" s="23">
        <v>15.28</v>
      </c>
      <c r="I239" s="23">
        <v>15.28</v>
      </c>
      <c r="J239" s="23">
        <v>15.44</v>
      </c>
      <c r="K239" s="23">
        <v>15.28</v>
      </c>
      <c r="L239" s="23">
        <v>15.28</v>
      </c>
      <c r="M239" s="23">
        <v>58</v>
      </c>
      <c r="N239" s="23">
        <v>4.5999999999999996</v>
      </c>
      <c r="O239" s="24">
        <v>0.19489999999999999</v>
      </c>
    </row>
    <row r="240" spans="1:15" x14ac:dyDescent="0.25">
      <c r="A240" s="18" t="s">
        <v>234</v>
      </c>
      <c r="B240" s="22">
        <v>11</v>
      </c>
      <c r="C240" s="23">
        <v>11</v>
      </c>
      <c r="D240" s="23">
        <v>11</v>
      </c>
      <c r="E240" s="23">
        <v>11</v>
      </c>
      <c r="F240" s="23">
        <v>10.96</v>
      </c>
      <c r="G240" s="23">
        <v>11</v>
      </c>
      <c r="H240" s="23">
        <v>11</v>
      </c>
      <c r="I240" s="23">
        <v>11</v>
      </c>
      <c r="J240" s="23">
        <v>11</v>
      </c>
      <c r="K240" s="23">
        <v>11</v>
      </c>
      <c r="L240" s="23">
        <v>10.96</v>
      </c>
      <c r="M240" s="23">
        <v>46</v>
      </c>
      <c r="N240" s="23">
        <v>2.2000000000000002</v>
      </c>
      <c r="O240" s="24">
        <v>0.2676</v>
      </c>
    </row>
    <row r="241" spans="1:15" x14ac:dyDescent="0.25">
      <c r="A241" s="18" t="s">
        <v>235</v>
      </c>
      <c r="B241" s="22">
        <v>10.56</v>
      </c>
      <c r="C241" s="23">
        <v>10.88</v>
      </c>
      <c r="D241" s="23">
        <v>10.88</v>
      </c>
      <c r="E241" s="23">
        <v>10.88</v>
      </c>
      <c r="F241" s="23">
        <v>10.88</v>
      </c>
      <c r="G241" s="23">
        <v>10.88</v>
      </c>
      <c r="H241" s="23">
        <v>10.88</v>
      </c>
      <c r="I241" s="23">
        <v>10.68</v>
      </c>
      <c r="J241" s="23">
        <v>10.72</v>
      </c>
      <c r="K241" s="23">
        <v>10.88</v>
      </c>
      <c r="L241" s="23">
        <v>10.56</v>
      </c>
      <c r="M241" s="23">
        <v>44</v>
      </c>
      <c r="N241" s="23">
        <v>2.2000000000000002</v>
      </c>
      <c r="O241" s="24">
        <v>0.25119999999999998</v>
      </c>
    </row>
    <row r="242" spans="1:15" x14ac:dyDescent="0.25">
      <c r="A242" s="18" t="s">
        <v>236</v>
      </c>
      <c r="B242" s="22">
        <v>14.36</v>
      </c>
      <c r="C242" s="23">
        <v>14.36</v>
      </c>
      <c r="D242" s="23">
        <v>14.24</v>
      </c>
      <c r="E242" s="23">
        <v>14.52</v>
      </c>
      <c r="F242" s="23">
        <v>14.52</v>
      </c>
      <c r="G242" s="23">
        <v>14.36</v>
      </c>
      <c r="H242" s="23">
        <v>14.24</v>
      </c>
      <c r="I242" s="23">
        <v>14.24</v>
      </c>
      <c r="J242" s="23">
        <v>14.52</v>
      </c>
      <c r="K242" s="23">
        <v>14.52</v>
      </c>
      <c r="L242" s="23">
        <v>14.24</v>
      </c>
      <c r="M242" s="23">
        <v>48</v>
      </c>
      <c r="N242" s="23">
        <v>5.8</v>
      </c>
      <c r="O242" s="24">
        <v>0.27270000000000011</v>
      </c>
    </row>
    <row r="243" spans="1:15" x14ac:dyDescent="0.25">
      <c r="A243" s="18" t="s">
        <v>237</v>
      </c>
      <c r="B243" s="22">
        <v>16.16</v>
      </c>
      <c r="C243" s="23">
        <v>16.16</v>
      </c>
      <c r="D243" s="23">
        <v>16.16</v>
      </c>
      <c r="E243" s="23">
        <v>16.16</v>
      </c>
      <c r="F243" s="23">
        <v>16.16</v>
      </c>
      <c r="G243" s="23">
        <v>16.16</v>
      </c>
      <c r="H243" s="23">
        <v>16.16</v>
      </c>
      <c r="I243" s="23">
        <v>16.16</v>
      </c>
      <c r="J243" s="23">
        <v>16.16</v>
      </c>
      <c r="K243" s="23">
        <v>16.16</v>
      </c>
      <c r="L243" s="23">
        <v>16.16</v>
      </c>
      <c r="M243" s="23">
        <v>52</v>
      </c>
      <c r="N243" s="23">
        <v>7.2</v>
      </c>
      <c r="O243" s="24">
        <v>0.28499999999999998</v>
      </c>
    </row>
    <row r="244" spans="1:15" x14ac:dyDescent="0.25">
      <c r="A244" s="18" t="s">
        <v>238</v>
      </c>
      <c r="B244" s="22">
        <v>11.12</v>
      </c>
      <c r="C244" s="23">
        <v>11.08</v>
      </c>
      <c r="D244" s="23">
        <v>11.12</v>
      </c>
      <c r="E244" s="23">
        <v>11.12</v>
      </c>
      <c r="F244" s="23">
        <v>11.12</v>
      </c>
      <c r="G244" s="23">
        <v>11.08</v>
      </c>
      <c r="H244" s="23">
        <v>11.08</v>
      </c>
      <c r="I244" s="23">
        <v>11.12</v>
      </c>
      <c r="J244" s="23">
        <v>11.08</v>
      </c>
      <c r="K244" s="23">
        <v>11.12</v>
      </c>
      <c r="L244" s="23">
        <v>11.08</v>
      </c>
      <c r="M244" s="23">
        <v>45</v>
      </c>
      <c r="N244" s="23">
        <v>2.6</v>
      </c>
      <c r="O244" s="24">
        <v>0.26569999999999999</v>
      </c>
    </row>
    <row r="245" spans="1:15" x14ac:dyDescent="0.25">
      <c r="A245" s="18" t="s">
        <v>239</v>
      </c>
      <c r="B245" s="22">
        <v>12.84</v>
      </c>
      <c r="C245" s="23">
        <v>12.68</v>
      </c>
      <c r="D245" s="23">
        <v>13</v>
      </c>
      <c r="E245" s="23">
        <v>13</v>
      </c>
      <c r="F245" s="23">
        <v>12.52</v>
      </c>
      <c r="G245" s="23">
        <v>12.52</v>
      </c>
      <c r="H245" s="23">
        <v>12.52</v>
      </c>
      <c r="I245" s="23">
        <v>13</v>
      </c>
      <c r="J245" s="23">
        <v>12.68</v>
      </c>
      <c r="K245" s="23">
        <v>12.52</v>
      </c>
      <c r="L245" s="23">
        <v>12.52</v>
      </c>
      <c r="M245" s="23">
        <v>53</v>
      </c>
      <c r="N245" s="23">
        <v>2.4</v>
      </c>
      <c r="O245" s="24">
        <v>0.29580000000000001</v>
      </c>
    </row>
    <row r="246" spans="1:15" x14ac:dyDescent="0.25">
      <c r="A246" s="18" t="s">
        <v>240</v>
      </c>
      <c r="B246" s="22">
        <v>10.4</v>
      </c>
      <c r="C246" s="23">
        <v>10.56</v>
      </c>
      <c r="D246" s="23">
        <v>10.4</v>
      </c>
      <c r="E246" s="23">
        <v>10.4</v>
      </c>
      <c r="F246" s="23">
        <v>10.4</v>
      </c>
      <c r="G246" s="23">
        <v>10.4</v>
      </c>
      <c r="H246" s="23">
        <v>10.24</v>
      </c>
      <c r="I246" s="23">
        <v>10.4</v>
      </c>
      <c r="J246" s="23">
        <v>10.24</v>
      </c>
      <c r="K246" s="23">
        <v>10.4</v>
      </c>
      <c r="L246" s="23">
        <v>10.24</v>
      </c>
      <c r="M246" s="23">
        <v>44</v>
      </c>
      <c r="N246" s="23">
        <v>1.8</v>
      </c>
      <c r="O246" s="24">
        <v>0.25140000000000001</v>
      </c>
    </row>
    <row r="247" spans="1:15" x14ac:dyDescent="0.25">
      <c r="A247" s="18" t="s">
        <v>241</v>
      </c>
      <c r="B247" s="22">
        <v>12.72</v>
      </c>
      <c r="C247" s="23">
        <v>12.76</v>
      </c>
      <c r="D247" s="23">
        <v>12.56</v>
      </c>
      <c r="E247" s="23">
        <v>12.76</v>
      </c>
      <c r="F247" s="23">
        <v>12.76</v>
      </c>
      <c r="G247" s="23">
        <v>12.76</v>
      </c>
      <c r="H247" s="23">
        <v>12.56</v>
      </c>
      <c r="I247" s="23">
        <v>12.76</v>
      </c>
      <c r="J247" s="23">
        <v>12.56</v>
      </c>
      <c r="K247" s="23">
        <v>12.72</v>
      </c>
      <c r="L247" s="23">
        <v>12.56</v>
      </c>
      <c r="M247" s="23">
        <v>50</v>
      </c>
      <c r="N247" s="23">
        <v>3.2</v>
      </c>
      <c r="O247" s="24">
        <v>0.3044</v>
      </c>
    </row>
    <row r="248" spans="1:15" x14ac:dyDescent="0.25">
      <c r="A248" s="18" t="s">
        <v>242</v>
      </c>
      <c r="B248" s="22">
        <v>10.4</v>
      </c>
      <c r="C248" s="23">
        <v>10.4</v>
      </c>
      <c r="D248" s="23">
        <v>10.4</v>
      </c>
      <c r="E248" s="23">
        <v>10.4</v>
      </c>
      <c r="F248" s="23">
        <v>10.4</v>
      </c>
      <c r="G248" s="23">
        <v>10.4</v>
      </c>
      <c r="H248" s="23">
        <v>10.4</v>
      </c>
      <c r="I248" s="23">
        <v>10.4</v>
      </c>
      <c r="J248" s="23">
        <v>10.4</v>
      </c>
      <c r="K248" s="23">
        <v>10.4</v>
      </c>
      <c r="L248" s="23">
        <v>10.4</v>
      </c>
      <c r="M248" s="23">
        <v>48</v>
      </c>
      <c r="N248" s="23">
        <v>1</v>
      </c>
      <c r="O248" s="24">
        <v>0.27560000000000001</v>
      </c>
    </row>
    <row r="249" spans="1:15" x14ac:dyDescent="0.25">
      <c r="A249" s="18" t="s">
        <v>243</v>
      </c>
      <c r="B249" s="22">
        <v>9.7200000000000006</v>
      </c>
      <c r="C249" s="23">
        <v>9.7200000000000006</v>
      </c>
      <c r="D249" s="23">
        <v>9.7200000000000006</v>
      </c>
      <c r="E249" s="23">
        <v>9.7200000000000006</v>
      </c>
      <c r="F249" s="23">
        <v>9.7200000000000006</v>
      </c>
      <c r="G249" s="23">
        <v>9.7200000000000006</v>
      </c>
      <c r="H249" s="23">
        <v>9.7200000000000006</v>
      </c>
      <c r="I249" s="23">
        <v>9.68</v>
      </c>
      <c r="J249" s="23">
        <v>9.8800000000000008</v>
      </c>
      <c r="K249" s="23">
        <v>9.7200000000000006</v>
      </c>
      <c r="L249" s="23">
        <v>9.68</v>
      </c>
      <c r="M249" s="23">
        <v>46</v>
      </c>
      <c r="N249" s="23">
        <v>0.6</v>
      </c>
      <c r="O249" s="24">
        <v>0.27589999999999998</v>
      </c>
    </row>
    <row r="250" spans="1:15" x14ac:dyDescent="0.25">
      <c r="A250" s="18" t="s">
        <v>244</v>
      </c>
      <c r="B250" s="22">
        <v>11.16</v>
      </c>
      <c r="C250" s="23">
        <v>11.32</v>
      </c>
      <c r="D250" s="23">
        <v>10.96</v>
      </c>
      <c r="E250" s="23">
        <v>11.44</v>
      </c>
      <c r="F250" s="23">
        <v>11.12</v>
      </c>
      <c r="G250" s="23">
        <v>11.16</v>
      </c>
      <c r="H250" s="23">
        <v>11.44</v>
      </c>
      <c r="I250" s="23">
        <v>11.12</v>
      </c>
      <c r="J250" s="23">
        <v>11.12</v>
      </c>
      <c r="K250" s="23">
        <v>11.44</v>
      </c>
      <c r="L250" s="23">
        <v>10.96</v>
      </c>
      <c r="M250" s="23">
        <v>46</v>
      </c>
      <c r="N250" s="23">
        <v>2.2000000000000002</v>
      </c>
      <c r="O250" s="24">
        <v>0.37080000000000002</v>
      </c>
    </row>
    <row r="251" spans="1:15" x14ac:dyDescent="0.25">
      <c r="A251" s="18" t="s">
        <v>245</v>
      </c>
      <c r="B251" s="22">
        <v>11.64</v>
      </c>
      <c r="C251" s="23">
        <v>11.64</v>
      </c>
      <c r="D251" s="23">
        <v>11.64</v>
      </c>
      <c r="E251" s="23">
        <v>11.64</v>
      </c>
      <c r="F251" s="23">
        <v>11.64</v>
      </c>
      <c r="G251" s="23">
        <v>11.64</v>
      </c>
      <c r="H251" s="23">
        <v>11.8</v>
      </c>
      <c r="I251" s="23">
        <v>11.64</v>
      </c>
      <c r="J251" s="23">
        <v>11.64</v>
      </c>
      <c r="K251" s="23">
        <v>11.64</v>
      </c>
      <c r="L251" s="23">
        <v>11.64</v>
      </c>
      <c r="M251" s="23">
        <v>47</v>
      </c>
      <c r="N251" s="23">
        <v>2.8</v>
      </c>
      <c r="O251" s="24">
        <v>0.38569999999999999</v>
      </c>
    </row>
    <row r="252" spans="1:15" x14ac:dyDescent="0.25">
      <c r="A252" s="18" t="s">
        <v>246</v>
      </c>
      <c r="B252" s="22">
        <v>11.52</v>
      </c>
      <c r="C252" s="23">
        <v>11.52</v>
      </c>
      <c r="D252" s="23">
        <v>11.52</v>
      </c>
      <c r="E252" s="23">
        <v>11.52</v>
      </c>
      <c r="F252" s="23">
        <v>11.52</v>
      </c>
      <c r="G252" s="23">
        <v>11.52</v>
      </c>
      <c r="H252" s="23">
        <v>11.52</v>
      </c>
      <c r="I252" s="23">
        <v>11.52</v>
      </c>
      <c r="J252" s="23">
        <v>11.52</v>
      </c>
      <c r="K252" s="23">
        <v>11.52</v>
      </c>
      <c r="L252" s="23">
        <v>11.52</v>
      </c>
      <c r="M252" s="23">
        <v>48</v>
      </c>
      <c r="N252" s="23">
        <v>2.4</v>
      </c>
      <c r="O252" s="24">
        <v>0.38729999999999998</v>
      </c>
    </row>
    <row r="253" spans="1:15" x14ac:dyDescent="0.25">
      <c r="A253" s="18" t="s">
        <v>247</v>
      </c>
      <c r="B253" s="22">
        <v>11.72</v>
      </c>
      <c r="C253" s="23">
        <v>11.72</v>
      </c>
      <c r="D253" s="23">
        <v>11.72</v>
      </c>
      <c r="E253" s="23">
        <v>11.72</v>
      </c>
      <c r="F253" s="23">
        <v>11.72</v>
      </c>
      <c r="G253" s="23">
        <v>11.72</v>
      </c>
      <c r="H253" s="23">
        <v>11.72</v>
      </c>
      <c r="I253" s="23">
        <v>11.72</v>
      </c>
      <c r="J253" s="23">
        <v>11.72</v>
      </c>
      <c r="K253" s="23">
        <v>11.72</v>
      </c>
      <c r="L253" s="23">
        <v>11.72</v>
      </c>
      <c r="M253" s="23">
        <v>49</v>
      </c>
      <c r="N253" s="23">
        <v>2.4</v>
      </c>
      <c r="O253" s="24">
        <v>0.38829999999999998</v>
      </c>
    </row>
    <row r="254" spans="1:15" x14ac:dyDescent="0.25">
      <c r="A254" s="18" t="s">
        <v>248</v>
      </c>
      <c r="B254" s="22">
        <v>10.88</v>
      </c>
      <c r="C254" s="23">
        <v>10.88</v>
      </c>
      <c r="D254" s="23">
        <v>10.72</v>
      </c>
      <c r="E254" s="23">
        <v>10.72</v>
      </c>
      <c r="F254" s="23">
        <v>10.88</v>
      </c>
      <c r="G254" s="23">
        <v>10.72</v>
      </c>
      <c r="H254" s="23">
        <v>10.72</v>
      </c>
      <c r="I254" s="23">
        <v>10.92</v>
      </c>
      <c r="J254" s="23">
        <v>10.88</v>
      </c>
      <c r="K254" s="23">
        <v>10.88</v>
      </c>
      <c r="L254" s="23">
        <v>10.72</v>
      </c>
      <c r="M254" s="23">
        <v>48</v>
      </c>
      <c r="N254" s="23">
        <v>1.4</v>
      </c>
      <c r="O254" s="24">
        <v>0.38800000000000001</v>
      </c>
    </row>
    <row r="255" spans="1:15" x14ac:dyDescent="0.25">
      <c r="A255" s="18" t="s">
        <v>249</v>
      </c>
      <c r="B255" s="22">
        <v>10.32</v>
      </c>
      <c r="C255" s="23">
        <v>10.32</v>
      </c>
      <c r="D255" s="23">
        <v>10.32</v>
      </c>
      <c r="E255" s="23">
        <v>10.32</v>
      </c>
      <c r="F255" s="23">
        <v>10.32</v>
      </c>
      <c r="G255" s="23">
        <v>10.32</v>
      </c>
      <c r="H255" s="23">
        <v>10.32</v>
      </c>
      <c r="I255" s="23">
        <v>10.32</v>
      </c>
      <c r="J255" s="23">
        <v>10.32</v>
      </c>
      <c r="K255" s="23">
        <v>10.32</v>
      </c>
      <c r="L255" s="23">
        <v>10.32</v>
      </c>
      <c r="M255" s="23">
        <v>46</v>
      </c>
      <c r="N255" s="23">
        <v>1.4</v>
      </c>
      <c r="O255" s="24">
        <v>0.37619999999999998</v>
      </c>
    </row>
    <row r="256" spans="1:15" x14ac:dyDescent="0.25">
      <c r="A256" s="18" t="s">
        <v>250</v>
      </c>
      <c r="B256" s="22">
        <v>10.119999999999999</v>
      </c>
      <c r="C256" s="23">
        <v>10.119999999999999</v>
      </c>
      <c r="D256" s="23">
        <v>10.119999999999999</v>
      </c>
      <c r="E256" s="23">
        <v>10.119999999999999</v>
      </c>
      <c r="F256" s="23">
        <v>10.32</v>
      </c>
      <c r="G256" s="23">
        <v>10.119999999999999</v>
      </c>
      <c r="H256" s="23">
        <v>10.119999999999999</v>
      </c>
      <c r="I256" s="23">
        <v>10.119999999999999</v>
      </c>
      <c r="J256" s="23">
        <v>10.119999999999999</v>
      </c>
      <c r="K256" s="23">
        <v>10.119999999999999</v>
      </c>
      <c r="L256" s="23">
        <v>10.119999999999999</v>
      </c>
      <c r="M256" s="23">
        <v>49</v>
      </c>
      <c r="N256" s="23">
        <v>0.4</v>
      </c>
      <c r="O256" s="24">
        <v>0.40799999999999997</v>
      </c>
    </row>
    <row r="257" spans="1:15" x14ac:dyDescent="0.25">
      <c r="A257" s="18" t="s">
        <v>251</v>
      </c>
      <c r="B257" s="22">
        <v>10.72</v>
      </c>
      <c r="C257" s="23">
        <v>10.72</v>
      </c>
      <c r="D257" s="23">
        <v>10.72</v>
      </c>
      <c r="E257" s="23">
        <v>10.72</v>
      </c>
      <c r="F257" s="23">
        <v>10.88</v>
      </c>
      <c r="G257" s="23">
        <v>10.72</v>
      </c>
      <c r="H257" s="23">
        <v>10.72</v>
      </c>
      <c r="I257" s="23">
        <v>10.72</v>
      </c>
      <c r="J257" s="23">
        <v>10.72</v>
      </c>
      <c r="K257" s="23">
        <v>10.72</v>
      </c>
      <c r="L257" s="23">
        <v>10.72</v>
      </c>
      <c r="M257" s="23">
        <v>48</v>
      </c>
      <c r="N257" s="23">
        <v>1.4</v>
      </c>
      <c r="O257" s="24">
        <v>0.39140000000000003</v>
      </c>
    </row>
    <row r="258" spans="1:15" x14ac:dyDescent="0.25">
      <c r="A258" s="18" t="s">
        <v>252</v>
      </c>
      <c r="B258" s="22">
        <v>14.12</v>
      </c>
      <c r="C258" s="23">
        <v>13.96</v>
      </c>
      <c r="D258" s="23">
        <v>13.96</v>
      </c>
      <c r="E258" s="23">
        <v>14.12</v>
      </c>
      <c r="F258" s="23">
        <v>13.96</v>
      </c>
      <c r="G258" s="23">
        <v>13.96</v>
      </c>
      <c r="H258" s="23">
        <v>13.96</v>
      </c>
      <c r="I258" s="23">
        <v>13.92</v>
      </c>
      <c r="J258" s="23">
        <v>14.12</v>
      </c>
      <c r="K258" s="23">
        <v>13.96</v>
      </c>
      <c r="L258" s="23">
        <v>13.92</v>
      </c>
      <c r="M258" s="23">
        <v>48</v>
      </c>
      <c r="N258" s="23">
        <v>5.4</v>
      </c>
      <c r="O258" s="24">
        <v>0.3962</v>
      </c>
    </row>
    <row r="259" spans="1:15" x14ac:dyDescent="0.25">
      <c r="A259" s="18" t="s">
        <v>253</v>
      </c>
      <c r="B259" s="22">
        <v>11.4</v>
      </c>
      <c r="C259" s="23">
        <v>11.56</v>
      </c>
      <c r="D259" s="23">
        <v>11.4</v>
      </c>
      <c r="E259" s="23">
        <v>11.6</v>
      </c>
      <c r="F259" s="23">
        <v>11.56</v>
      </c>
      <c r="G259" s="23">
        <v>11.56</v>
      </c>
      <c r="H259" s="23">
        <v>11.6</v>
      </c>
      <c r="I259" s="23">
        <v>11.56</v>
      </c>
      <c r="J259" s="23">
        <v>11.4</v>
      </c>
      <c r="K259" s="23">
        <v>11.56</v>
      </c>
      <c r="L259" s="23">
        <v>11.4</v>
      </c>
      <c r="M259" s="23">
        <v>49</v>
      </c>
      <c r="N259" s="23">
        <v>2</v>
      </c>
      <c r="O259" s="24">
        <v>0.3982</v>
      </c>
    </row>
    <row r="260" spans="1:15" x14ac:dyDescent="0.25">
      <c r="A260" s="18" t="s">
        <v>254</v>
      </c>
      <c r="B260" s="22">
        <v>11.84</v>
      </c>
      <c r="C260" s="23">
        <v>11.88</v>
      </c>
      <c r="D260" s="23">
        <v>11.84</v>
      </c>
      <c r="E260" s="23">
        <v>11.84</v>
      </c>
      <c r="F260" s="23">
        <v>11.84</v>
      </c>
      <c r="G260" s="23">
        <v>11.84</v>
      </c>
      <c r="H260" s="23">
        <v>11.84</v>
      </c>
      <c r="I260" s="23">
        <v>11.84</v>
      </c>
      <c r="J260" s="23">
        <v>11.84</v>
      </c>
      <c r="K260" s="23">
        <v>11.84</v>
      </c>
      <c r="L260" s="23">
        <v>11.84</v>
      </c>
      <c r="M260" s="23">
        <v>44</v>
      </c>
      <c r="N260" s="23">
        <v>3.8</v>
      </c>
      <c r="O260" s="24">
        <v>0.39989999999999998</v>
      </c>
    </row>
    <row r="261" spans="1:15" x14ac:dyDescent="0.25">
      <c r="A261" s="18" t="s">
        <v>255</v>
      </c>
      <c r="B261" s="22">
        <v>11.28</v>
      </c>
      <c r="C261" s="23">
        <v>11.12</v>
      </c>
      <c r="D261" s="23">
        <v>11.28</v>
      </c>
      <c r="E261" s="23">
        <v>11.28</v>
      </c>
      <c r="F261" s="23">
        <v>11.28</v>
      </c>
      <c r="G261" s="23">
        <v>11.28</v>
      </c>
      <c r="H261" s="23">
        <v>11.28</v>
      </c>
      <c r="I261" s="23">
        <v>11.28</v>
      </c>
      <c r="J261" s="23">
        <v>11.28</v>
      </c>
      <c r="K261" s="23">
        <v>11.28</v>
      </c>
      <c r="L261" s="23">
        <v>11.12</v>
      </c>
      <c r="M261" s="23">
        <v>50</v>
      </c>
      <c r="N261" s="23">
        <v>1.4</v>
      </c>
      <c r="O261" s="24">
        <v>0.44230000000000003</v>
      </c>
    </row>
    <row r="262" spans="1:15" x14ac:dyDescent="0.25">
      <c r="A262" s="18" t="s">
        <v>256</v>
      </c>
      <c r="B262" s="22">
        <v>9.56</v>
      </c>
      <c r="C262" s="23">
        <v>9.56</v>
      </c>
      <c r="D262" s="23">
        <v>9.56</v>
      </c>
      <c r="E262" s="23">
        <v>9.56</v>
      </c>
      <c r="F262" s="23">
        <v>9.7200000000000006</v>
      </c>
      <c r="G262" s="23">
        <v>9.56</v>
      </c>
      <c r="H262" s="23">
        <v>9.56</v>
      </c>
      <c r="I262" s="23">
        <v>9.7200000000000006</v>
      </c>
      <c r="J262" s="23">
        <v>9.56</v>
      </c>
      <c r="K262" s="23">
        <v>9.56</v>
      </c>
      <c r="L262" s="23">
        <v>9.56</v>
      </c>
      <c r="M262" s="23">
        <v>47</v>
      </c>
      <c r="N262" s="23">
        <v>0.2</v>
      </c>
      <c r="O262" s="24">
        <v>0.42320000000000002</v>
      </c>
    </row>
    <row r="263" spans="1:15" x14ac:dyDescent="0.25">
      <c r="A263" s="18" t="s">
        <v>257</v>
      </c>
      <c r="B263" s="22">
        <v>18.68</v>
      </c>
      <c r="C263" s="23">
        <v>18.68</v>
      </c>
      <c r="D263" s="23">
        <v>18.68</v>
      </c>
      <c r="E263" s="23">
        <v>18.68</v>
      </c>
      <c r="F263" s="23">
        <v>18.68</v>
      </c>
      <c r="G263" s="23">
        <v>18.68</v>
      </c>
      <c r="H263" s="23">
        <v>18.68</v>
      </c>
      <c r="I263" s="23">
        <v>18.68</v>
      </c>
      <c r="J263" s="23">
        <v>18.68</v>
      </c>
      <c r="K263" s="23">
        <v>18.68</v>
      </c>
      <c r="L263" s="23">
        <v>18.68</v>
      </c>
      <c r="M263" s="23">
        <v>51</v>
      </c>
      <c r="N263" s="23">
        <v>10.6</v>
      </c>
      <c r="O263" s="24">
        <v>0.45360000000000011</v>
      </c>
    </row>
    <row r="264" spans="1:15" x14ac:dyDescent="0.25">
      <c r="A264" s="18" t="s">
        <v>258</v>
      </c>
      <c r="B264" s="22">
        <v>15.24</v>
      </c>
      <c r="C264" s="23">
        <v>15.52</v>
      </c>
      <c r="D264" s="23">
        <v>15.4</v>
      </c>
      <c r="E264" s="23">
        <v>15.04</v>
      </c>
      <c r="F264" s="23">
        <v>15.2</v>
      </c>
      <c r="G264" s="23">
        <v>15.4</v>
      </c>
      <c r="H264" s="23">
        <v>15.2</v>
      </c>
      <c r="I264" s="23">
        <v>15.68</v>
      </c>
      <c r="J264" s="23">
        <v>15.04</v>
      </c>
      <c r="K264" s="23">
        <v>15.04</v>
      </c>
      <c r="L264" s="23">
        <v>15.04</v>
      </c>
      <c r="M264" s="23">
        <v>48</v>
      </c>
      <c r="N264" s="23">
        <v>6.8</v>
      </c>
      <c r="O264" s="24">
        <v>0.43949999999999989</v>
      </c>
    </row>
    <row r="265" spans="1:15" x14ac:dyDescent="0.25">
      <c r="A265" s="18" t="s">
        <v>259</v>
      </c>
      <c r="B265" s="22">
        <v>11.6</v>
      </c>
      <c r="C265" s="23">
        <v>11.6</v>
      </c>
      <c r="D265" s="23">
        <v>11.6</v>
      </c>
      <c r="E265" s="23">
        <v>11.6</v>
      </c>
      <c r="F265" s="23">
        <v>11.6</v>
      </c>
      <c r="G265" s="23">
        <v>11.6</v>
      </c>
      <c r="H265" s="23">
        <v>11.6</v>
      </c>
      <c r="I265" s="23">
        <v>11.6</v>
      </c>
      <c r="J265" s="23">
        <v>11.6</v>
      </c>
      <c r="K265" s="23">
        <v>11.6</v>
      </c>
      <c r="L265" s="23">
        <v>11.6</v>
      </c>
      <c r="M265" s="23">
        <v>54</v>
      </c>
      <c r="N265" s="23">
        <v>1</v>
      </c>
      <c r="O265" s="24">
        <v>0.47829999999999989</v>
      </c>
    </row>
    <row r="266" spans="1:15" x14ac:dyDescent="0.25">
      <c r="A266" s="18" t="s">
        <v>260</v>
      </c>
      <c r="B266" s="22">
        <v>11.6</v>
      </c>
      <c r="C266" s="23">
        <v>11.8</v>
      </c>
      <c r="D266" s="23">
        <v>11.76</v>
      </c>
      <c r="E266" s="23">
        <v>11.6</v>
      </c>
      <c r="F266" s="23">
        <v>11.8</v>
      </c>
      <c r="G266" s="23">
        <v>11.8</v>
      </c>
      <c r="H266" s="23">
        <v>11.8</v>
      </c>
      <c r="I266" s="23">
        <v>11.8</v>
      </c>
      <c r="J266" s="23">
        <v>11.72</v>
      </c>
      <c r="K266" s="23">
        <v>11.76</v>
      </c>
      <c r="L266" s="23">
        <v>11.6</v>
      </c>
      <c r="M266" s="23">
        <v>50</v>
      </c>
      <c r="N266" s="23">
        <v>2</v>
      </c>
      <c r="O266" s="24">
        <v>0.47389999999999999</v>
      </c>
    </row>
    <row r="267" spans="1:15" x14ac:dyDescent="0.25">
      <c r="A267" s="18" t="s">
        <v>261</v>
      </c>
      <c r="B267" s="22">
        <v>12.6</v>
      </c>
      <c r="C267" s="23">
        <v>12.4</v>
      </c>
      <c r="D267" s="23">
        <v>12.6</v>
      </c>
      <c r="E267" s="23">
        <v>12.4</v>
      </c>
      <c r="F267" s="23">
        <v>12.4</v>
      </c>
      <c r="G267" s="23">
        <v>12.56</v>
      </c>
      <c r="H267" s="23">
        <v>12.4</v>
      </c>
      <c r="I267" s="23">
        <v>12.6</v>
      </c>
      <c r="J267" s="23">
        <v>12.6</v>
      </c>
      <c r="K267" s="23">
        <v>12.4</v>
      </c>
      <c r="L267" s="23">
        <v>12.4</v>
      </c>
      <c r="M267" s="23">
        <v>50</v>
      </c>
      <c r="N267" s="23">
        <v>3</v>
      </c>
      <c r="O267" s="24">
        <v>0.442</v>
      </c>
    </row>
    <row r="268" spans="1:15" x14ac:dyDescent="0.25">
      <c r="A268" s="18" t="s">
        <v>262</v>
      </c>
      <c r="B268" s="22">
        <v>11.68</v>
      </c>
      <c r="C268" s="23">
        <v>11.88</v>
      </c>
      <c r="D268" s="23">
        <v>11.68</v>
      </c>
      <c r="E268" s="23">
        <v>11.68</v>
      </c>
      <c r="F268" s="23">
        <v>11.68</v>
      </c>
      <c r="G268" s="23">
        <v>11.68</v>
      </c>
      <c r="H268" s="23">
        <v>11.68</v>
      </c>
      <c r="I268" s="23">
        <v>11.68</v>
      </c>
      <c r="J268" s="23">
        <v>11.68</v>
      </c>
      <c r="K268" s="23">
        <v>11.68</v>
      </c>
      <c r="L268" s="23">
        <v>11.68</v>
      </c>
      <c r="M268" s="23">
        <v>48</v>
      </c>
      <c r="N268" s="23">
        <v>2.6</v>
      </c>
      <c r="O268" s="24">
        <v>0.43569999999999998</v>
      </c>
    </row>
    <row r="269" spans="1:15" x14ac:dyDescent="0.25">
      <c r="A269" s="18" t="s">
        <v>263</v>
      </c>
      <c r="B269" s="22">
        <v>12.28</v>
      </c>
      <c r="C269" s="23">
        <v>12.28</v>
      </c>
      <c r="D269" s="23">
        <v>12.28</v>
      </c>
      <c r="E269" s="23">
        <v>12.28</v>
      </c>
      <c r="F269" s="23">
        <v>12.28</v>
      </c>
      <c r="G269" s="23">
        <v>12.28</v>
      </c>
      <c r="H269" s="23">
        <v>12.28</v>
      </c>
      <c r="I269" s="23">
        <v>12.28</v>
      </c>
      <c r="J269" s="23">
        <v>12.28</v>
      </c>
      <c r="K269" s="23">
        <v>12.28</v>
      </c>
      <c r="L269" s="23">
        <v>12.28</v>
      </c>
      <c r="M269" s="23">
        <v>47</v>
      </c>
      <c r="N269" s="23">
        <v>3.6</v>
      </c>
      <c r="O269" s="24">
        <v>0.42980000000000002</v>
      </c>
    </row>
    <row r="270" spans="1:15" x14ac:dyDescent="0.25">
      <c r="A270" s="18" t="s">
        <v>264</v>
      </c>
      <c r="B270" s="22">
        <v>9.2799999999999994</v>
      </c>
      <c r="C270" s="23">
        <v>9.2799999999999994</v>
      </c>
      <c r="D270" s="23">
        <v>9.1199999999999992</v>
      </c>
      <c r="E270" s="23">
        <v>9.1199999999999992</v>
      </c>
      <c r="F270" s="23">
        <v>9.1199999999999992</v>
      </c>
      <c r="G270" s="23">
        <v>9.1199999999999992</v>
      </c>
      <c r="H270" s="23">
        <v>9.2799999999999994</v>
      </c>
      <c r="I270" s="23">
        <v>9.1199999999999992</v>
      </c>
      <c r="J270" s="23">
        <v>9.2799999999999994</v>
      </c>
      <c r="K270" s="23">
        <v>9.2799999999999994</v>
      </c>
      <c r="L270" s="23">
        <v>9.1199999999999992</v>
      </c>
      <c r="M270" s="23">
        <v>44</v>
      </c>
      <c r="N270" s="23">
        <v>0.4</v>
      </c>
      <c r="O270" s="24">
        <v>4.5599999999999988E-2</v>
      </c>
    </row>
    <row r="271" spans="1:15" x14ac:dyDescent="0.25">
      <c r="A271" s="18" t="s">
        <v>265</v>
      </c>
      <c r="B271" s="22">
        <v>12.04</v>
      </c>
      <c r="C271" s="23">
        <v>11.88</v>
      </c>
      <c r="D271" s="23">
        <v>11.88</v>
      </c>
      <c r="E271" s="23">
        <v>11.88</v>
      </c>
      <c r="F271" s="23">
        <v>12.08</v>
      </c>
      <c r="G271" s="23">
        <v>11.88</v>
      </c>
      <c r="H271" s="23">
        <v>12.04</v>
      </c>
      <c r="I271" s="23">
        <v>12.2</v>
      </c>
      <c r="J271" s="23">
        <v>12.2</v>
      </c>
      <c r="K271" s="23">
        <v>12.36</v>
      </c>
      <c r="L271" s="23">
        <v>11.88</v>
      </c>
      <c r="M271" s="23">
        <v>45</v>
      </c>
      <c r="N271" s="23">
        <v>3.6</v>
      </c>
      <c r="O271" s="24">
        <v>5.0999999999999997E-2</v>
      </c>
    </row>
    <row r="272" spans="1:15" x14ac:dyDescent="0.25">
      <c r="A272" s="18" t="s">
        <v>266</v>
      </c>
      <c r="B272" s="22">
        <v>15.32</v>
      </c>
      <c r="C272" s="23">
        <v>15.32</v>
      </c>
      <c r="D272" s="23">
        <v>15.48</v>
      </c>
      <c r="E272" s="23">
        <v>15.32</v>
      </c>
      <c r="F272" s="23">
        <v>15.32</v>
      </c>
      <c r="G272" s="23">
        <v>15.48</v>
      </c>
      <c r="H272" s="23">
        <v>15.32</v>
      </c>
      <c r="I272" s="23">
        <v>15.32</v>
      </c>
      <c r="J272" s="23">
        <v>15.32</v>
      </c>
      <c r="K272" s="23">
        <v>15.48</v>
      </c>
      <c r="L272" s="23">
        <v>15.32</v>
      </c>
      <c r="M272" s="23">
        <v>51</v>
      </c>
      <c r="N272" s="23">
        <v>6.4</v>
      </c>
      <c r="O272" s="24">
        <v>5.2499999999999998E-2</v>
      </c>
    </row>
    <row r="273" spans="1:15" x14ac:dyDescent="0.25">
      <c r="A273" s="18" t="s">
        <v>267</v>
      </c>
      <c r="B273" s="22">
        <v>12.32</v>
      </c>
      <c r="C273" s="23">
        <v>12.16</v>
      </c>
      <c r="D273" s="23">
        <v>12.64</v>
      </c>
      <c r="E273" s="23">
        <v>12.6</v>
      </c>
      <c r="F273" s="23">
        <v>12.48</v>
      </c>
      <c r="G273" s="23">
        <v>12.48</v>
      </c>
      <c r="H273" s="23">
        <v>12.52</v>
      </c>
      <c r="I273" s="23">
        <v>12.64</v>
      </c>
      <c r="J273" s="23">
        <v>12.48</v>
      </c>
      <c r="K273" s="23">
        <v>12.48</v>
      </c>
      <c r="L273" s="23">
        <v>12.16</v>
      </c>
      <c r="M273" s="23">
        <v>48</v>
      </c>
      <c r="N273" s="23">
        <v>3.2</v>
      </c>
      <c r="O273" s="24">
        <v>5.0299999999999997E-2</v>
      </c>
    </row>
    <row r="274" spans="1:15" x14ac:dyDescent="0.25">
      <c r="A274" s="18" t="s">
        <v>268</v>
      </c>
      <c r="B274" s="22">
        <v>9.92</v>
      </c>
      <c r="C274" s="23">
        <v>9.8800000000000008</v>
      </c>
      <c r="D274" s="23">
        <v>9.7200000000000006</v>
      </c>
      <c r="E274" s="23">
        <v>9.7200000000000006</v>
      </c>
      <c r="F274" s="23">
        <v>9.7200000000000006</v>
      </c>
      <c r="G274" s="23">
        <v>9.7200000000000006</v>
      </c>
      <c r="H274" s="23">
        <v>9.7200000000000006</v>
      </c>
      <c r="I274" s="23">
        <v>9.8800000000000008</v>
      </c>
      <c r="J274" s="23">
        <v>9.7200000000000006</v>
      </c>
      <c r="K274" s="23">
        <v>9.7200000000000006</v>
      </c>
      <c r="L274" s="23">
        <v>9.7200000000000006</v>
      </c>
      <c r="M274" s="23">
        <v>43</v>
      </c>
      <c r="N274" s="23">
        <v>1.4</v>
      </c>
      <c r="O274" s="24">
        <v>4.6899999999999997E-2</v>
      </c>
    </row>
    <row r="275" spans="1:15" x14ac:dyDescent="0.25">
      <c r="A275" s="18" t="s">
        <v>269</v>
      </c>
      <c r="B275" s="22">
        <v>9.8800000000000008</v>
      </c>
      <c r="C275" s="23">
        <v>9.8800000000000008</v>
      </c>
      <c r="D275" s="23">
        <v>9.8800000000000008</v>
      </c>
      <c r="E275" s="23">
        <v>9.7200000000000006</v>
      </c>
      <c r="F275" s="23">
        <v>9.7200000000000006</v>
      </c>
      <c r="G275" s="23">
        <v>9.8800000000000008</v>
      </c>
      <c r="H275" s="23">
        <v>9.8800000000000008</v>
      </c>
      <c r="I275" s="23">
        <v>9.8800000000000008</v>
      </c>
      <c r="J275" s="23">
        <v>9.8800000000000008</v>
      </c>
      <c r="K275" s="23">
        <v>9.7200000000000006</v>
      </c>
      <c r="L275" s="23">
        <v>9.7200000000000006</v>
      </c>
      <c r="M275" s="23">
        <v>43</v>
      </c>
      <c r="N275" s="23">
        <v>1.4</v>
      </c>
      <c r="O275" s="24">
        <v>4.5599999999999988E-2</v>
      </c>
    </row>
    <row r="276" spans="1:15" x14ac:dyDescent="0.25">
      <c r="A276" s="18" t="s">
        <v>270</v>
      </c>
      <c r="B276" s="22">
        <v>10.119999999999999</v>
      </c>
      <c r="C276" s="23">
        <v>10.119999999999999</v>
      </c>
      <c r="D276" s="23">
        <v>10.119999999999999</v>
      </c>
      <c r="E276" s="23">
        <v>10.119999999999999</v>
      </c>
      <c r="F276" s="23">
        <v>10.119999999999999</v>
      </c>
      <c r="G276" s="23">
        <v>10.119999999999999</v>
      </c>
      <c r="H276" s="23">
        <v>10.119999999999999</v>
      </c>
      <c r="I276" s="23">
        <v>10.119999999999999</v>
      </c>
      <c r="J276" s="23">
        <v>10.119999999999999</v>
      </c>
      <c r="K276" s="23">
        <v>10.119999999999999</v>
      </c>
      <c r="L276" s="23">
        <v>10.119999999999999</v>
      </c>
      <c r="M276" s="23">
        <v>45</v>
      </c>
      <c r="N276" s="23">
        <v>1.4</v>
      </c>
      <c r="O276" s="24">
        <v>4.7100000000000003E-2</v>
      </c>
    </row>
    <row r="277" spans="1:15" x14ac:dyDescent="0.25">
      <c r="A277" s="18" t="s">
        <v>271</v>
      </c>
      <c r="B277" s="22">
        <v>10.52</v>
      </c>
      <c r="C277" s="23">
        <v>10.52</v>
      </c>
      <c r="D277" s="23">
        <v>10.52</v>
      </c>
      <c r="E277" s="23">
        <v>10.52</v>
      </c>
      <c r="F277" s="23">
        <v>10.52</v>
      </c>
      <c r="G277" s="23">
        <v>10.52</v>
      </c>
      <c r="H277" s="23">
        <v>10.52</v>
      </c>
      <c r="I277" s="23">
        <v>10.52</v>
      </c>
      <c r="J277" s="23">
        <v>10.52</v>
      </c>
      <c r="K277" s="23">
        <v>10.52</v>
      </c>
      <c r="L277" s="23">
        <v>10.52</v>
      </c>
      <c r="M277" s="23">
        <v>47</v>
      </c>
      <c r="N277" s="23">
        <v>1.4</v>
      </c>
      <c r="O277" s="24">
        <v>4.9399999999999999E-2</v>
      </c>
    </row>
    <row r="278" spans="1:15" x14ac:dyDescent="0.25">
      <c r="A278" s="18" t="s">
        <v>272</v>
      </c>
      <c r="B278" s="22">
        <v>12.36</v>
      </c>
      <c r="C278" s="23">
        <v>12</v>
      </c>
      <c r="D278" s="23">
        <v>12.32</v>
      </c>
      <c r="E278" s="23">
        <v>12.32</v>
      </c>
      <c r="F278" s="23">
        <v>12.48</v>
      </c>
      <c r="G278" s="23">
        <v>12.64</v>
      </c>
      <c r="H278" s="23">
        <v>12.32</v>
      </c>
      <c r="I278" s="23">
        <v>12</v>
      </c>
      <c r="J278" s="23">
        <v>12.2</v>
      </c>
      <c r="K278" s="23">
        <v>12.36</v>
      </c>
      <c r="L278" s="23">
        <v>12</v>
      </c>
      <c r="M278" s="23">
        <v>48</v>
      </c>
      <c r="N278" s="23">
        <v>3</v>
      </c>
      <c r="O278" s="24">
        <v>5.0900000000000001E-2</v>
      </c>
    </row>
    <row r="279" spans="1:15" x14ac:dyDescent="0.25">
      <c r="A279" s="18" t="s">
        <v>273</v>
      </c>
      <c r="B279" s="22">
        <v>13.24</v>
      </c>
      <c r="C279" s="23">
        <v>13.4</v>
      </c>
      <c r="D279" s="23">
        <v>13.24</v>
      </c>
      <c r="E279" s="23">
        <v>13.08</v>
      </c>
      <c r="F279" s="23">
        <v>13.24</v>
      </c>
      <c r="G279" s="23">
        <v>13.24</v>
      </c>
      <c r="H279" s="23">
        <v>13.4</v>
      </c>
      <c r="I279" s="23">
        <v>13.08</v>
      </c>
      <c r="J279" s="23">
        <v>13.4</v>
      </c>
      <c r="K279" s="23">
        <v>13.4</v>
      </c>
      <c r="L279" s="23">
        <v>13.08</v>
      </c>
      <c r="M279" s="23">
        <v>47</v>
      </c>
      <c r="N279" s="23">
        <v>4.5999999999999996</v>
      </c>
      <c r="O279" s="24">
        <v>0.05</v>
      </c>
    </row>
    <row r="280" spans="1:15" x14ac:dyDescent="0.25">
      <c r="A280" s="18" t="s">
        <v>274</v>
      </c>
      <c r="B280" s="22">
        <v>10.8</v>
      </c>
      <c r="C280" s="23">
        <v>10.8</v>
      </c>
      <c r="D280" s="23">
        <v>10.8</v>
      </c>
      <c r="E280" s="23">
        <v>10.6</v>
      </c>
      <c r="F280" s="23">
        <v>10.76</v>
      </c>
      <c r="G280" s="23">
        <v>10.8</v>
      </c>
      <c r="H280" s="23">
        <v>10.8</v>
      </c>
      <c r="I280" s="23">
        <v>10.8</v>
      </c>
      <c r="J280" s="23">
        <v>10.6</v>
      </c>
      <c r="K280" s="23">
        <v>10.8</v>
      </c>
      <c r="L280" s="23">
        <v>10.6</v>
      </c>
      <c r="M280" s="23">
        <v>45</v>
      </c>
      <c r="N280" s="23">
        <v>2</v>
      </c>
      <c r="O280" s="24">
        <v>0.60439999999999994</v>
      </c>
    </row>
    <row r="281" spans="1:15" x14ac:dyDescent="0.25">
      <c r="A281" s="18" t="s">
        <v>275</v>
      </c>
      <c r="B281" s="22">
        <v>10.6</v>
      </c>
      <c r="C281" s="23">
        <v>10.6</v>
      </c>
      <c r="D281" s="23">
        <v>10.6</v>
      </c>
      <c r="E281" s="23">
        <v>10.6</v>
      </c>
      <c r="F281" s="23">
        <v>10.6</v>
      </c>
      <c r="G281" s="23">
        <v>10.6</v>
      </c>
      <c r="H281" s="23">
        <v>10.6</v>
      </c>
      <c r="I281" s="23">
        <v>10.6</v>
      </c>
      <c r="J281" s="23">
        <v>10.6</v>
      </c>
      <c r="K281" s="23">
        <v>10.6</v>
      </c>
      <c r="L281" s="23">
        <v>10.6</v>
      </c>
      <c r="M281" s="23">
        <v>45</v>
      </c>
      <c r="N281" s="23">
        <v>2</v>
      </c>
      <c r="O281" s="24">
        <v>0.65860000000000007</v>
      </c>
    </row>
    <row r="282" spans="1:15" x14ac:dyDescent="0.25">
      <c r="A282" s="18" t="s">
        <v>276</v>
      </c>
      <c r="B282" s="22">
        <v>10.6</v>
      </c>
      <c r="C282" s="23">
        <v>10.6</v>
      </c>
      <c r="D282" s="23">
        <v>10.6</v>
      </c>
      <c r="E282" s="23">
        <v>10.6</v>
      </c>
      <c r="F282" s="23">
        <v>10.6</v>
      </c>
      <c r="G282" s="23">
        <v>10.6</v>
      </c>
      <c r="H282" s="23">
        <v>10.6</v>
      </c>
      <c r="I282" s="23">
        <v>10.6</v>
      </c>
      <c r="J282" s="23">
        <v>10.76</v>
      </c>
      <c r="K282" s="23">
        <v>10.6</v>
      </c>
      <c r="L282" s="23">
        <v>10.6</v>
      </c>
      <c r="M282" s="23">
        <v>45</v>
      </c>
      <c r="N282" s="23">
        <v>2</v>
      </c>
      <c r="O282" s="24">
        <v>0.64910000000000001</v>
      </c>
    </row>
    <row r="283" spans="1:15" x14ac:dyDescent="0.25">
      <c r="A283" s="18" t="s">
        <v>277</v>
      </c>
      <c r="B283" s="22">
        <v>11.88</v>
      </c>
      <c r="C283" s="23">
        <v>11.88</v>
      </c>
      <c r="D283" s="23">
        <v>12.04</v>
      </c>
      <c r="E283" s="23">
        <v>12.04</v>
      </c>
      <c r="F283" s="23">
        <v>12.08</v>
      </c>
      <c r="G283" s="23">
        <v>12.04</v>
      </c>
      <c r="H283" s="23">
        <v>12.04</v>
      </c>
      <c r="I283" s="23">
        <v>11.88</v>
      </c>
      <c r="J283" s="23">
        <v>12.04</v>
      </c>
      <c r="K283" s="23">
        <v>11.88</v>
      </c>
      <c r="L283" s="23">
        <v>11.88</v>
      </c>
      <c r="M283" s="23">
        <v>49</v>
      </c>
      <c r="N283" s="23">
        <v>2.6</v>
      </c>
      <c r="O283" s="24">
        <v>0.70369999999999999</v>
      </c>
    </row>
    <row r="284" spans="1:15" x14ac:dyDescent="0.25">
      <c r="A284" s="18" t="s">
        <v>278</v>
      </c>
      <c r="B284" s="22">
        <v>13.28</v>
      </c>
      <c r="C284" s="23">
        <v>13.28</v>
      </c>
      <c r="D284" s="23">
        <v>13.28</v>
      </c>
      <c r="E284" s="23">
        <v>13.28</v>
      </c>
      <c r="F284" s="23">
        <v>13.28</v>
      </c>
      <c r="G284" s="23">
        <v>13.28</v>
      </c>
      <c r="H284" s="23">
        <v>13.28</v>
      </c>
      <c r="I284" s="23">
        <v>13.28</v>
      </c>
      <c r="J284" s="23">
        <v>13.28</v>
      </c>
      <c r="K284" s="23">
        <v>13.28</v>
      </c>
      <c r="L284" s="23">
        <v>13.28</v>
      </c>
      <c r="M284" s="23">
        <v>52</v>
      </c>
      <c r="N284" s="23">
        <v>3.6</v>
      </c>
      <c r="O284" s="24">
        <v>0.69020000000000004</v>
      </c>
    </row>
    <row r="285" spans="1:15" x14ac:dyDescent="0.25">
      <c r="A285" s="18" t="s">
        <v>279</v>
      </c>
      <c r="B285" s="22">
        <v>10</v>
      </c>
      <c r="C285" s="23">
        <v>10</v>
      </c>
      <c r="D285" s="23">
        <v>10</v>
      </c>
      <c r="E285" s="23">
        <v>10</v>
      </c>
      <c r="F285" s="23">
        <v>10</v>
      </c>
      <c r="G285" s="23">
        <v>10</v>
      </c>
      <c r="H285" s="23">
        <v>10</v>
      </c>
      <c r="I285" s="23">
        <v>10</v>
      </c>
      <c r="J285" s="23">
        <v>10</v>
      </c>
      <c r="K285" s="23">
        <v>10</v>
      </c>
      <c r="L285" s="23">
        <v>10</v>
      </c>
      <c r="M285" s="23">
        <v>50</v>
      </c>
      <c r="N285" s="23">
        <v>0</v>
      </c>
      <c r="O285" s="24">
        <v>0.66220000000000001</v>
      </c>
    </row>
    <row r="286" spans="1:15" x14ac:dyDescent="0.25">
      <c r="A286" s="18" t="s">
        <v>280</v>
      </c>
      <c r="B286" s="22">
        <v>9</v>
      </c>
      <c r="C286" s="23">
        <v>9.1999999999999993</v>
      </c>
      <c r="D286" s="23">
        <v>9.1999999999999993</v>
      </c>
      <c r="E286" s="23">
        <v>9.16</v>
      </c>
      <c r="F286" s="23">
        <v>9.1999999999999993</v>
      </c>
      <c r="G286" s="23">
        <v>9.1999999999999993</v>
      </c>
      <c r="H286" s="23">
        <v>9.1999999999999993</v>
      </c>
      <c r="I286" s="23">
        <v>9.1999999999999993</v>
      </c>
      <c r="J286" s="23">
        <v>9.1999999999999993</v>
      </c>
      <c r="K286" s="23">
        <v>9</v>
      </c>
      <c r="L286" s="23">
        <v>9</v>
      </c>
      <c r="M286" s="23">
        <v>45</v>
      </c>
      <c r="N286" s="23">
        <v>0</v>
      </c>
      <c r="O286" s="24">
        <v>0.59809999999999997</v>
      </c>
    </row>
    <row r="287" spans="1:15" x14ac:dyDescent="0.25">
      <c r="A287" s="18" t="s">
        <v>281</v>
      </c>
      <c r="B287" s="22">
        <v>10.199999999999999</v>
      </c>
      <c r="C287" s="23">
        <v>10.199999999999999</v>
      </c>
      <c r="D287" s="23">
        <v>10.199999999999999</v>
      </c>
      <c r="E287" s="23">
        <v>10.199999999999999</v>
      </c>
      <c r="F287" s="23">
        <v>10.199999999999999</v>
      </c>
      <c r="G287" s="23">
        <v>10.199999999999999</v>
      </c>
      <c r="H287" s="23">
        <v>10.199999999999999</v>
      </c>
      <c r="I287" s="23">
        <v>10.199999999999999</v>
      </c>
      <c r="J287" s="23">
        <v>10.199999999999999</v>
      </c>
      <c r="K287" s="23">
        <v>10.199999999999999</v>
      </c>
      <c r="L287" s="23">
        <v>10.199999999999999</v>
      </c>
      <c r="M287" s="23">
        <v>51</v>
      </c>
      <c r="N287" s="23">
        <v>0</v>
      </c>
      <c r="O287" s="24">
        <v>0.63860000000000006</v>
      </c>
    </row>
    <row r="288" spans="1:15" x14ac:dyDescent="0.25">
      <c r="A288" s="18" t="s">
        <v>282</v>
      </c>
      <c r="B288" s="22">
        <v>9.44</v>
      </c>
      <c r="C288" s="23">
        <v>9.64</v>
      </c>
      <c r="D288" s="23">
        <v>9.64</v>
      </c>
      <c r="E288" s="23">
        <v>9.64</v>
      </c>
      <c r="F288" s="23">
        <v>9.64</v>
      </c>
      <c r="G288" s="23">
        <v>9.64</v>
      </c>
      <c r="H288" s="23">
        <v>9.64</v>
      </c>
      <c r="I288" s="23">
        <v>9.64</v>
      </c>
      <c r="J288" s="23">
        <v>9.64</v>
      </c>
      <c r="K288" s="23">
        <v>9.64</v>
      </c>
      <c r="L288" s="23">
        <v>9.44</v>
      </c>
      <c r="M288" s="23">
        <v>44</v>
      </c>
      <c r="N288" s="23">
        <v>0.8</v>
      </c>
      <c r="O288" s="24">
        <v>0.66490000000000005</v>
      </c>
    </row>
    <row r="289" spans="1:15" x14ac:dyDescent="0.25">
      <c r="A289" s="18" t="s">
        <v>283</v>
      </c>
      <c r="B289" s="22">
        <v>9.64</v>
      </c>
      <c r="C289" s="23">
        <v>9.64</v>
      </c>
      <c r="D289" s="23">
        <v>9.64</v>
      </c>
      <c r="E289" s="23">
        <v>9.64</v>
      </c>
      <c r="F289" s="23">
        <v>9.64</v>
      </c>
      <c r="G289" s="23">
        <v>9.44</v>
      </c>
      <c r="H289" s="23">
        <v>9.64</v>
      </c>
      <c r="I289" s="23">
        <v>9.64</v>
      </c>
      <c r="J289" s="23">
        <v>9.44</v>
      </c>
      <c r="K289" s="23">
        <v>9.64</v>
      </c>
      <c r="L289" s="23">
        <v>9.44</v>
      </c>
      <c r="M289" s="23">
        <v>44</v>
      </c>
      <c r="N289" s="23">
        <v>0.8</v>
      </c>
      <c r="O289" s="24">
        <v>0.59860000000000002</v>
      </c>
    </row>
    <row r="290" spans="1:15" x14ac:dyDescent="0.25">
      <c r="A290" s="18" t="s">
        <v>284</v>
      </c>
      <c r="B290" s="22">
        <v>10.199999999999999</v>
      </c>
      <c r="C290" s="23">
        <v>10.199999999999999</v>
      </c>
      <c r="D290" s="23">
        <v>10.199999999999999</v>
      </c>
      <c r="E290" s="23">
        <v>10.199999999999999</v>
      </c>
      <c r="F290" s="23">
        <v>10.199999999999999</v>
      </c>
      <c r="G290" s="23">
        <v>10.199999999999999</v>
      </c>
      <c r="H290" s="23">
        <v>10.199999999999999</v>
      </c>
      <c r="I290" s="23">
        <v>10.199999999999999</v>
      </c>
      <c r="J290" s="23">
        <v>10.199999999999999</v>
      </c>
      <c r="K290" s="23">
        <v>10.199999999999999</v>
      </c>
      <c r="L290" s="23">
        <v>10.199999999999999</v>
      </c>
      <c r="M290" s="23">
        <v>51</v>
      </c>
      <c r="N290" s="23">
        <v>0</v>
      </c>
      <c r="O290" s="24">
        <v>7.8100000000000003E-2</v>
      </c>
    </row>
    <row r="291" spans="1:15" x14ac:dyDescent="0.25">
      <c r="A291" s="18" t="s">
        <v>285</v>
      </c>
      <c r="B291" s="22">
        <v>12.32</v>
      </c>
      <c r="C291" s="23">
        <v>12.28</v>
      </c>
      <c r="D291" s="23">
        <v>12.32</v>
      </c>
      <c r="E291" s="23">
        <v>12.28</v>
      </c>
      <c r="F291" s="23">
        <v>12.32</v>
      </c>
      <c r="G291" s="23">
        <v>12.32</v>
      </c>
      <c r="H291" s="23">
        <v>12.28</v>
      </c>
      <c r="I291" s="23">
        <v>12.28</v>
      </c>
      <c r="J291" s="23">
        <v>12.28</v>
      </c>
      <c r="K291" s="23">
        <v>12.28</v>
      </c>
      <c r="L291" s="23">
        <v>12.28</v>
      </c>
      <c r="M291" s="23">
        <v>47</v>
      </c>
      <c r="N291" s="23">
        <v>3.6</v>
      </c>
      <c r="O291" s="24">
        <v>7.4499999999999997E-2</v>
      </c>
    </row>
    <row r="292" spans="1:15" x14ac:dyDescent="0.25">
      <c r="A292" s="18" t="s">
        <v>286</v>
      </c>
      <c r="B292" s="22">
        <v>14.04</v>
      </c>
      <c r="C292" s="23">
        <v>14.04</v>
      </c>
      <c r="D292" s="23">
        <v>14.04</v>
      </c>
      <c r="E292" s="23">
        <v>14.04</v>
      </c>
      <c r="F292" s="23">
        <v>14.04</v>
      </c>
      <c r="G292" s="23">
        <v>14.04</v>
      </c>
      <c r="H292" s="23">
        <v>13.92</v>
      </c>
      <c r="I292" s="23">
        <v>13.88</v>
      </c>
      <c r="J292" s="23">
        <v>14.04</v>
      </c>
      <c r="K292" s="23">
        <v>14.2</v>
      </c>
      <c r="L292" s="23">
        <v>13.88</v>
      </c>
      <c r="M292" s="23">
        <v>47</v>
      </c>
      <c r="N292" s="23">
        <v>5.6</v>
      </c>
      <c r="O292" s="24">
        <v>7.4399999999999994E-2</v>
      </c>
    </row>
    <row r="293" spans="1:15" x14ac:dyDescent="0.25">
      <c r="A293" s="18" t="s">
        <v>287</v>
      </c>
      <c r="B293" s="22">
        <v>11.84</v>
      </c>
      <c r="C293" s="23">
        <v>12.2</v>
      </c>
      <c r="D293" s="23">
        <v>12.04</v>
      </c>
      <c r="E293" s="23">
        <v>12</v>
      </c>
      <c r="F293" s="23">
        <v>12.04</v>
      </c>
      <c r="G293" s="23">
        <v>12.16</v>
      </c>
      <c r="H293" s="23">
        <v>12</v>
      </c>
      <c r="I293" s="23">
        <v>11.84</v>
      </c>
      <c r="J293" s="23">
        <v>11.84</v>
      </c>
      <c r="K293" s="23">
        <v>12.16</v>
      </c>
      <c r="L293" s="23">
        <v>11.84</v>
      </c>
      <c r="M293" s="23">
        <v>52</v>
      </c>
      <c r="N293" s="23">
        <v>1.8</v>
      </c>
      <c r="O293" s="24">
        <v>7.8200000000000006E-2</v>
      </c>
    </row>
    <row r="294" spans="1:15" x14ac:dyDescent="0.25">
      <c r="A294" s="18" t="s">
        <v>288</v>
      </c>
      <c r="B294" s="22">
        <v>9.9600000000000009</v>
      </c>
      <c r="C294" s="23">
        <v>9.9600000000000009</v>
      </c>
      <c r="D294" s="23">
        <v>9.9600000000000009</v>
      </c>
      <c r="E294" s="23">
        <v>9.9600000000000009</v>
      </c>
      <c r="F294" s="23">
        <v>9.9600000000000009</v>
      </c>
      <c r="G294" s="23">
        <v>9.9600000000000009</v>
      </c>
      <c r="H294" s="23">
        <v>9.9600000000000009</v>
      </c>
      <c r="I294" s="23">
        <v>9.9600000000000009</v>
      </c>
      <c r="J294" s="23">
        <v>9.9600000000000009</v>
      </c>
      <c r="K294" s="23">
        <v>9.9600000000000009</v>
      </c>
      <c r="L294" s="23">
        <v>9.9600000000000009</v>
      </c>
      <c r="M294" s="23">
        <v>49</v>
      </c>
      <c r="N294" s="23">
        <v>0.2</v>
      </c>
      <c r="O294" s="24">
        <v>7.6499999999999999E-2</v>
      </c>
    </row>
    <row r="295" spans="1:15" x14ac:dyDescent="0.25">
      <c r="A295" s="18" t="s">
        <v>289</v>
      </c>
      <c r="B295" s="22">
        <v>9.9600000000000009</v>
      </c>
      <c r="C295" s="23">
        <v>9.9600000000000009</v>
      </c>
      <c r="D295" s="23">
        <v>9.92</v>
      </c>
      <c r="E295" s="23">
        <v>9.9600000000000009</v>
      </c>
      <c r="F295" s="23">
        <v>9.9600000000000009</v>
      </c>
      <c r="G295" s="23">
        <v>9.9600000000000009</v>
      </c>
      <c r="H295" s="23">
        <v>9.9600000000000009</v>
      </c>
      <c r="I295" s="23">
        <v>9.9600000000000009</v>
      </c>
      <c r="J295" s="23">
        <v>9.9600000000000009</v>
      </c>
      <c r="K295" s="23">
        <v>9.9600000000000009</v>
      </c>
      <c r="L295" s="23">
        <v>9.92</v>
      </c>
      <c r="M295" s="23">
        <v>48</v>
      </c>
      <c r="N295" s="23">
        <v>0.4</v>
      </c>
      <c r="O295" s="24">
        <v>7.7600000000000002E-2</v>
      </c>
    </row>
    <row r="296" spans="1:15" x14ac:dyDescent="0.25">
      <c r="A296" s="18" t="s">
        <v>290</v>
      </c>
      <c r="B296" s="22">
        <v>9.32</v>
      </c>
      <c r="C296" s="23">
        <v>9.32</v>
      </c>
      <c r="D296" s="23">
        <v>9.32</v>
      </c>
      <c r="E296" s="23">
        <v>9.32</v>
      </c>
      <c r="F296" s="23">
        <v>9.32</v>
      </c>
      <c r="G296" s="23">
        <v>9.32</v>
      </c>
      <c r="H296" s="23">
        <v>9.32</v>
      </c>
      <c r="I296" s="23">
        <v>9.32</v>
      </c>
      <c r="J296" s="23">
        <v>9.32</v>
      </c>
      <c r="K296" s="23">
        <v>9.32</v>
      </c>
      <c r="L296" s="23">
        <v>9.32</v>
      </c>
      <c r="M296" s="23">
        <v>45</v>
      </c>
      <c r="N296" s="23">
        <v>0.4</v>
      </c>
      <c r="O296" s="24">
        <v>7.2999999999999995E-2</v>
      </c>
    </row>
    <row r="297" spans="1:15" x14ac:dyDescent="0.25">
      <c r="A297" s="18" t="s">
        <v>291</v>
      </c>
      <c r="B297" s="22">
        <v>9.9600000000000009</v>
      </c>
      <c r="C297" s="23">
        <v>9.9600000000000009</v>
      </c>
      <c r="D297" s="23">
        <v>9.76</v>
      </c>
      <c r="E297" s="23">
        <v>9.76</v>
      </c>
      <c r="F297" s="23">
        <v>9.9600000000000009</v>
      </c>
      <c r="G297" s="23">
        <v>9.9600000000000009</v>
      </c>
      <c r="H297" s="23">
        <v>9.9600000000000009</v>
      </c>
      <c r="I297" s="23">
        <v>9.76</v>
      </c>
      <c r="J297" s="23">
        <v>9.9600000000000009</v>
      </c>
      <c r="K297" s="23">
        <v>9.9600000000000009</v>
      </c>
      <c r="L297" s="23">
        <v>9.76</v>
      </c>
      <c r="M297" s="23">
        <v>48</v>
      </c>
      <c r="N297" s="23">
        <v>0.2</v>
      </c>
      <c r="O297" s="24">
        <v>7.6499999999999999E-2</v>
      </c>
    </row>
    <row r="298" spans="1:15" x14ac:dyDescent="0.25">
      <c r="A298" s="18" t="s">
        <v>292</v>
      </c>
      <c r="B298" s="22">
        <v>9.76</v>
      </c>
      <c r="C298" s="23">
        <v>9.56</v>
      </c>
      <c r="D298" s="23">
        <v>9.76</v>
      </c>
      <c r="E298" s="23">
        <v>9.76</v>
      </c>
      <c r="F298" s="23">
        <v>9.76</v>
      </c>
      <c r="G298" s="23">
        <v>9.76</v>
      </c>
      <c r="H298" s="23">
        <v>9.76</v>
      </c>
      <c r="I298" s="23">
        <v>9.76</v>
      </c>
      <c r="J298" s="23">
        <v>9.76</v>
      </c>
      <c r="K298" s="23">
        <v>9.76</v>
      </c>
      <c r="L298" s="23">
        <v>9.56</v>
      </c>
      <c r="M298" s="23">
        <v>47</v>
      </c>
      <c r="N298" s="23">
        <v>0.2</v>
      </c>
      <c r="O298" s="24">
        <v>7.5300000000000006E-2</v>
      </c>
    </row>
    <row r="299" spans="1:15" x14ac:dyDescent="0.25">
      <c r="A299" s="18" t="s">
        <v>293</v>
      </c>
      <c r="B299" s="22">
        <v>10.16</v>
      </c>
      <c r="C299" s="23">
        <v>10.16</v>
      </c>
      <c r="D299" s="23">
        <v>10.16</v>
      </c>
      <c r="E299" s="23">
        <v>10.16</v>
      </c>
      <c r="F299" s="23">
        <v>10.16</v>
      </c>
      <c r="G299" s="23">
        <v>10.16</v>
      </c>
      <c r="H299" s="23">
        <v>10.16</v>
      </c>
      <c r="I299" s="23">
        <v>10.16</v>
      </c>
      <c r="J299" s="23">
        <v>10.16</v>
      </c>
      <c r="K299" s="23">
        <v>10.16</v>
      </c>
      <c r="L299" s="23">
        <v>10.16</v>
      </c>
      <c r="M299" s="23">
        <v>50</v>
      </c>
      <c r="N299" s="23">
        <v>0.2</v>
      </c>
      <c r="O299" s="24">
        <v>7.7800000000000008E-2</v>
      </c>
    </row>
    <row r="300" spans="1:15" x14ac:dyDescent="0.25">
      <c r="A300" s="18" t="s">
        <v>294</v>
      </c>
      <c r="B300" s="22">
        <v>19</v>
      </c>
      <c r="C300" s="23">
        <v>19</v>
      </c>
      <c r="D300" s="23">
        <v>19</v>
      </c>
      <c r="E300" s="23">
        <v>19</v>
      </c>
      <c r="F300" s="23">
        <v>19</v>
      </c>
      <c r="G300" s="23">
        <v>19</v>
      </c>
      <c r="H300" s="23">
        <v>19</v>
      </c>
      <c r="I300" s="23">
        <v>19</v>
      </c>
      <c r="J300" s="23">
        <v>19</v>
      </c>
      <c r="K300" s="23">
        <v>19</v>
      </c>
      <c r="L300" s="23">
        <v>19</v>
      </c>
      <c r="M300" s="23">
        <v>95</v>
      </c>
      <c r="N300" s="23">
        <v>0</v>
      </c>
      <c r="O300" s="24">
        <v>4.2138000000000009</v>
      </c>
    </row>
    <row r="301" spans="1:15" x14ac:dyDescent="0.25">
      <c r="A301" s="18" t="s">
        <v>295</v>
      </c>
      <c r="B301" s="22">
        <v>20.8</v>
      </c>
      <c r="C301" s="23">
        <v>20.440000000000001</v>
      </c>
      <c r="D301" s="23">
        <v>20.76</v>
      </c>
      <c r="E301" s="23">
        <v>20.76</v>
      </c>
      <c r="F301" s="23">
        <v>20.8</v>
      </c>
      <c r="G301" s="23">
        <v>20.440000000000001</v>
      </c>
      <c r="H301" s="23">
        <v>20.64</v>
      </c>
      <c r="I301" s="23">
        <v>20.6</v>
      </c>
      <c r="J301" s="23">
        <v>20.64</v>
      </c>
      <c r="K301" s="23">
        <v>20.440000000000001</v>
      </c>
      <c r="L301" s="23">
        <v>20.440000000000001</v>
      </c>
      <c r="M301" s="23">
        <v>95</v>
      </c>
      <c r="N301" s="23">
        <v>1.8</v>
      </c>
      <c r="O301" s="24">
        <v>4.4081999999999999</v>
      </c>
    </row>
    <row r="302" spans="1:15" x14ac:dyDescent="0.25">
      <c r="A302" s="18" t="s">
        <v>296</v>
      </c>
      <c r="B302" s="22">
        <v>20.16</v>
      </c>
      <c r="C302" s="23">
        <v>20</v>
      </c>
      <c r="D302" s="23">
        <v>20</v>
      </c>
      <c r="E302" s="23">
        <v>20.2</v>
      </c>
      <c r="F302" s="23">
        <v>20.16</v>
      </c>
      <c r="G302" s="23">
        <v>20.16</v>
      </c>
      <c r="H302" s="23">
        <v>20</v>
      </c>
      <c r="I302" s="23">
        <v>20</v>
      </c>
      <c r="J302" s="23">
        <v>20</v>
      </c>
      <c r="K302" s="23">
        <v>20</v>
      </c>
      <c r="L302" s="23">
        <v>20</v>
      </c>
      <c r="M302" s="23">
        <v>96</v>
      </c>
      <c r="N302" s="23">
        <v>1</v>
      </c>
      <c r="O302" s="24">
        <v>4.6462000000000003</v>
      </c>
    </row>
    <row r="303" spans="1:15" x14ac:dyDescent="0.25">
      <c r="A303" s="18" t="s">
        <v>297</v>
      </c>
      <c r="B303" s="22">
        <v>20.64</v>
      </c>
      <c r="C303" s="23">
        <v>20.64</v>
      </c>
      <c r="D303" s="23">
        <v>20.8</v>
      </c>
      <c r="E303" s="23">
        <v>20.8</v>
      </c>
      <c r="F303" s="23">
        <v>20.8</v>
      </c>
      <c r="G303" s="23">
        <v>20.68</v>
      </c>
      <c r="H303" s="23">
        <v>20.64</v>
      </c>
      <c r="I303" s="23">
        <v>20.8</v>
      </c>
      <c r="J303" s="23">
        <v>20.64</v>
      </c>
      <c r="K303" s="23">
        <v>20.8</v>
      </c>
      <c r="L303" s="23">
        <v>20.64</v>
      </c>
      <c r="M303" s="23">
        <v>92</v>
      </c>
      <c r="N303" s="23">
        <v>2.8</v>
      </c>
      <c r="O303" s="24">
        <v>4.1139000000000001</v>
      </c>
    </row>
    <row r="304" spans="1:15" x14ac:dyDescent="0.25">
      <c r="A304" s="18" t="s">
        <v>298</v>
      </c>
      <c r="B304" s="22">
        <v>21</v>
      </c>
      <c r="C304" s="23">
        <v>21</v>
      </c>
      <c r="D304" s="23">
        <v>21</v>
      </c>
      <c r="E304" s="23">
        <v>20.84</v>
      </c>
      <c r="F304" s="23">
        <v>21.16</v>
      </c>
      <c r="G304" s="23">
        <v>20.84</v>
      </c>
      <c r="H304" s="23">
        <v>21</v>
      </c>
      <c r="I304" s="23">
        <v>21</v>
      </c>
      <c r="J304" s="23">
        <v>21.04</v>
      </c>
      <c r="K304" s="23">
        <v>21.16</v>
      </c>
      <c r="L304" s="23">
        <v>20.84</v>
      </c>
      <c r="M304" s="23">
        <v>93</v>
      </c>
      <c r="N304" s="23">
        <v>2.8</v>
      </c>
      <c r="O304" s="24">
        <v>4.3841999999999999</v>
      </c>
    </row>
    <row r="305" spans="1:15" x14ac:dyDescent="0.25">
      <c r="A305" s="18" t="s">
        <v>299</v>
      </c>
      <c r="B305" s="22">
        <v>18.600000000000001</v>
      </c>
      <c r="C305" s="23">
        <v>18.600000000000001</v>
      </c>
      <c r="D305" s="23">
        <v>18.600000000000001</v>
      </c>
      <c r="E305" s="23">
        <v>18.600000000000001</v>
      </c>
      <c r="F305" s="23">
        <v>18.600000000000001</v>
      </c>
      <c r="G305" s="23">
        <v>18.600000000000001</v>
      </c>
      <c r="H305" s="23">
        <v>18.600000000000001</v>
      </c>
      <c r="I305" s="23">
        <v>18.600000000000001</v>
      </c>
      <c r="J305" s="23">
        <v>18.600000000000001</v>
      </c>
      <c r="K305" s="23">
        <v>18.600000000000001</v>
      </c>
      <c r="L305" s="23">
        <v>18.600000000000001</v>
      </c>
      <c r="M305" s="23">
        <v>93</v>
      </c>
      <c r="N305" s="23">
        <v>0</v>
      </c>
      <c r="O305" s="24">
        <v>4.4530000000000003</v>
      </c>
    </row>
    <row r="306" spans="1:15" x14ac:dyDescent="0.25">
      <c r="A306" s="18" t="s">
        <v>300</v>
      </c>
      <c r="B306" s="22">
        <v>19.2</v>
      </c>
      <c r="C306" s="23">
        <v>19.2</v>
      </c>
      <c r="D306" s="23">
        <v>19.2</v>
      </c>
      <c r="E306" s="23">
        <v>19.04</v>
      </c>
      <c r="F306" s="23">
        <v>19.2</v>
      </c>
      <c r="G306" s="23">
        <v>19.2</v>
      </c>
      <c r="H306" s="23">
        <v>19.2</v>
      </c>
      <c r="I306" s="23">
        <v>19.2</v>
      </c>
      <c r="J306" s="23">
        <v>19.2</v>
      </c>
      <c r="K306" s="23">
        <v>19.2</v>
      </c>
      <c r="L306" s="23">
        <v>19.04</v>
      </c>
      <c r="M306" s="23">
        <v>92</v>
      </c>
      <c r="N306" s="23">
        <v>0.8</v>
      </c>
      <c r="O306" s="24">
        <v>4.2634999999999996</v>
      </c>
    </row>
    <row r="307" spans="1:15" x14ac:dyDescent="0.25">
      <c r="A307" s="18" t="s">
        <v>301</v>
      </c>
      <c r="B307" s="22">
        <v>20.2</v>
      </c>
      <c r="C307" s="23">
        <v>20.399999999999999</v>
      </c>
      <c r="D307" s="23">
        <v>20.2</v>
      </c>
      <c r="E307" s="23">
        <v>20.2</v>
      </c>
      <c r="F307" s="23">
        <v>20.2</v>
      </c>
      <c r="G307" s="23">
        <v>20.2</v>
      </c>
      <c r="H307" s="23">
        <v>20.399999999999999</v>
      </c>
      <c r="I307" s="23">
        <v>20.2</v>
      </c>
      <c r="J307" s="23">
        <v>20.2</v>
      </c>
      <c r="K307" s="23">
        <v>20.2</v>
      </c>
      <c r="L307" s="23">
        <v>20.2</v>
      </c>
      <c r="M307" s="23">
        <v>101</v>
      </c>
      <c r="N307" s="23">
        <v>0</v>
      </c>
      <c r="O307" s="24">
        <v>5.7690000000000001</v>
      </c>
    </row>
    <row r="308" spans="1:15" x14ac:dyDescent="0.25">
      <c r="A308" s="18" t="s">
        <v>302</v>
      </c>
      <c r="B308" s="22">
        <v>18.84</v>
      </c>
      <c r="C308" s="23">
        <v>18.84</v>
      </c>
      <c r="D308" s="23">
        <v>18.84</v>
      </c>
      <c r="E308" s="23">
        <v>18.84</v>
      </c>
      <c r="F308" s="23">
        <v>18.68</v>
      </c>
      <c r="G308" s="23">
        <v>18.88</v>
      </c>
      <c r="H308" s="23">
        <v>18.84</v>
      </c>
      <c r="I308" s="23">
        <v>18.88</v>
      </c>
      <c r="J308" s="23">
        <v>18.68</v>
      </c>
      <c r="K308" s="23">
        <v>18.84</v>
      </c>
      <c r="L308" s="23">
        <v>18.68</v>
      </c>
      <c r="M308" s="23">
        <v>91</v>
      </c>
      <c r="N308" s="23">
        <v>0.6</v>
      </c>
      <c r="O308" s="24">
        <v>4.2941000000000003</v>
      </c>
    </row>
    <row r="309" spans="1:15" x14ac:dyDescent="0.25">
      <c r="A309" s="18" t="s">
        <v>303</v>
      </c>
      <c r="B309" s="22">
        <v>19.12</v>
      </c>
      <c r="C309" s="23">
        <v>19.12</v>
      </c>
      <c r="D309" s="23">
        <v>19.12</v>
      </c>
      <c r="E309" s="23">
        <v>19.12</v>
      </c>
      <c r="F309" s="23">
        <v>19.12</v>
      </c>
      <c r="G309" s="23">
        <v>19.12</v>
      </c>
      <c r="H309" s="23">
        <v>19.12</v>
      </c>
      <c r="I309" s="23">
        <v>19.079999999999998</v>
      </c>
      <c r="J309" s="23">
        <v>19.12</v>
      </c>
      <c r="K309" s="23">
        <v>19.12</v>
      </c>
      <c r="L309" s="23">
        <v>19.079999999999998</v>
      </c>
      <c r="M309" s="23">
        <v>89</v>
      </c>
      <c r="N309" s="23">
        <v>1.6</v>
      </c>
      <c r="O309" s="24">
        <v>4.1536</v>
      </c>
    </row>
    <row r="310" spans="1:15" x14ac:dyDescent="0.25">
      <c r="A310" s="18" t="s">
        <v>304</v>
      </c>
      <c r="B310" s="22">
        <v>19.16</v>
      </c>
      <c r="C310" s="23">
        <v>19.16</v>
      </c>
      <c r="D310" s="23">
        <v>19.16</v>
      </c>
      <c r="E310" s="23">
        <v>19.16</v>
      </c>
      <c r="F310" s="23">
        <v>19.36</v>
      </c>
      <c r="G310" s="23">
        <v>19.36</v>
      </c>
      <c r="H310" s="23">
        <v>19.36</v>
      </c>
      <c r="I310" s="23">
        <v>19.36</v>
      </c>
      <c r="J310" s="23">
        <v>19.16</v>
      </c>
      <c r="K310" s="23">
        <v>19.16</v>
      </c>
      <c r="L310" s="23">
        <v>19.16</v>
      </c>
      <c r="M310" s="23">
        <v>95</v>
      </c>
      <c r="N310" s="23">
        <v>0.2</v>
      </c>
      <c r="O310" s="24">
        <v>0.3826</v>
      </c>
    </row>
    <row r="311" spans="1:15" x14ac:dyDescent="0.25">
      <c r="A311" s="18" t="s">
        <v>305</v>
      </c>
      <c r="B311" s="22">
        <v>21.56</v>
      </c>
      <c r="C311" s="23">
        <v>21.4</v>
      </c>
      <c r="D311" s="23">
        <v>20.96</v>
      </c>
      <c r="E311" s="23">
        <v>21.08</v>
      </c>
      <c r="F311" s="23">
        <v>21.08</v>
      </c>
      <c r="G311" s="23">
        <v>20.92</v>
      </c>
      <c r="H311" s="23">
        <v>21.24</v>
      </c>
      <c r="I311" s="23">
        <v>21.12</v>
      </c>
      <c r="J311" s="23">
        <v>20.92</v>
      </c>
      <c r="K311" s="23">
        <v>21.44</v>
      </c>
      <c r="L311" s="23">
        <v>20.92</v>
      </c>
      <c r="M311" s="23">
        <v>95</v>
      </c>
      <c r="N311" s="23">
        <v>2.4</v>
      </c>
      <c r="O311" s="24">
        <v>0.36720000000000003</v>
      </c>
    </row>
    <row r="312" spans="1:15" x14ac:dyDescent="0.25">
      <c r="A312" s="18" t="s">
        <v>306</v>
      </c>
      <c r="B312" s="22">
        <v>18.12</v>
      </c>
      <c r="C312" s="23">
        <v>18.600000000000001</v>
      </c>
      <c r="D312" s="23">
        <v>18.600000000000001</v>
      </c>
      <c r="E312" s="23">
        <v>18.440000000000001</v>
      </c>
      <c r="F312" s="23">
        <v>18.600000000000001</v>
      </c>
      <c r="G312" s="23">
        <v>18.440000000000001</v>
      </c>
      <c r="H312" s="23">
        <v>18.600000000000001</v>
      </c>
      <c r="I312" s="23">
        <v>18.600000000000001</v>
      </c>
      <c r="J312" s="23">
        <v>18.440000000000001</v>
      </c>
      <c r="K312" s="23">
        <v>18.440000000000001</v>
      </c>
      <c r="L312" s="23">
        <v>18.12</v>
      </c>
      <c r="M312" s="23">
        <v>89</v>
      </c>
      <c r="N312" s="23">
        <v>0.4</v>
      </c>
      <c r="O312" s="24">
        <v>0.34260000000000002</v>
      </c>
    </row>
    <row r="313" spans="1:15" x14ac:dyDescent="0.25">
      <c r="A313" s="18" t="s">
        <v>307</v>
      </c>
      <c r="B313" s="22">
        <v>19.32</v>
      </c>
      <c r="C313" s="23">
        <v>19.36</v>
      </c>
      <c r="D313" s="23">
        <v>19.48</v>
      </c>
      <c r="E313" s="23">
        <v>19.32</v>
      </c>
      <c r="F313" s="23">
        <v>19.32</v>
      </c>
      <c r="G313" s="23">
        <v>19.52</v>
      </c>
      <c r="H313" s="23">
        <v>19.52</v>
      </c>
      <c r="I313" s="23">
        <v>19.52</v>
      </c>
      <c r="J313" s="23">
        <v>19.52</v>
      </c>
      <c r="K313" s="23">
        <v>19.48</v>
      </c>
      <c r="L313" s="23">
        <v>19.32</v>
      </c>
      <c r="M313" s="23">
        <v>91</v>
      </c>
      <c r="N313" s="23">
        <v>1.4</v>
      </c>
      <c r="O313" s="24">
        <v>0.35170000000000001</v>
      </c>
    </row>
    <row r="314" spans="1:15" x14ac:dyDescent="0.25">
      <c r="A314" s="18" t="s">
        <v>308</v>
      </c>
      <c r="B314" s="22">
        <v>21.28</v>
      </c>
      <c r="C314" s="23">
        <v>21.28</v>
      </c>
      <c r="D314" s="23">
        <v>21.28</v>
      </c>
      <c r="E314" s="23">
        <v>21.44</v>
      </c>
      <c r="F314" s="23">
        <v>21.24</v>
      </c>
      <c r="G314" s="23">
        <v>21.28</v>
      </c>
      <c r="H314" s="23">
        <v>21.28</v>
      </c>
      <c r="I314" s="23">
        <v>21.28</v>
      </c>
      <c r="J314" s="23">
        <v>21.28</v>
      </c>
      <c r="K314" s="23">
        <v>21.28</v>
      </c>
      <c r="L314" s="23">
        <v>21.24</v>
      </c>
      <c r="M314" s="23">
        <v>95</v>
      </c>
      <c r="N314" s="23">
        <v>2.8</v>
      </c>
      <c r="O314" s="24">
        <v>0.36670000000000003</v>
      </c>
    </row>
    <row r="315" spans="1:15" x14ac:dyDescent="0.25">
      <c r="A315" s="18" t="s">
        <v>309</v>
      </c>
      <c r="B315" s="22">
        <v>19.88</v>
      </c>
      <c r="C315" s="23">
        <v>19.88</v>
      </c>
      <c r="D315" s="23">
        <v>19.88</v>
      </c>
      <c r="E315" s="23">
        <v>19.88</v>
      </c>
      <c r="F315" s="23">
        <v>19.88</v>
      </c>
      <c r="G315" s="23">
        <v>19.88</v>
      </c>
      <c r="H315" s="23">
        <v>19.88</v>
      </c>
      <c r="I315" s="23">
        <v>19.88</v>
      </c>
      <c r="J315" s="23">
        <v>19.88</v>
      </c>
      <c r="K315" s="23">
        <v>19.88</v>
      </c>
      <c r="L315" s="23">
        <v>19.88</v>
      </c>
      <c r="M315" s="23">
        <v>93</v>
      </c>
      <c r="N315" s="23">
        <v>1.6</v>
      </c>
      <c r="O315" s="24">
        <v>0.36320000000000002</v>
      </c>
    </row>
    <row r="316" spans="1:15" x14ac:dyDescent="0.25">
      <c r="A316" s="18" t="s">
        <v>310</v>
      </c>
      <c r="B316" s="22">
        <v>18.68</v>
      </c>
      <c r="C316" s="23">
        <v>18.68</v>
      </c>
      <c r="D316" s="23">
        <v>18.68</v>
      </c>
      <c r="E316" s="23">
        <v>18.68</v>
      </c>
      <c r="F316" s="23">
        <v>18.68</v>
      </c>
      <c r="G316" s="23">
        <v>18.68</v>
      </c>
      <c r="H316" s="23">
        <v>18.68</v>
      </c>
      <c r="I316" s="23">
        <v>18.68</v>
      </c>
      <c r="J316" s="23">
        <v>18.68</v>
      </c>
      <c r="K316" s="23">
        <v>18.68</v>
      </c>
      <c r="L316" s="23">
        <v>18.68</v>
      </c>
      <c r="M316" s="23">
        <v>91</v>
      </c>
      <c r="N316" s="23">
        <v>0.6</v>
      </c>
      <c r="O316" s="24">
        <v>0.35220000000000001</v>
      </c>
    </row>
    <row r="317" spans="1:15" x14ac:dyDescent="0.25">
      <c r="A317" s="18" t="s">
        <v>311</v>
      </c>
      <c r="B317" s="22">
        <v>21.68</v>
      </c>
      <c r="C317" s="23">
        <v>21.52</v>
      </c>
      <c r="D317" s="23">
        <v>21.04</v>
      </c>
      <c r="E317" s="23">
        <v>21.52</v>
      </c>
      <c r="F317" s="23">
        <v>21.52</v>
      </c>
      <c r="G317" s="23">
        <v>21.36</v>
      </c>
      <c r="H317" s="23">
        <v>21.84</v>
      </c>
      <c r="I317" s="23">
        <v>21.2</v>
      </c>
      <c r="J317" s="23">
        <v>21.52</v>
      </c>
      <c r="K317" s="23">
        <v>21.68</v>
      </c>
      <c r="L317" s="23">
        <v>21.04</v>
      </c>
      <c r="M317" s="23">
        <v>90</v>
      </c>
      <c r="N317" s="23">
        <v>3.8</v>
      </c>
      <c r="O317" s="24">
        <v>0.35360000000000003</v>
      </c>
    </row>
    <row r="318" spans="1:15" x14ac:dyDescent="0.25">
      <c r="A318" s="18" t="s">
        <v>312</v>
      </c>
      <c r="B318" s="22">
        <v>25.96</v>
      </c>
      <c r="C318" s="23">
        <v>26.12</v>
      </c>
      <c r="D318" s="23">
        <v>25.96</v>
      </c>
      <c r="E318" s="23">
        <v>25.96</v>
      </c>
      <c r="F318" s="23">
        <v>25.8</v>
      </c>
      <c r="G318" s="23">
        <v>25.96</v>
      </c>
      <c r="H318" s="23">
        <v>25.64</v>
      </c>
      <c r="I318" s="23">
        <v>26.28</v>
      </c>
      <c r="J318" s="23">
        <v>26.16</v>
      </c>
      <c r="K318" s="23">
        <v>25.8</v>
      </c>
      <c r="L318" s="23">
        <v>25.64</v>
      </c>
      <c r="M318" s="23">
        <v>97</v>
      </c>
      <c r="N318" s="23">
        <v>7.8</v>
      </c>
      <c r="O318" s="24">
        <v>0.36990000000000001</v>
      </c>
    </row>
    <row r="319" spans="1:15" x14ac:dyDescent="0.25">
      <c r="A319" s="18" t="s">
        <v>313</v>
      </c>
      <c r="B319" s="22">
        <v>20.52</v>
      </c>
      <c r="C319" s="23">
        <v>20.52</v>
      </c>
      <c r="D319" s="23">
        <v>20.52</v>
      </c>
      <c r="E319" s="23">
        <v>20.68</v>
      </c>
      <c r="F319" s="23">
        <v>20.36</v>
      </c>
      <c r="G319" s="23">
        <v>20.52</v>
      </c>
      <c r="H319" s="23">
        <v>20.52</v>
      </c>
      <c r="I319" s="23">
        <v>20.64</v>
      </c>
      <c r="J319" s="23">
        <v>20.52</v>
      </c>
      <c r="K319" s="23">
        <v>20.48</v>
      </c>
      <c r="L319" s="23">
        <v>20.36</v>
      </c>
      <c r="M319" s="23">
        <v>97</v>
      </c>
      <c r="N319" s="23">
        <v>1.2</v>
      </c>
      <c r="O319" s="24">
        <v>0.37330000000000002</v>
      </c>
    </row>
    <row r="320" spans="1:15" x14ac:dyDescent="0.25">
      <c r="A320" s="18" t="s">
        <v>314</v>
      </c>
      <c r="B320" s="22">
        <v>24.8</v>
      </c>
      <c r="C320" s="23">
        <v>24.64</v>
      </c>
      <c r="D320" s="23">
        <v>24.64</v>
      </c>
      <c r="E320" s="23">
        <v>24.64</v>
      </c>
      <c r="F320" s="23">
        <v>24.64</v>
      </c>
      <c r="G320" s="23">
        <v>24.64</v>
      </c>
      <c r="H320" s="23">
        <v>24.64</v>
      </c>
      <c r="I320" s="23">
        <v>24.64</v>
      </c>
      <c r="J320" s="23">
        <v>24.64</v>
      </c>
      <c r="K320" s="23">
        <v>24.64</v>
      </c>
      <c r="L320" s="23">
        <v>24.64</v>
      </c>
      <c r="M320" s="23">
        <v>92</v>
      </c>
      <c r="N320" s="23">
        <v>7.8</v>
      </c>
      <c r="O320" s="24">
        <v>0.41529999999999989</v>
      </c>
    </row>
    <row r="321" spans="1:15" x14ac:dyDescent="0.25">
      <c r="A321" s="18" t="s">
        <v>315</v>
      </c>
      <c r="B321" s="22">
        <v>17.2</v>
      </c>
      <c r="C321" s="23">
        <v>17.2</v>
      </c>
      <c r="D321" s="23">
        <v>17.2</v>
      </c>
      <c r="E321" s="23">
        <v>17.2</v>
      </c>
      <c r="F321" s="23">
        <v>17.2</v>
      </c>
      <c r="G321" s="23">
        <v>17.2</v>
      </c>
      <c r="H321" s="23">
        <v>17</v>
      </c>
      <c r="I321" s="23">
        <v>17.2</v>
      </c>
      <c r="J321" s="23">
        <v>17.2</v>
      </c>
      <c r="K321" s="23">
        <v>17.2</v>
      </c>
      <c r="L321" s="23">
        <v>17</v>
      </c>
      <c r="M321" s="23">
        <v>85</v>
      </c>
      <c r="N321" s="23">
        <v>0</v>
      </c>
      <c r="O321" s="24">
        <v>0.38109999999999999</v>
      </c>
    </row>
    <row r="322" spans="1:15" x14ac:dyDescent="0.25">
      <c r="A322" s="18" t="s">
        <v>316</v>
      </c>
      <c r="B322" s="22">
        <v>21.04</v>
      </c>
      <c r="C322" s="23">
        <v>21.08</v>
      </c>
      <c r="D322" s="23">
        <v>21.08</v>
      </c>
      <c r="E322" s="23">
        <v>21.04</v>
      </c>
      <c r="F322" s="23">
        <v>21.2</v>
      </c>
      <c r="G322" s="23">
        <v>21.04</v>
      </c>
      <c r="H322" s="23">
        <v>21.04</v>
      </c>
      <c r="I322" s="23">
        <v>21.04</v>
      </c>
      <c r="J322" s="23">
        <v>21.04</v>
      </c>
      <c r="K322" s="23">
        <v>21.08</v>
      </c>
      <c r="L322" s="23">
        <v>21.04</v>
      </c>
      <c r="M322" s="23">
        <v>102</v>
      </c>
      <c r="N322" s="23">
        <v>0.8</v>
      </c>
      <c r="O322" s="24">
        <v>0.44490000000000002</v>
      </c>
    </row>
    <row r="323" spans="1:15" x14ac:dyDescent="0.25">
      <c r="A323" s="18" t="s">
        <v>317</v>
      </c>
      <c r="B323" s="22">
        <v>21.56</v>
      </c>
      <c r="C323" s="23">
        <v>21.6</v>
      </c>
      <c r="D323" s="23">
        <v>21.56</v>
      </c>
      <c r="E323" s="23">
        <v>21.4</v>
      </c>
      <c r="F323" s="23">
        <v>21.72</v>
      </c>
      <c r="G323" s="23">
        <v>21.72</v>
      </c>
      <c r="H323" s="23">
        <v>21.56</v>
      </c>
      <c r="I323" s="23">
        <v>21.72</v>
      </c>
      <c r="J323" s="23">
        <v>21.56</v>
      </c>
      <c r="K323" s="23">
        <v>21.56</v>
      </c>
      <c r="L323" s="23">
        <v>21.4</v>
      </c>
      <c r="M323" s="23">
        <v>91</v>
      </c>
      <c r="N323" s="23">
        <v>4</v>
      </c>
      <c r="O323" s="24">
        <v>0.41060000000000002</v>
      </c>
    </row>
    <row r="324" spans="1:15" x14ac:dyDescent="0.25">
      <c r="A324" s="18" t="s">
        <v>318</v>
      </c>
      <c r="B324" s="22">
        <v>21.2</v>
      </c>
      <c r="C324" s="23">
        <v>21.2</v>
      </c>
      <c r="D324" s="23">
        <v>21.4</v>
      </c>
      <c r="E324" s="23">
        <v>21.2</v>
      </c>
      <c r="F324" s="23">
        <v>21.4</v>
      </c>
      <c r="G324" s="23">
        <v>21.2</v>
      </c>
      <c r="H324" s="23">
        <v>21.2</v>
      </c>
      <c r="I324" s="23">
        <v>21.4</v>
      </c>
      <c r="J324" s="23">
        <v>21.2</v>
      </c>
      <c r="K324" s="23">
        <v>21.2</v>
      </c>
      <c r="L324" s="23">
        <v>21.2</v>
      </c>
      <c r="M324" s="23">
        <v>98</v>
      </c>
      <c r="N324" s="23">
        <v>2</v>
      </c>
      <c r="O324" s="24">
        <v>0.43390000000000012</v>
      </c>
    </row>
    <row r="325" spans="1:15" x14ac:dyDescent="0.25">
      <c r="A325" s="18" t="s">
        <v>319</v>
      </c>
      <c r="B325" s="22">
        <v>20.56</v>
      </c>
      <c r="C325" s="23">
        <v>20.6</v>
      </c>
      <c r="D325" s="23">
        <v>20.6</v>
      </c>
      <c r="E325" s="23">
        <v>20.6</v>
      </c>
      <c r="F325" s="23">
        <v>20.6</v>
      </c>
      <c r="G325" s="23">
        <v>20.6</v>
      </c>
      <c r="H325" s="23">
        <v>20.399999999999999</v>
      </c>
      <c r="I325" s="23">
        <v>20.6</v>
      </c>
      <c r="J325" s="23">
        <v>20.6</v>
      </c>
      <c r="K325" s="23">
        <v>20.56</v>
      </c>
      <c r="L325" s="23">
        <v>20.399999999999999</v>
      </c>
      <c r="M325" s="23">
        <v>94</v>
      </c>
      <c r="N325" s="23">
        <v>2</v>
      </c>
      <c r="O325" s="24">
        <v>0.42259999999999998</v>
      </c>
    </row>
    <row r="326" spans="1:15" x14ac:dyDescent="0.25">
      <c r="A326" s="18" t="s">
        <v>320</v>
      </c>
      <c r="B326" s="22">
        <v>19.2</v>
      </c>
      <c r="C326" s="23">
        <v>19.2</v>
      </c>
      <c r="D326" s="23">
        <v>19.52</v>
      </c>
      <c r="E326" s="23">
        <v>19.04</v>
      </c>
      <c r="F326" s="23">
        <v>19.2</v>
      </c>
      <c r="G326" s="23">
        <v>19.52</v>
      </c>
      <c r="H326" s="23">
        <v>19.04</v>
      </c>
      <c r="I326" s="23">
        <v>19.36</v>
      </c>
      <c r="J326" s="23">
        <v>19.52</v>
      </c>
      <c r="K326" s="23">
        <v>19.36</v>
      </c>
      <c r="L326" s="23">
        <v>19.04</v>
      </c>
      <c r="M326" s="23">
        <v>92</v>
      </c>
      <c r="N326" s="23">
        <v>0.8</v>
      </c>
      <c r="O326" s="24">
        <v>0.41180000000000011</v>
      </c>
    </row>
    <row r="327" spans="1:15" x14ac:dyDescent="0.25">
      <c r="A327" s="18" t="s">
        <v>321</v>
      </c>
      <c r="B327" s="22">
        <v>21.88</v>
      </c>
      <c r="C327" s="23">
        <v>21.88</v>
      </c>
      <c r="D327" s="23">
        <v>21.72</v>
      </c>
      <c r="E327" s="23">
        <v>21.88</v>
      </c>
      <c r="F327" s="23">
        <v>21.88</v>
      </c>
      <c r="G327" s="23">
        <v>21.88</v>
      </c>
      <c r="H327" s="23">
        <v>21.72</v>
      </c>
      <c r="I327" s="23">
        <v>21.88</v>
      </c>
      <c r="J327" s="23">
        <v>21.88</v>
      </c>
      <c r="K327" s="23">
        <v>21.68</v>
      </c>
      <c r="L327" s="23">
        <v>21.68</v>
      </c>
      <c r="M327" s="23">
        <v>94</v>
      </c>
      <c r="N327" s="23">
        <v>3.6</v>
      </c>
      <c r="O327" s="24">
        <v>0.42170000000000002</v>
      </c>
    </row>
    <row r="328" spans="1:15" x14ac:dyDescent="0.25">
      <c r="A328" s="18" t="s">
        <v>322</v>
      </c>
      <c r="B328" s="22">
        <v>24.76</v>
      </c>
      <c r="C328" s="23">
        <v>24.6</v>
      </c>
      <c r="D328" s="23">
        <v>24.6</v>
      </c>
      <c r="E328" s="23">
        <v>24.6</v>
      </c>
      <c r="F328" s="23">
        <v>24.6</v>
      </c>
      <c r="G328" s="23">
        <v>24.44</v>
      </c>
      <c r="H328" s="23">
        <v>24.44</v>
      </c>
      <c r="I328" s="23">
        <v>24.6</v>
      </c>
      <c r="J328" s="23">
        <v>24.44</v>
      </c>
      <c r="K328" s="23">
        <v>24.6</v>
      </c>
      <c r="L328" s="23">
        <v>24.44</v>
      </c>
      <c r="M328" s="23">
        <v>91</v>
      </c>
      <c r="N328" s="23">
        <v>7.8</v>
      </c>
      <c r="O328" s="24">
        <v>0.41039999999999999</v>
      </c>
    </row>
    <row r="329" spans="1:15" x14ac:dyDescent="0.25">
      <c r="A329" s="18" t="s">
        <v>323</v>
      </c>
      <c r="B329" s="22">
        <v>25.92</v>
      </c>
      <c r="C329" s="23">
        <v>25.92</v>
      </c>
      <c r="D329" s="23">
        <v>25.92</v>
      </c>
      <c r="E329" s="23">
        <v>25.92</v>
      </c>
      <c r="F329" s="23">
        <v>25.88</v>
      </c>
      <c r="G329" s="23">
        <v>25.72</v>
      </c>
      <c r="H329" s="23">
        <v>25.92</v>
      </c>
      <c r="I329" s="23">
        <v>25.92</v>
      </c>
      <c r="J329" s="23">
        <v>25.92</v>
      </c>
      <c r="K329" s="23">
        <v>25.92</v>
      </c>
      <c r="L329" s="23">
        <v>25.72</v>
      </c>
      <c r="M329" s="23">
        <v>99</v>
      </c>
      <c r="N329" s="23">
        <v>7.4</v>
      </c>
      <c r="O329" s="24">
        <v>0.44340000000000002</v>
      </c>
    </row>
    <row r="330" spans="1:15" x14ac:dyDescent="0.25">
      <c r="A330" s="18" t="s">
        <v>324</v>
      </c>
      <c r="B330" s="22">
        <v>22.68</v>
      </c>
      <c r="C330" s="23">
        <v>22.68</v>
      </c>
      <c r="D330" s="23">
        <v>22.72</v>
      </c>
      <c r="E330" s="23">
        <v>22.36</v>
      </c>
      <c r="F330" s="23">
        <v>22.52</v>
      </c>
      <c r="G330" s="23">
        <v>22.36</v>
      </c>
      <c r="H330" s="23">
        <v>22.68</v>
      </c>
      <c r="I330" s="23">
        <v>22.72</v>
      </c>
      <c r="J330" s="23">
        <v>22.52</v>
      </c>
      <c r="K330" s="23">
        <v>22.88</v>
      </c>
      <c r="L330" s="23">
        <v>22.36</v>
      </c>
      <c r="M330" s="23">
        <v>95</v>
      </c>
      <c r="N330" s="23">
        <v>4.2</v>
      </c>
      <c r="O330" s="24">
        <v>0.43200000000000011</v>
      </c>
    </row>
    <row r="331" spans="1:15" x14ac:dyDescent="0.25">
      <c r="A331" s="18" t="s">
        <v>325</v>
      </c>
      <c r="B331" s="22">
        <v>23.08</v>
      </c>
      <c r="C331" s="23">
        <v>22.8</v>
      </c>
      <c r="D331" s="23">
        <v>22.8</v>
      </c>
      <c r="E331" s="23">
        <v>23.08</v>
      </c>
      <c r="F331" s="23">
        <v>22.92</v>
      </c>
      <c r="G331" s="23">
        <v>23.4</v>
      </c>
      <c r="H331" s="23">
        <v>22.92</v>
      </c>
      <c r="I331" s="23">
        <v>22.92</v>
      </c>
      <c r="J331" s="23">
        <v>22.76</v>
      </c>
      <c r="K331" s="23">
        <v>22.92</v>
      </c>
      <c r="L331" s="23">
        <v>22.76</v>
      </c>
      <c r="M331" s="23">
        <v>101</v>
      </c>
      <c r="N331" s="23">
        <v>3.2</v>
      </c>
      <c r="O331" s="24">
        <v>0.46129999999999999</v>
      </c>
    </row>
    <row r="332" spans="1:15" x14ac:dyDescent="0.25">
      <c r="A332" s="18" t="s">
        <v>326</v>
      </c>
      <c r="B332" s="22">
        <v>22.2</v>
      </c>
      <c r="C332" s="23">
        <v>22.2</v>
      </c>
      <c r="D332" s="23">
        <v>22.2</v>
      </c>
      <c r="E332" s="23">
        <v>22.24</v>
      </c>
      <c r="F332" s="23">
        <v>22.04</v>
      </c>
      <c r="G332" s="23">
        <v>22.36</v>
      </c>
      <c r="H332" s="23">
        <v>22.36</v>
      </c>
      <c r="I332" s="23">
        <v>22.2</v>
      </c>
      <c r="J332" s="23">
        <v>22.24</v>
      </c>
      <c r="K332" s="23">
        <v>22.04</v>
      </c>
      <c r="L332" s="23">
        <v>22.04</v>
      </c>
      <c r="M332" s="23">
        <v>91</v>
      </c>
      <c r="N332" s="23">
        <v>4.8</v>
      </c>
      <c r="O332" s="24">
        <v>0.41849999999999998</v>
      </c>
    </row>
    <row r="333" spans="1:15" x14ac:dyDescent="0.25">
      <c r="A333" s="18" t="s">
        <v>327</v>
      </c>
      <c r="B333" s="22">
        <v>26.28</v>
      </c>
      <c r="C333" s="23">
        <v>26.44</v>
      </c>
      <c r="D333" s="23">
        <v>26.48</v>
      </c>
      <c r="E333" s="23">
        <v>26.32</v>
      </c>
      <c r="F333" s="23">
        <v>26.28</v>
      </c>
      <c r="G333" s="23">
        <v>26.32</v>
      </c>
      <c r="H333" s="23">
        <v>26.48</v>
      </c>
      <c r="I333" s="23">
        <v>26.32</v>
      </c>
      <c r="J333" s="23">
        <v>26.48</v>
      </c>
      <c r="K333" s="23">
        <v>26.64</v>
      </c>
      <c r="L333" s="23">
        <v>26.28</v>
      </c>
      <c r="M333" s="23">
        <v>89</v>
      </c>
      <c r="N333" s="23">
        <v>10.6</v>
      </c>
      <c r="O333" s="24">
        <v>0.41470000000000001</v>
      </c>
    </row>
    <row r="334" spans="1:15" x14ac:dyDescent="0.25">
      <c r="A334" s="18" t="s">
        <v>328</v>
      </c>
      <c r="B334" s="22">
        <v>23.16</v>
      </c>
      <c r="C334" s="23">
        <v>23</v>
      </c>
      <c r="D334" s="23">
        <v>22.84</v>
      </c>
      <c r="E334" s="23">
        <v>23</v>
      </c>
      <c r="F334" s="23">
        <v>23</v>
      </c>
      <c r="G334" s="23">
        <v>23</v>
      </c>
      <c r="H334" s="23">
        <v>23</v>
      </c>
      <c r="I334" s="23">
        <v>23.16</v>
      </c>
      <c r="J334" s="23">
        <v>23</v>
      </c>
      <c r="K334" s="23">
        <v>23</v>
      </c>
      <c r="L334" s="23">
        <v>22.84</v>
      </c>
      <c r="M334" s="23">
        <v>91</v>
      </c>
      <c r="N334" s="23">
        <v>5.8</v>
      </c>
      <c r="O334" s="24">
        <v>0.42259999999999998</v>
      </c>
    </row>
    <row r="335" spans="1:15" x14ac:dyDescent="0.25">
      <c r="A335" s="18" t="s">
        <v>329</v>
      </c>
      <c r="B335" s="22">
        <v>23.76</v>
      </c>
      <c r="C335" s="23">
        <v>23.76</v>
      </c>
      <c r="D335" s="23">
        <v>23.76</v>
      </c>
      <c r="E335" s="23">
        <v>23.76</v>
      </c>
      <c r="F335" s="23">
        <v>23.76</v>
      </c>
      <c r="G335" s="23">
        <v>23.76</v>
      </c>
      <c r="H335" s="23">
        <v>23.76</v>
      </c>
      <c r="I335" s="23">
        <v>23.76</v>
      </c>
      <c r="J335" s="23">
        <v>23.76</v>
      </c>
      <c r="K335" s="23">
        <v>23.76</v>
      </c>
      <c r="L335" s="23">
        <v>23.76</v>
      </c>
      <c r="M335" s="23">
        <v>98</v>
      </c>
      <c r="N335" s="23">
        <v>5.2</v>
      </c>
      <c r="O335" s="24">
        <v>0.44479999999999997</v>
      </c>
    </row>
    <row r="336" spans="1:15" x14ac:dyDescent="0.25">
      <c r="A336" s="18" t="s">
        <v>330</v>
      </c>
      <c r="B336" s="22">
        <v>20.32</v>
      </c>
      <c r="C336" s="23">
        <v>20.32</v>
      </c>
      <c r="D336" s="23">
        <v>20.52</v>
      </c>
      <c r="E336" s="23">
        <v>20.52</v>
      </c>
      <c r="F336" s="23">
        <v>20.32</v>
      </c>
      <c r="G336" s="23">
        <v>20.48</v>
      </c>
      <c r="H336" s="23">
        <v>20.52</v>
      </c>
      <c r="I336" s="23">
        <v>20.48</v>
      </c>
      <c r="J336" s="23">
        <v>20.48</v>
      </c>
      <c r="K336" s="23">
        <v>20.52</v>
      </c>
      <c r="L336" s="23">
        <v>20.32</v>
      </c>
      <c r="M336" s="23">
        <v>92</v>
      </c>
      <c r="N336" s="23">
        <v>2.4</v>
      </c>
      <c r="O336" s="24">
        <v>0.43759999999999999</v>
      </c>
    </row>
    <row r="337" spans="1:15" x14ac:dyDescent="0.25">
      <c r="A337" s="18" t="s">
        <v>331</v>
      </c>
      <c r="B337" s="22">
        <v>20.04</v>
      </c>
      <c r="C337" s="23">
        <v>20.36</v>
      </c>
      <c r="D337" s="23">
        <v>20.48</v>
      </c>
      <c r="E337" s="23">
        <v>20.68</v>
      </c>
      <c r="F337" s="23">
        <v>20.48</v>
      </c>
      <c r="G337" s="23">
        <v>20.68</v>
      </c>
      <c r="H337" s="23">
        <v>20.36</v>
      </c>
      <c r="I337" s="23">
        <v>20.52</v>
      </c>
      <c r="J337" s="23">
        <v>20.36</v>
      </c>
      <c r="K337" s="23">
        <v>20.36</v>
      </c>
      <c r="L337" s="23">
        <v>20.04</v>
      </c>
      <c r="M337" s="23">
        <v>89</v>
      </c>
      <c r="N337" s="23">
        <v>2.8</v>
      </c>
      <c r="O337" s="24">
        <v>0.42880000000000001</v>
      </c>
    </row>
    <row r="338" spans="1:15" x14ac:dyDescent="0.25">
      <c r="A338" s="18" t="s">
        <v>332</v>
      </c>
      <c r="B338" s="22">
        <v>21.24</v>
      </c>
      <c r="C338" s="23">
        <v>21.08</v>
      </c>
      <c r="D338" s="23">
        <v>21.08</v>
      </c>
      <c r="E338" s="23">
        <v>21.24</v>
      </c>
      <c r="F338" s="23">
        <v>21.24</v>
      </c>
      <c r="G338" s="23">
        <v>21.24</v>
      </c>
      <c r="H338" s="23">
        <v>21.24</v>
      </c>
      <c r="I338" s="23">
        <v>21.24</v>
      </c>
      <c r="J338" s="23">
        <v>21.08</v>
      </c>
      <c r="K338" s="23">
        <v>21.24</v>
      </c>
      <c r="L338" s="23">
        <v>21.08</v>
      </c>
      <c r="M338" s="23">
        <v>95</v>
      </c>
      <c r="N338" s="23">
        <v>2.6</v>
      </c>
      <c r="O338" s="24">
        <v>0.43009999999999998</v>
      </c>
    </row>
    <row r="339" spans="1:15" x14ac:dyDescent="0.25">
      <c r="A339" s="18" t="s">
        <v>333</v>
      </c>
      <c r="B339" s="22">
        <v>19.8</v>
      </c>
      <c r="C339" s="23">
        <v>20.12</v>
      </c>
      <c r="D339" s="23">
        <v>19.96</v>
      </c>
      <c r="E339" s="23">
        <v>19.96</v>
      </c>
      <c r="F339" s="23">
        <v>20.079999999999998</v>
      </c>
      <c r="G339" s="23">
        <v>20.12</v>
      </c>
      <c r="H339" s="23">
        <v>20.079999999999998</v>
      </c>
      <c r="I339" s="23">
        <v>19.760000000000002</v>
      </c>
      <c r="J339" s="23">
        <v>19.96</v>
      </c>
      <c r="K339" s="23">
        <v>19.920000000000002</v>
      </c>
      <c r="L339" s="23">
        <v>19.760000000000002</v>
      </c>
      <c r="M339" s="23">
        <v>94</v>
      </c>
      <c r="N339" s="23">
        <v>1.2</v>
      </c>
      <c r="O339" s="24">
        <v>0.43</v>
      </c>
    </row>
    <row r="340" spans="1:15" x14ac:dyDescent="0.25">
      <c r="A340" s="18" t="s">
        <v>334</v>
      </c>
      <c r="B340" s="22">
        <v>19.399999999999999</v>
      </c>
      <c r="C340" s="23">
        <v>19.559999999999999</v>
      </c>
      <c r="D340" s="23">
        <v>19.559999999999999</v>
      </c>
      <c r="E340" s="23">
        <v>19.559999999999999</v>
      </c>
      <c r="F340" s="23">
        <v>19.559999999999999</v>
      </c>
      <c r="G340" s="23">
        <v>19.600000000000001</v>
      </c>
      <c r="H340" s="23">
        <v>19.600000000000001</v>
      </c>
      <c r="I340" s="23">
        <v>19.600000000000001</v>
      </c>
      <c r="J340" s="23">
        <v>19.600000000000001</v>
      </c>
      <c r="K340" s="23">
        <v>19.399999999999999</v>
      </c>
      <c r="L340" s="23">
        <v>19.399999999999999</v>
      </c>
      <c r="M340" s="23">
        <v>93</v>
      </c>
      <c r="N340" s="23">
        <v>1</v>
      </c>
      <c r="O340" s="24">
        <v>0.51119999999999999</v>
      </c>
    </row>
    <row r="341" spans="1:15" x14ac:dyDescent="0.25">
      <c r="A341" s="18" t="s">
        <v>335</v>
      </c>
      <c r="B341" s="22">
        <v>21.52</v>
      </c>
      <c r="C341" s="23">
        <v>21.52</v>
      </c>
      <c r="D341" s="23">
        <v>21.52</v>
      </c>
      <c r="E341" s="23">
        <v>21.52</v>
      </c>
      <c r="F341" s="23">
        <v>21.52</v>
      </c>
      <c r="G341" s="23">
        <v>21.52</v>
      </c>
      <c r="H341" s="23">
        <v>21.52</v>
      </c>
      <c r="I341" s="23">
        <v>21.52</v>
      </c>
      <c r="J341" s="23">
        <v>21.52</v>
      </c>
      <c r="K341" s="23">
        <v>21.52</v>
      </c>
      <c r="L341" s="23">
        <v>21.52</v>
      </c>
      <c r="M341" s="23">
        <v>94</v>
      </c>
      <c r="N341" s="23">
        <v>3.4</v>
      </c>
      <c r="O341" s="24">
        <v>0.52010000000000001</v>
      </c>
    </row>
    <row r="342" spans="1:15" x14ac:dyDescent="0.25">
      <c r="A342" s="18" t="s">
        <v>336</v>
      </c>
      <c r="B342" s="22">
        <v>20.04</v>
      </c>
      <c r="C342" s="23">
        <v>20.52</v>
      </c>
      <c r="D342" s="23">
        <v>20.72</v>
      </c>
      <c r="E342" s="23">
        <v>20.68</v>
      </c>
      <c r="F342" s="23">
        <v>20.68</v>
      </c>
      <c r="G342" s="23">
        <v>20.52</v>
      </c>
      <c r="H342" s="23">
        <v>20.84</v>
      </c>
      <c r="I342" s="23">
        <v>20.84</v>
      </c>
      <c r="J342" s="23">
        <v>20.36</v>
      </c>
      <c r="K342" s="23">
        <v>20.36</v>
      </c>
      <c r="L342" s="23">
        <v>20.04</v>
      </c>
      <c r="M342" s="23">
        <v>93</v>
      </c>
      <c r="N342" s="23">
        <v>1.8</v>
      </c>
      <c r="O342" s="24">
        <v>0.5151</v>
      </c>
    </row>
    <row r="343" spans="1:15" x14ac:dyDescent="0.25">
      <c r="A343" s="18" t="s">
        <v>337</v>
      </c>
      <c r="B343" s="22">
        <v>23.32</v>
      </c>
      <c r="C343" s="23">
        <v>23.2</v>
      </c>
      <c r="D343" s="23">
        <v>23.16</v>
      </c>
      <c r="E343" s="23">
        <v>23.2</v>
      </c>
      <c r="F343" s="23">
        <v>23.36</v>
      </c>
      <c r="G343" s="23">
        <v>23.16</v>
      </c>
      <c r="H343" s="23">
        <v>23.2</v>
      </c>
      <c r="I343" s="23">
        <v>23.2</v>
      </c>
      <c r="J343" s="23">
        <v>23.32</v>
      </c>
      <c r="K343" s="23">
        <v>23.2</v>
      </c>
      <c r="L343" s="23">
        <v>23.16</v>
      </c>
      <c r="M343" s="23">
        <v>95</v>
      </c>
      <c r="N343" s="23">
        <v>5.2</v>
      </c>
      <c r="O343" s="24">
        <v>0.52549999999999997</v>
      </c>
    </row>
    <row r="344" spans="1:15" x14ac:dyDescent="0.25">
      <c r="A344" s="18" t="s">
        <v>338</v>
      </c>
      <c r="B344" s="22">
        <v>25.56</v>
      </c>
      <c r="C344" s="23">
        <v>25.8</v>
      </c>
      <c r="D344" s="23">
        <v>25.44</v>
      </c>
      <c r="E344" s="23">
        <v>25.44</v>
      </c>
      <c r="F344" s="23">
        <v>25.8</v>
      </c>
      <c r="G344" s="23">
        <v>25.76</v>
      </c>
      <c r="H344" s="23">
        <v>25.6</v>
      </c>
      <c r="I344" s="23">
        <v>26.08</v>
      </c>
      <c r="J344" s="23">
        <v>25.4</v>
      </c>
      <c r="K344" s="23">
        <v>25.44</v>
      </c>
      <c r="L344" s="23">
        <v>25.4</v>
      </c>
      <c r="M344" s="23">
        <v>103</v>
      </c>
      <c r="N344" s="23">
        <v>6</v>
      </c>
      <c r="O344" s="24">
        <v>0.5464</v>
      </c>
    </row>
    <row r="345" spans="1:15" x14ac:dyDescent="0.25">
      <c r="A345" s="18" t="s">
        <v>339</v>
      </c>
      <c r="B345" s="22">
        <v>23.48</v>
      </c>
      <c r="C345" s="23">
        <v>23.68</v>
      </c>
      <c r="D345" s="23">
        <v>23.64</v>
      </c>
      <c r="E345" s="23">
        <v>23.48</v>
      </c>
      <c r="F345" s="23">
        <v>23.48</v>
      </c>
      <c r="G345" s="23">
        <v>23.68</v>
      </c>
      <c r="H345" s="23">
        <v>23.68</v>
      </c>
      <c r="I345" s="23">
        <v>23.64</v>
      </c>
      <c r="J345" s="23">
        <v>23.64</v>
      </c>
      <c r="K345" s="23">
        <v>23.68</v>
      </c>
      <c r="L345" s="23">
        <v>23.48</v>
      </c>
      <c r="M345" s="23">
        <v>95</v>
      </c>
      <c r="N345" s="23">
        <v>5.6</v>
      </c>
      <c r="O345" s="24">
        <v>0.51740000000000008</v>
      </c>
    </row>
    <row r="346" spans="1:15" x14ac:dyDescent="0.25">
      <c r="A346" s="18" t="s">
        <v>340</v>
      </c>
      <c r="B346" s="22">
        <v>21.8</v>
      </c>
      <c r="C346" s="23">
        <v>21.8</v>
      </c>
      <c r="D346" s="23">
        <v>21.8</v>
      </c>
      <c r="E346" s="23">
        <v>21.8</v>
      </c>
      <c r="F346" s="23">
        <v>21.8</v>
      </c>
      <c r="G346" s="23">
        <v>21.8</v>
      </c>
      <c r="H346" s="23">
        <v>21.8</v>
      </c>
      <c r="I346" s="23">
        <v>21.8</v>
      </c>
      <c r="J346" s="23">
        <v>21.8</v>
      </c>
      <c r="K346" s="23">
        <v>21.8</v>
      </c>
      <c r="L346" s="23">
        <v>21.8</v>
      </c>
      <c r="M346" s="23">
        <v>97</v>
      </c>
      <c r="N346" s="23">
        <v>3</v>
      </c>
      <c r="O346" s="24">
        <v>0.51690000000000003</v>
      </c>
    </row>
    <row r="347" spans="1:15" x14ac:dyDescent="0.25">
      <c r="A347" s="18" t="s">
        <v>341</v>
      </c>
      <c r="B347" s="22">
        <v>29.96</v>
      </c>
      <c r="C347" s="23">
        <v>29.64</v>
      </c>
      <c r="D347" s="23">
        <v>29.96</v>
      </c>
      <c r="E347" s="23">
        <v>29.16</v>
      </c>
      <c r="F347" s="23">
        <v>29.16</v>
      </c>
      <c r="G347" s="23">
        <v>29.64</v>
      </c>
      <c r="H347" s="23">
        <v>29.64</v>
      </c>
      <c r="I347" s="23">
        <v>28.84</v>
      </c>
      <c r="J347" s="23">
        <v>29.8</v>
      </c>
      <c r="K347" s="23">
        <v>30.12</v>
      </c>
      <c r="L347" s="23">
        <v>28.84</v>
      </c>
      <c r="M347" s="23">
        <v>101</v>
      </c>
      <c r="N347" s="23">
        <v>10.8</v>
      </c>
      <c r="O347" s="24">
        <v>0.5353</v>
      </c>
    </row>
    <row r="348" spans="1:15" x14ac:dyDescent="0.25">
      <c r="A348" s="18" t="s">
        <v>342</v>
      </c>
      <c r="B348" s="22">
        <v>20.56</v>
      </c>
      <c r="C348" s="23">
        <v>20.399999999999999</v>
      </c>
      <c r="D348" s="23">
        <v>20.56</v>
      </c>
      <c r="E348" s="23">
        <v>20.76</v>
      </c>
      <c r="F348" s="23">
        <v>20.76</v>
      </c>
      <c r="G348" s="23">
        <v>20.6</v>
      </c>
      <c r="H348" s="23">
        <v>20.72</v>
      </c>
      <c r="I348" s="23">
        <v>20.56</v>
      </c>
      <c r="J348" s="23">
        <v>20.72</v>
      </c>
      <c r="K348" s="23">
        <v>20.72</v>
      </c>
      <c r="L348" s="23">
        <v>20.399999999999999</v>
      </c>
      <c r="M348" s="23">
        <v>94</v>
      </c>
      <c r="N348" s="23">
        <v>2</v>
      </c>
      <c r="O348" s="24">
        <v>0.50380000000000003</v>
      </c>
    </row>
    <row r="349" spans="1:15" x14ac:dyDescent="0.25">
      <c r="A349" s="18" t="s">
        <v>343</v>
      </c>
      <c r="B349" s="22">
        <v>20.04</v>
      </c>
      <c r="C349" s="23">
        <v>20.04</v>
      </c>
      <c r="D349" s="23">
        <v>20.2</v>
      </c>
      <c r="E349" s="23">
        <v>20.04</v>
      </c>
      <c r="F349" s="23">
        <v>20.32</v>
      </c>
      <c r="G349" s="23">
        <v>20.04</v>
      </c>
      <c r="H349" s="23">
        <v>20.239999999999998</v>
      </c>
      <c r="I349" s="23">
        <v>20.2</v>
      </c>
      <c r="J349" s="23">
        <v>20.16</v>
      </c>
      <c r="K349" s="23">
        <v>20.48</v>
      </c>
      <c r="L349" s="23">
        <v>20.04</v>
      </c>
      <c r="M349" s="23">
        <v>93</v>
      </c>
      <c r="N349" s="23">
        <v>1.8</v>
      </c>
      <c r="O349" s="24">
        <v>0.505</v>
      </c>
    </row>
    <row r="350" spans="1:15" x14ac:dyDescent="0.25">
      <c r="A350" s="18" t="s">
        <v>344</v>
      </c>
      <c r="B350" s="22">
        <v>19</v>
      </c>
      <c r="C350" s="23">
        <v>19</v>
      </c>
      <c r="D350" s="23">
        <v>19.16</v>
      </c>
      <c r="E350" s="23">
        <v>19</v>
      </c>
      <c r="F350" s="23">
        <v>19</v>
      </c>
      <c r="G350" s="23">
        <v>19</v>
      </c>
      <c r="H350" s="23">
        <v>19</v>
      </c>
      <c r="I350" s="23">
        <v>19</v>
      </c>
      <c r="J350" s="23">
        <v>19</v>
      </c>
      <c r="K350" s="23">
        <v>18.8</v>
      </c>
      <c r="L350" s="23">
        <v>18.8</v>
      </c>
      <c r="M350" s="23">
        <v>94</v>
      </c>
      <c r="N350" s="23">
        <v>0</v>
      </c>
      <c r="O350" s="24">
        <v>0.66310000000000002</v>
      </c>
    </row>
    <row r="351" spans="1:15" x14ac:dyDescent="0.25">
      <c r="A351" s="18" t="s">
        <v>345</v>
      </c>
      <c r="B351" s="22">
        <v>26</v>
      </c>
      <c r="C351" s="23">
        <v>25.96</v>
      </c>
      <c r="D351" s="23">
        <v>26</v>
      </c>
      <c r="E351" s="23">
        <v>25.8</v>
      </c>
      <c r="F351" s="23">
        <v>25.96</v>
      </c>
      <c r="G351" s="23">
        <v>26</v>
      </c>
      <c r="H351" s="23">
        <v>26</v>
      </c>
      <c r="I351" s="23">
        <v>25.96</v>
      </c>
      <c r="J351" s="23">
        <v>26</v>
      </c>
      <c r="K351" s="23">
        <v>26</v>
      </c>
      <c r="L351" s="23">
        <v>25.8</v>
      </c>
      <c r="M351" s="23">
        <v>97</v>
      </c>
      <c r="N351" s="23">
        <v>8</v>
      </c>
      <c r="O351" s="24">
        <v>0.67369999999999997</v>
      </c>
    </row>
    <row r="352" spans="1:15" x14ac:dyDescent="0.25">
      <c r="A352" s="18" t="s">
        <v>346</v>
      </c>
      <c r="B352" s="22">
        <v>23</v>
      </c>
      <c r="C352" s="23">
        <v>23</v>
      </c>
      <c r="D352" s="23">
        <v>23</v>
      </c>
      <c r="E352" s="23">
        <v>23</v>
      </c>
      <c r="F352" s="23">
        <v>23</v>
      </c>
      <c r="G352" s="23">
        <v>23</v>
      </c>
      <c r="H352" s="23">
        <v>23</v>
      </c>
      <c r="I352" s="23">
        <v>23</v>
      </c>
      <c r="J352" s="23">
        <v>23</v>
      </c>
      <c r="K352" s="23">
        <v>23</v>
      </c>
      <c r="L352" s="23">
        <v>23</v>
      </c>
      <c r="M352" s="23">
        <v>87</v>
      </c>
      <c r="N352" s="23">
        <v>7</v>
      </c>
      <c r="O352" s="24">
        <v>0.61950000000000005</v>
      </c>
    </row>
    <row r="353" spans="1:15" x14ac:dyDescent="0.25">
      <c r="A353" s="18" t="s">
        <v>347</v>
      </c>
      <c r="B353" s="22">
        <v>20.28</v>
      </c>
      <c r="C353" s="23">
        <v>20.28</v>
      </c>
      <c r="D353" s="23">
        <v>20.28</v>
      </c>
      <c r="E353" s="23">
        <v>20.28</v>
      </c>
      <c r="F353" s="23">
        <v>20.28</v>
      </c>
      <c r="G353" s="23">
        <v>20.28</v>
      </c>
      <c r="H353" s="23">
        <v>20.28</v>
      </c>
      <c r="I353" s="23">
        <v>20.28</v>
      </c>
      <c r="J353" s="23">
        <v>20.28</v>
      </c>
      <c r="K353" s="23">
        <v>20.28</v>
      </c>
      <c r="L353" s="23">
        <v>20.28</v>
      </c>
      <c r="M353" s="23">
        <v>91</v>
      </c>
      <c r="N353" s="23">
        <v>2.6</v>
      </c>
      <c r="O353" s="24">
        <v>0.63650000000000007</v>
      </c>
    </row>
    <row r="354" spans="1:15" x14ac:dyDescent="0.25">
      <c r="A354" s="18" t="s">
        <v>348</v>
      </c>
      <c r="B354" s="22">
        <v>22.6</v>
      </c>
      <c r="C354" s="23">
        <v>22.64</v>
      </c>
      <c r="D354" s="23">
        <v>22.64</v>
      </c>
      <c r="E354" s="23">
        <v>22.64</v>
      </c>
      <c r="F354" s="23">
        <v>22.64</v>
      </c>
      <c r="G354" s="23">
        <v>22.6</v>
      </c>
      <c r="H354" s="23">
        <v>22.44</v>
      </c>
      <c r="I354" s="23">
        <v>22.64</v>
      </c>
      <c r="J354" s="23">
        <v>22.6</v>
      </c>
      <c r="K354" s="23">
        <v>22.8</v>
      </c>
      <c r="L354" s="23">
        <v>22.44</v>
      </c>
      <c r="M354" s="23">
        <v>93</v>
      </c>
      <c r="N354" s="23">
        <v>4.8</v>
      </c>
      <c r="O354" s="24">
        <v>0.64640000000000009</v>
      </c>
    </row>
    <row r="355" spans="1:15" x14ac:dyDescent="0.25">
      <c r="A355" s="18" t="s">
        <v>349</v>
      </c>
      <c r="B355" s="22">
        <v>18.88</v>
      </c>
      <c r="C355" s="23">
        <v>18.88</v>
      </c>
      <c r="D355" s="23">
        <v>18.88</v>
      </c>
      <c r="E355" s="23">
        <v>18.88</v>
      </c>
      <c r="F355" s="23">
        <v>18.88</v>
      </c>
      <c r="G355" s="23">
        <v>18.88</v>
      </c>
      <c r="H355" s="23">
        <v>18.88</v>
      </c>
      <c r="I355" s="23">
        <v>18.88</v>
      </c>
      <c r="J355" s="23">
        <v>18.88</v>
      </c>
      <c r="K355" s="23">
        <v>18.88</v>
      </c>
      <c r="L355" s="23">
        <v>18.88</v>
      </c>
      <c r="M355" s="23">
        <v>92</v>
      </c>
      <c r="N355" s="23">
        <v>0.6</v>
      </c>
      <c r="O355" s="24">
        <v>0.64839999999999998</v>
      </c>
    </row>
    <row r="356" spans="1:15" x14ac:dyDescent="0.25">
      <c r="A356" s="18" t="s">
        <v>350</v>
      </c>
      <c r="B356" s="22">
        <v>20.96</v>
      </c>
      <c r="C356" s="23">
        <v>20.64</v>
      </c>
      <c r="D356" s="23">
        <v>20.52</v>
      </c>
      <c r="E356" s="23">
        <v>20.64</v>
      </c>
      <c r="F356" s="23">
        <v>21.32</v>
      </c>
      <c r="G356" s="23">
        <v>21.12</v>
      </c>
      <c r="H356" s="23">
        <v>20.48</v>
      </c>
      <c r="I356" s="23">
        <v>20.32</v>
      </c>
      <c r="J356" s="23">
        <v>21.12</v>
      </c>
      <c r="K356" s="23">
        <v>20.2</v>
      </c>
      <c r="L356" s="23">
        <v>20.2</v>
      </c>
      <c r="M356" s="23">
        <v>101</v>
      </c>
      <c r="N356" s="23">
        <v>0</v>
      </c>
      <c r="O356" s="24">
        <v>0.69029999999999991</v>
      </c>
    </row>
    <row r="357" spans="1:15" x14ac:dyDescent="0.25">
      <c r="A357" s="18" t="s">
        <v>351</v>
      </c>
      <c r="B357" s="22">
        <v>18.600000000000001</v>
      </c>
      <c r="C357" s="23">
        <v>18.600000000000001</v>
      </c>
      <c r="D357" s="23">
        <v>18.600000000000001</v>
      </c>
      <c r="E357" s="23">
        <v>18.600000000000001</v>
      </c>
      <c r="F357" s="23">
        <v>18.600000000000001</v>
      </c>
      <c r="G357" s="23">
        <v>18.600000000000001</v>
      </c>
      <c r="H357" s="23">
        <v>18.600000000000001</v>
      </c>
      <c r="I357" s="23">
        <v>18.600000000000001</v>
      </c>
      <c r="J357" s="23">
        <v>18.600000000000001</v>
      </c>
      <c r="K357" s="23">
        <v>18.600000000000001</v>
      </c>
      <c r="L357" s="23">
        <v>18.600000000000001</v>
      </c>
      <c r="M357" s="23">
        <v>93</v>
      </c>
      <c r="N357" s="23">
        <v>0</v>
      </c>
      <c r="O357" s="24">
        <v>0.65650000000000008</v>
      </c>
    </row>
    <row r="358" spans="1:15" x14ac:dyDescent="0.25">
      <c r="A358" s="18" t="s">
        <v>352</v>
      </c>
      <c r="B358" s="22">
        <v>23.2</v>
      </c>
      <c r="C358" s="23">
        <v>23.2</v>
      </c>
      <c r="D358" s="23">
        <v>23.16</v>
      </c>
      <c r="E358" s="23">
        <v>23.2</v>
      </c>
      <c r="F358" s="23">
        <v>23.2</v>
      </c>
      <c r="G358" s="23">
        <v>23.2</v>
      </c>
      <c r="H358" s="23">
        <v>23.2</v>
      </c>
      <c r="I358" s="23">
        <v>23.24</v>
      </c>
      <c r="J358" s="23">
        <v>23.2</v>
      </c>
      <c r="K358" s="23">
        <v>23.04</v>
      </c>
      <c r="L358" s="23">
        <v>23.04</v>
      </c>
      <c r="M358" s="23">
        <v>100</v>
      </c>
      <c r="N358" s="23">
        <v>3.8</v>
      </c>
      <c r="O358" s="24">
        <v>0.6996</v>
      </c>
    </row>
    <row r="359" spans="1:15" x14ac:dyDescent="0.25">
      <c r="A359" s="18" t="s">
        <v>353</v>
      </c>
      <c r="B359" s="22">
        <v>20.92</v>
      </c>
      <c r="C359" s="23">
        <v>20.76</v>
      </c>
      <c r="D359" s="23">
        <v>21.12</v>
      </c>
      <c r="E359" s="23">
        <v>21.08</v>
      </c>
      <c r="F359" s="23">
        <v>20.76</v>
      </c>
      <c r="G359" s="23">
        <v>21.24</v>
      </c>
      <c r="H359" s="23">
        <v>20.76</v>
      </c>
      <c r="I359" s="23">
        <v>20.76</v>
      </c>
      <c r="J359" s="23">
        <v>20.92</v>
      </c>
      <c r="K359" s="23">
        <v>20.92</v>
      </c>
      <c r="L359" s="23">
        <v>20.76</v>
      </c>
      <c r="M359" s="23">
        <v>95</v>
      </c>
      <c r="N359" s="23">
        <v>2.2000000000000002</v>
      </c>
      <c r="O359" s="24">
        <v>0.6664000000000001</v>
      </c>
    </row>
    <row r="360" spans="1:15" x14ac:dyDescent="0.25">
      <c r="A360" s="18" t="s">
        <v>354</v>
      </c>
      <c r="B360" s="22">
        <v>18.2</v>
      </c>
      <c r="C360" s="23">
        <v>18.2</v>
      </c>
      <c r="D360" s="23">
        <v>18.2</v>
      </c>
      <c r="E360" s="23">
        <v>18</v>
      </c>
      <c r="F360" s="23">
        <v>18.2</v>
      </c>
      <c r="G360" s="23">
        <v>18</v>
      </c>
      <c r="H360" s="23">
        <v>18.2</v>
      </c>
      <c r="I360" s="23">
        <v>18.2</v>
      </c>
      <c r="J360" s="23">
        <v>18.2</v>
      </c>
      <c r="K360" s="23">
        <v>18.2</v>
      </c>
      <c r="L360" s="23">
        <v>18</v>
      </c>
      <c r="M360" s="23">
        <v>90</v>
      </c>
      <c r="N360" s="23">
        <v>0</v>
      </c>
      <c r="O360" s="24">
        <v>1.0670999999999999</v>
      </c>
    </row>
    <row r="361" spans="1:15" x14ac:dyDescent="0.25">
      <c r="A361" s="18" t="s">
        <v>355</v>
      </c>
      <c r="B361" s="22">
        <v>21.68</v>
      </c>
      <c r="C361" s="23">
        <v>21.84</v>
      </c>
      <c r="D361" s="23">
        <v>21.68</v>
      </c>
      <c r="E361" s="23">
        <v>21.68</v>
      </c>
      <c r="F361" s="23">
        <v>21.68</v>
      </c>
      <c r="G361" s="23">
        <v>21.84</v>
      </c>
      <c r="H361" s="23">
        <v>21.68</v>
      </c>
      <c r="I361" s="23">
        <v>21.68</v>
      </c>
      <c r="J361" s="23">
        <v>21.68</v>
      </c>
      <c r="K361" s="23">
        <v>21.68</v>
      </c>
      <c r="L361" s="23">
        <v>21.68</v>
      </c>
      <c r="M361" s="23">
        <v>98</v>
      </c>
      <c r="N361" s="23">
        <v>2.6</v>
      </c>
      <c r="O361" s="24">
        <v>1.1072</v>
      </c>
    </row>
    <row r="362" spans="1:15" x14ac:dyDescent="0.25">
      <c r="A362" s="18" t="s">
        <v>356</v>
      </c>
      <c r="B362" s="22">
        <v>19.36</v>
      </c>
      <c r="C362" s="23">
        <v>19.52</v>
      </c>
      <c r="D362" s="23">
        <v>19.36</v>
      </c>
      <c r="E362" s="23">
        <v>19.84</v>
      </c>
      <c r="F362" s="23">
        <v>19.36</v>
      </c>
      <c r="G362" s="23">
        <v>19.36</v>
      </c>
      <c r="H362" s="23">
        <v>19.36</v>
      </c>
      <c r="I362" s="23">
        <v>19.68</v>
      </c>
      <c r="J362" s="23">
        <v>19.36</v>
      </c>
      <c r="K362" s="23">
        <v>19.84</v>
      </c>
      <c r="L362" s="23">
        <v>19.36</v>
      </c>
      <c r="M362" s="23">
        <v>96</v>
      </c>
      <c r="N362" s="23">
        <v>0.2</v>
      </c>
      <c r="O362" s="24">
        <v>1.0913999999999999</v>
      </c>
    </row>
    <row r="363" spans="1:15" x14ac:dyDescent="0.25">
      <c r="A363" s="18" t="s">
        <v>357</v>
      </c>
      <c r="B363" s="22">
        <v>27.48</v>
      </c>
      <c r="C363" s="23">
        <v>27.64</v>
      </c>
      <c r="D363" s="23">
        <v>27.64</v>
      </c>
      <c r="E363" s="23">
        <v>27.64</v>
      </c>
      <c r="F363" s="23">
        <v>27.64</v>
      </c>
      <c r="G363" s="23">
        <v>27.48</v>
      </c>
      <c r="H363" s="23">
        <v>27.48</v>
      </c>
      <c r="I363" s="23">
        <v>27.64</v>
      </c>
      <c r="J363" s="23">
        <v>27.64</v>
      </c>
      <c r="K363" s="23">
        <v>27.64</v>
      </c>
      <c r="L363" s="23">
        <v>27.48</v>
      </c>
      <c r="M363" s="23">
        <v>99</v>
      </c>
      <c r="N363" s="23">
        <v>9.6</v>
      </c>
      <c r="O363" s="24">
        <v>1.1448</v>
      </c>
    </row>
    <row r="364" spans="1:15" x14ac:dyDescent="0.25">
      <c r="A364" s="18" t="s">
        <v>358</v>
      </c>
      <c r="B364" s="22">
        <v>24.76</v>
      </c>
      <c r="C364" s="23">
        <v>24.76</v>
      </c>
      <c r="D364" s="23">
        <v>24.56</v>
      </c>
      <c r="E364" s="23">
        <v>24.72</v>
      </c>
      <c r="F364" s="23">
        <v>24.56</v>
      </c>
      <c r="G364" s="23">
        <v>24.76</v>
      </c>
      <c r="H364" s="23">
        <v>24.56</v>
      </c>
      <c r="I364" s="23">
        <v>24.76</v>
      </c>
      <c r="J364" s="23">
        <v>24.72</v>
      </c>
      <c r="K364" s="23">
        <v>24.6</v>
      </c>
      <c r="L364" s="23">
        <v>24.56</v>
      </c>
      <c r="M364" s="23">
        <v>94</v>
      </c>
      <c r="N364" s="23">
        <v>7.2</v>
      </c>
      <c r="O364" s="24">
        <v>1.1548</v>
      </c>
    </row>
    <row r="365" spans="1:15" x14ac:dyDescent="0.25">
      <c r="A365" s="18" t="s">
        <v>359</v>
      </c>
      <c r="B365" s="22">
        <v>18.600000000000001</v>
      </c>
      <c r="C365" s="23">
        <v>18.600000000000001</v>
      </c>
      <c r="D365" s="23">
        <v>18.600000000000001</v>
      </c>
      <c r="E365" s="23">
        <v>18.920000000000002</v>
      </c>
      <c r="F365" s="23">
        <v>18.600000000000001</v>
      </c>
      <c r="G365" s="23">
        <v>18.600000000000001</v>
      </c>
      <c r="H365" s="23">
        <v>19.079999999999998</v>
      </c>
      <c r="I365" s="23">
        <v>18.920000000000002</v>
      </c>
      <c r="J365" s="23">
        <v>18.600000000000001</v>
      </c>
      <c r="K365" s="23">
        <v>18.920000000000002</v>
      </c>
      <c r="L365" s="23">
        <v>18.600000000000001</v>
      </c>
      <c r="M365" s="23">
        <v>89</v>
      </c>
      <c r="N365" s="23">
        <v>1</v>
      </c>
      <c r="O365" s="24">
        <v>1.0253000000000001</v>
      </c>
    </row>
    <row r="366" spans="1:15" x14ac:dyDescent="0.25">
      <c r="A366" s="18" t="s">
        <v>360</v>
      </c>
      <c r="B366" s="22">
        <v>22.2</v>
      </c>
      <c r="C366" s="23">
        <v>21.68</v>
      </c>
      <c r="D366" s="23">
        <v>22.32</v>
      </c>
      <c r="E366" s="23">
        <v>21.88</v>
      </c>
      <c r="F366" s="23">
        <v>22.2</v>
      </c>
      <c r="G366" s="23">
        <v>21.88</v>
      </c>
      <c r="H366" s="23">
        <v>22.2</v>
      </c>
      <c r="I366" s="23">
        <v>22.52</v>
      </c>
      <c r="J366" s="23">
        <v>22.04</v>
      </c>
      <c r="K366" s="23">
        <v>22.04</v>
      </c>
      <c r="L366" s="23">
        <v>21.68</v>
      </c>
      <c r="M366" s="23">
        <v>98</v>
      </c>
      <c r="N366" s="23">
        <v>2.6</v>
      </c>
      <c r="O366" s="24">
        <v>1.0828</v>
      </c>
    </row>
    <row r="367" spans="1:15" x14ac:dyDescent="0.25">
      <c r="A367" s="18" t="s">
        <v>361</v>
      </c>
      <c r="B367" s="22">
        <v>18.2</v>
      </c>
      <c r="C367" s="23">
        <v>18.399999999999999</v>
      </c>
      <c r="D367" s="23">
        <v>18.2</v>
      </c>
      <c r="E367" s="23">
        <v>18.2</v>
      </c>
      <c r="F367" s="23">
        <v>18.52</v>
      </c>
      <c r="G367" s="23">
        <v>18.52</v>
      </c>
      <c r="H367" s="23">
        <v>18.2</v>
      </c>
      <c r="I367" s="23">
        <v>18.36</v>
      </c>
      <c r="J367" s="23">
        <v>18.399999999999999</v>
      </c>
      <c r="K367" s="23">
        <v>18.68</v>
      </c>
      <c r="L367" s="23">
        <v>18.2</v>
      </c>
      <c r="M367" s="23">
        <v>91</v>
      </c>
      <c r="N367" s="23">
        <v>0</v>
      </c>
      <c r="O367" s="24">
        <v>1.0359</v>
      </c>
    </row>
    <row r="368" spans="1:15" x14ac:dyDescent="0.25">
      <c r="A368" s="18" t="s">
        <v>362</v>
      </c>
      <c r="B368" s="22">
        <v>22.4</v>
      </c>
      <c r="C368" s="23">
        <v>22.08</v>
      </c>
      <c r="D368" s="23">
        <v>22.24</v>
      </c>
      <c r="E368" s="23">
        <v>21.92</v>
      </c>
      <c r="F368" s="23">
        <v>22.4</v>
      </c>
      <c r="G368" s="23">
        <v>22.24</v>
      </c>
      <c r="H368" s="23">
        <v>22.08</v>
      </c>
      <c r="I368" s="23">
        <v>22.4</v>
      </c>
      <c r="J368" s="23">
        <v>22.24</v>
      </c>
      <c r="K368" s="23">
        <v>22.08</v>
      </c>
      <c r="L368" s="23">
        <v>21.92</v>
      </c>
      <c r="M368" s="23">
        <v>92</v>
      </c>
      <c r="N368" s="23">
        <v>4.4000000000000004</v>
      </c>
      <c r="O368" s="24">
        <v>1.0564</v>
      </c>
    </row>
    <row r="369" spans="1:15" x14ac:dyDescent="0.25">
      <c r="A369" s="18" t="s">
        <v>363</v>
      </c>
      <c r="B369" s="22">
        <v>24.28</v>
      </c>
      <c r="C369" s="23">
        <v>24.6</v>
      </c>
      <c r="D369" s="23">
        <v>24.76</v>
      </c>
      <c r="E369" s="23">
        <v>24.92</v>
      </c>
      <c r="F369" s="23">
        <v>24.12</v>
      </c>
      <c r="G369" s="23">
        <v>24.28</v>
      </c>
      <c r="H369" s="23">
        <v>24.44</v>
      </c>
      <c r="I369" s="23">
        <v>24.44</v>
      </c>
      <c r="J369" s="23">
        <v>24.28</v>
      </c>
      <c r="K369" s="23">
        <v>25.08</v>
      </c>
      <c r="L369" s="23">
        <v>24.12</v>
      </c>
      <c r="M369" s="23">
        <v>99</v>
      </c>
      <c r="N369" s="23">
        <v>5.4</v>
      </c>
      <c r="O369" s="24">
        <v>1.2087000000000001</v>
      </c>
    </row>
    <row r="370" spans="1:15" x14ac:dyDescent="0.25">
      <c r="A370" s="18" t="s">
        <v>364</v>
      </c>
      <c r="B370" s="22">
        <v>25.48</v>
      </c>
      <c r="C370" s="23">
        <v>25.64</v>
      </c>
      <c r="D370" s="23">
        <v>25.64</v>
      </c>
      <c r="E370" s="23">
        <v>26.16</v>
      </c>
      <c r="F370" s="23">
        <v>25.16</v>
      </c>
      <c r="G370" s="23">
        <v>26.12</v>
      </c>
      <c r="H370" s="23">
        <v>25.32</v>
      </c>
      <c r="I370" s="23">
        <v>25.16</v>
      </c>
      <c r="J370" s="23">
        <v>25.16</v>
      </c>
      <c r="K370" s="23">
        <v>25.96</v>
      </c>
      <c r="L370" s="23">
        <v>25.16</v>
      </c>
      <c r="M370" s="23">
        <v>101</v>
      </c>
      <c r="N370" s="23">
        <v>6.2</v>
      </c>
      <c r="O370" s="24">
        <v>1.6348</v>
      </c>
    </row>
    <row r="371" spans="1:15" x14ac:dyDescent="0.25">
      <c r="A371" s="18" t="s">
        <v>365</v>
      </c>
      <c r="B371" s="22">
        <v>19.32</v>
      </c>
      <c r="C371" s="23">
        <v>19.32</v>
      </c>
      <c r="D371" s="23">
        <v>19.32</v>
      </c>
      <c r="E371" s="23">
        <v>19.32</v>
      </c>
      <c r="F371" s="23">
        <v>19.32</v>
      </c>
      <c r="G371" s="23">
        <v>19.32</v>
      </c>
      <c r="H371" s="23">
        <v>19.52</v>
      </c>
      <c r="I371" s="23">
        <v>19.32</v>
      </c>
      <c r="J371" s="23">
        <v>19.32</v>
      </c>
      <c r="K371" s="23">
        <v>19.32</v>
      </c>
      <c r="L371" s="23">
        <v>19.32</v>
      </c>
      <c r="M371" s="23">
        <v>95</v>
      </c>
      <c r="N371" s="23">
        <v>0.4</v>
      </c>
      <c r="O371" s="24">
        <v>1.5541</v>
      </c>
    </row>
    <row r="372" spans="1:15" x14ac:dyDescent="0.25">
      <c r="A372" s="18" t="s">
        <v>366</v>
      </c>
      <c r="B372" s="22">
        <v>21.24</v>
      </c>
      <c r="C372" s="23">
        <v>21.44</v>
      </c>
      <c r="D372" s="23">
        <v>21.44</v>
      </c>
      <c r="E372" s="23">
        <v>21.44</v>
      </c>
      <c r="F372" s="23">
        <v>21.24</v>
      </c>
      <c r="G372" s="23">
        <v>21.24</v>
      </c>
      <c r="H372" s="23">
        <v>21.44</v>
      </c>
      <c r="I372" s="23">
        <v>21.44</v>
      </c>
      <c r="J372" s="23">
        <v>21.44</v>
      </c>
      <c r="K372" s="23">
        <v>21.44</v>
      </c>
      <c r="L372" s="23">
        <v>21.24</v>
      </c>
      <c r="M372" s="23">
        <v>99</v>
      </c>
      <c r="N372" s="23">
        <v>1.8</v>
      </c>
      <c r="O372" s="24">
        <v>1.595</v>
      </c>
    </row>
    <row r="373" spans="1:15" x14ac:dyDescent="0.25">
      <c r="A373" s="18" t="s">
        <v>367</v>
      </c>
      <c r="B373" s="22">
        <v>21.96</v>
      </c>
      <c r="C373" s="23">
        <v>21.96</v>
      </c>
      <c r="D373" s="23">
        <v>21.96</v>
      </c>
      <c r="E373" s="23">
        <v>22.4</v>
      </c>
      <c r="F373" s="23">
        <v>21.96</v>
      </c>
      <c r="G373" s="23">
        <v>22.32</v>
      </c>
      <c r="H373" s="23">
        <v>22.28</v>
      </c>
      <c r="I373" s="23">
        <v>22.12</v>
      </c>
      <c r="J373" s="23">
        <v>21.92</v>
      </c>
      <c r="K373" s="23">
        <v>22.28</v>
      </c>
      <c r="L373" s="23">
        <v>21.92</v>
      </c>
      <c r="M373" s="23">
        <v>96</v>
      </c>
      <c r="N373" s="23">
        <v>3.4</v>
      </c>
      <c r="O373" s="24">
        <v>1.6151</v>
      </c>
    </row>
    <row r="374" spans="1:15" x14ac:dyDescent="0.25">
      <c r="A374" s="18" t="s">
        <v>368</v>
      </c>
      <c r="B374" s="22">
        <v>25.04</v>
      </c>
      <c r="C374" s="23">
        <v>24.84</v>
      </c>
      <c r="D374" s="23">
        <v>25.04</v>
      </c>
      <c r="E374" s="23">
        <v>24.84</v>
      </c>
      <c r="F374" s="23">
        <v>25</v>
      </c>
      <c r="G374" s="23">
        <v>25.16</v>
      </c>
      <c r="H374" s="23">
        <v>24.84</v>
      </c>
      <c r="I374" s="23">
        <v>25.04</v>
      </c>
      <c r="J374" s="23">
        <v>25.04</v>
      </c>
      <c r="K374" s="23">
        <v>24.84</v>
      </c>
      <c r="L374" s="23">
        <v>24.84</v>
      </c>
      <c r="M374" s="23">
        <v>93</v>
      </c>
      <c r="N374" s="23">
        <v>7.8</v>
      </c>
      <c r="O374" s="24">
        <v>1.5511999999999999</v>
      </c>
    </row>
    <row r="375" spans="1:15" x14ac:dyDescent="0.25">
      <c r="A375" s="18" t="s">
        <v>369</v>
      </c>
      <c r="B375" s="22">
        <v>19.84</v>
      </c>
      <c r="C375" s="23">
        <v>19.84</v>
      </c>
      <c r="D375" s="23">
        <v>19.84</v>
      </c>
      <c r="E375" s="23">
        <v>19.84</v>
      </c>
      <c r="F375" s="23">
        <v>19.84</v>
      </c>
      <c r="G375" s="23">
        <v>19.68</v>
      </c>
      <c r="H375" s="23">
        <v>19.68</v>
      </c>
      <c r="I375" s="23">
        <v>19.84</v>
      </c>
      <c r="J375" s="23">
        <v>19.84</v>
      </c>
      <c r="K375" s="23">
        <v>19.68</v>
      </c>
      <c r="L375" s="23">
        <v>19.68</v>
      </c>
      <c r="M375" s="23">
        <v>88</v>
      </c>
      <c r="N375" s="23">
        <v>2.6</v>
      </c>
      <c r="O375" s="24">
        <v>1.4187000000000001</v>
      </c>
    </row>
    <row r="376" spans="1:15" x14ac:dyDescent="0.25">
      <c r="A376" s="18" t="s">
        <v>370</v>
      </c>
      <c r="B376" s="22">
        <v>19.64</v>
      </c>
      <c r="C376" s="23">
        <v>19.68</v>
      </c>
      <c r="D376" s="23">
        <v>19.64</v>
      </c>
      <c r="E376" s="23">
        <v>19.48</v>
      </c>
      <c r="F376" s="23">
        <v>19.64</v>
      </c>
      <c r="G376" s="23">
        <v>19.68</v>
      </c>
      <c r="H376" s="23">
        <v>19.48</v>
      </c>
      <c r="I376" s="23">
        <v>19.64</v>
      </c>
      <c r="J376" s="23">
        <v>19.48</v>
      </c>
      <c r="K376" s="23">
        <v>19.48</v>
      </c>
      <c r="L376" s="23">
        <v>19.48</v>
      </c>
      <c r="M376" s="23">
        <v>91</v>
      </c>
      <c r="N376" s="23">
        <v>1.6</v>
      </c>
      <c r="O376" s="24">
        <v>1.659</v>
      </c>
    </row>
    <row r="377" spans="1:15" x14ac:dyDescent="0.25">
      <c r="A377" s="18" t="s">
        <v>371</v>
      </c>
      <c r="B377" s="22">
        <v>19.68</v>
      </c>
      <c r="C377" s="23">
        <v>19.68</v>
      </c>
      <c r="D377" s="23">
        <v>19.68</v>
      </c>
      <c r="E377" s="23">
        <v>19.48</v>
      </c>
      <c r="F377" s="23">
        <v>19.68</v>
      </c>
      <c r="G377" s="23">
        <v>19.68</v>
      </c>
      <c r="H377" s="23">
        <v>19.36</v>
      </c>
      <c r="I377" s="23">
        <v>19.68</v>
      </c>
      <c r="J377" s="23">
        <v>19.36</v>
      </c>
      <c r="K377" s="23">
        <v>19.68</v>
      </c>
      <c r="L377" s="23">
        <v>19.36</v>
      </c>
      <c r="M377" s="23">
        <v>96</v>
      </c>
      <c r="N377" s="23">
        <v>0.2</v>
      </c>
      <c r="O377" s="24">
        <v>1.5928</v>
      </c>
    </row>
    <row r="378" spans="1:15" x14ac:dyDescent="0.25">
      <c r="A378" s="18" t="s">
        <v>372</v>
      </c>
      <c r="B378" s="22">
        <v>19.64</v>
      </c>
      <c r="C378" s="23">
        <v>19.64</v>
      </c>
      <c r="D378" s="23">
        <v>19.64</v>
      </c>
      <c r="E378" s="23">
        <v>19.64</v>
      </c>
      <c r="F378" s="23">
        <v>19.600000000000001</v>
      </c>
      <c r="G378" s="23">
        <v>19.64</v>
      </c>
      <c r="H378" s="23">
        <v>19.440000000000001</v>
      </c>
      <c r="I378" s="23">
        <v>19.64</v>
      </c>
      <c r="J378" s="23">
        <v>19.64</v>
      </c>
      <c r="K378" s="23">
        <v>19.64</v>
      </c>
      <c r="L378" s="23">
        <v>19.440000000000001</v>
      </c>
      <c r="M378" s="23">
        <v>94</v>
      </c>
      <c r="N378" s="23">
        <v>0.8</v>
      </c>
      <c r="O378" s="24">
        <v>1.5589999999999999</v>
      </c>
    </row>
    <row r="379" spans="1:15" x14ac:dyDescent="0.25">
      <c r="A379" s="18" t="s">
        <v>373</v>
      </c>
      <c r="B379" s="22">
        <v>21</v>
      </c>
      <c r="C379" s="23">
        <v>21</v>
      </c>
      <c r="D379" s="23">
        <v>21</v>
      </c>
      <c r="E379" s="23">
        <v>21</v>
      </c>
      <c r="F379" s="23">
        <v>21.16</v>
      </c>
      <c r="G379" s="23">
        <v>21</v>
      </c>
      <c r="H379" s="23">
        <v>21</v>
      </c>
      <c r="I379" s="23">
        <v>21</v>
      </c>
      <c r="J379" s="23">
        <v>21.16</v>
      </c>
      <c r="K379" s="23">
        <v>21</v>
      </c>
      <c r="L379" s="23">
        <v>21</v>
      </c>
      <c r="M379" s="23">
        <v>97</v>
      </c>
      <c r="N379" s="23">
        <v>2</v>
      </c>
      <c r="O379" s="24">
        <v>1.6375999999999999</v>
      </c>
    </row>
    <row r="380" spans="1:15" x14ac:dyDescent="0.25">
      <c r="A380" s="18" t="s">
        <v>374</v>
      </c>
      <c r="B380" s="22">
        <v>23.44</v>
      </c>
      <c r="C380" s="23">
        <v>22.28</v>
      </c>
      <c r="D380" s="23">
        <v>23.44</v>
      </c>
      <c r="E380" s="23">
        <v>23.04</v>
      </c>
      <c r="F380" s="23">
        <v>23.08</v>
      </c>
      <c r="G380" s="23">
        <v>23.72</v>
      </c>
      <c r="H380" s="23">
        <v>23.08</v>
      </c>
      <c r="I380" s="23">
        <v>23.36</v>
      </c>
      <c r="J380" s="23">
        <v>23.24</v>
      </c>
      <c r="K380" s="23">
        <v>23.4</v>
      </c>
      <c r="L380" s="23">
        <v>22.28</v>
      </c>
      <c r="M380" s="23">
        <v>101</v>
      </c>
      <c r="N380" s="23">
        <v>2.6</v>
      </c>
      <c r="O380" s="24">
        <v>1.9545999999999999</v>
      </c>
    </row>
    <row r="381" spans="1:15" x14ac:dyDescent="0.25">
      <c r="A381" s="18" t="s">
        <v>375</v>
      </c>
      <c r="B381" s="22">
        <v>23.4</v>
      </c>
      <c r="C381" s="23">
        <v>23.24</v>
      </c>
      <c r="D381" s="23">
        <v>23.4</v>
      </c>
      <c r="E381" s="23">
        <v>23.24</v>
      </c>
      <c r="F381" s="23">
        <v>23.56</v>
      </c>
      <c r="G381" s="23">
        <v>23.56</v>
      </c>
      <c r="H381" s="23">
        <v>23.28</v>
      </c>
      <c r="I381" s="23">
        <v>23.08</v>
      </c>
      <c r="J381" s="23">
        <v>23.24</v>
      </c>
      <c r="K381" s="23">
        <v>23.4</v>
      </c>
      <c r="L381" s="23">
        <v>23.08</v>
      </c>
      <c r="M381" s="23">
        <v>93</v>
      </c>
      <c r="N381" s="23">
        <v>5.6</v>
      </c>
      <c r="O381" s="24">
        <v>1.6814</v>
      </c>
    </row>
    <row r="382" spans="1:15" x14ac:dyDescent="0.25">
      <c r="A382" s="18" t="s">
        <v>376</v>
      </c>
      <c r="B382" s="22">
        <v>23.16</v>
      </c>
      <c r="C382" s="23">
        <v>23.16</v>
      </c>
      <c r="D382" s="23">
        <v>23.16</v>
      </c>
      <c r="E382" s="23">
        <v>23.16</v>
      </c>
      <c r="F382" s="23">
        <v>23.16</v>
      </c>
      <c r="G382" s="23">
        <v>23.16</v>
      </c>
      <c r="H382" s="23">
        <v>23.16</v>
      </c>
      <c r="I382" s="23">
        <v>23.16</v>
      </c>
      <c r="J382" s="23">
        <v>23.16</v>
      </c>
      <c r="K382" s="23">
        <v>23.16</v>
      </c>
      <c r="L382" s="23">
        <v>23.16</v>
      </c>
      <c r="M382" s="23">
        <v>87</v>
      </c>
      <c r="N382" s="23">
        <v>7.2</v>
      </c>
      <c r="O382" s="24">
        <v>1.9269000000000001</v>
      </c>
    </row>
    <row r="383" spans="1:15" x14ac:dyDescent="0.25">
      <c r="A383" s="18" t="s">
        <v>377</v>
      </c>
      <c r="B383" s="22">
        <v>27.88</v>
      </c>
      <c r="C383" s="23">
        <v>27.88</v>
      </c>
      <c r="D383" s="23">
        <v>27.88</v>
      </c>
      <c r="E383" s="23">
        <v>27.88</v>
      </c>
      <c r="F383" s="23">
        <v>27.72</v>
      </c>
      <c r="G383" s="23">
        <v>27.72</v>
      </c>
      <c r="H383" s="23">
        <v>27.88</v>
      </c>
      <c r="I383" s="23">
        <v>27.72</v>
      </c>
      <c r="J383" s="23">
        <v>27.72</v>
      </c>
      <c r="K383" s="23">
        <v>27.72</v>
      </c>
      <c r="L383" s="23">
        <v>27.72</v>
      </c>
      <c r="M383" s="23">
        <v>93</v>
      </c>
      <c r="N383" s="23">
        <v>11.4</v>
      </c>
      <c r="O383" s="24">
        <v>1.7057</v>
      </c>
    </row>
    <row r="384" spans="1:15" x14ac:dyDescent="0.25">
      <c r="A384" s="18" t="s">
        <v>378</v>
      </c>
      <c r="B384" s="22">
        <v>21</v>
      </c>
      <c r="C384" s="23">
        <v>20.96</v>
      </c>
      <c r="D384" s="23">
        <v>21</v>
      </c>
      <c r="E384" s="23">
        <v>21</v>
      </c>
      <c r="F384" s="23">
        <v>21</v>
      </c>
      <c r="G384" s="23">
        <v>20.96</v>
      </c>
      <c r="H384" s="23">
        <v>21</v>
      </c>
      <c r="I384" s="23">
        <v>21.12</v>
      </c>
      <c r="J384" s="23">
        <v>21</v>
      </c>
      <c r="K384" s="23">
        <v>21</v>
      </c>
      <c r="L384" s="23">
        <v>20.96</v>
      </c>
      <c r="M384" s="23">
        <v>92</v>
      </c>
      <c r="N384" s="23">
        <v>3.2</v>
      </c>
      <c r="O384" s="24">
        <v>1.8694</v>
      </c>
    </row>
    <row r="385" spans="1:15" x14ac:dyDescent="0.25">
      <c r="A385" s="18" t="s">
        <v>379</v>
      </c>
      <c r="B385" s="22">
        <v>21.04</v>
      </c>
      <c r="C385" s="23">
        <v>20.84</v>
      </c>
      <c r="D385" s="23">
        <v>21.04</v>
      </c>
      <c r="E385" s="23">
        <v>21.04</v>
      </c>
      <c r="F385" s="23">
        <v>21</v>
      </c>
      <c r="G385" s="23">
        <v>21</v>
      </c>
      <c r="H385" s="23">
        <v>21</v>
      </c>
      <c r="I385" s="23">
        <v>21.04</v>
      </c>
      <c r="J385" s="23">
        <v>20.84</v>
      </c>
      <c r="K385" s="23">
        <v>21</v>
      </c>
      <c r="L385" s="23">
        <v>20.84</v>
      </c>
      <c r="M385" s="23">
        <v>97</v>
      </c>
      <c r="N385" s="23">
        <v>1.8</v>
      </c>
      <c r="O385" s="24">
        <v>1.8665</v>
      </c>
    </row>
    <row r="386" spans="1:15" x14ac:dyDescent="0.25">
      <c r="A386" s="18" t="s">
        <v>380</v>
      </c>
      <c r="B386" s="22">
        <v>20.84</v>
      </c>
      <c r="C386" s="23">
        <v>20.84</v>
      </c>
      <c r="D386" s="23">
        <v>20.84</v>
      </c>
      <c r="E386" s="23">
        <v>20.84</v>
      </c>
      <c r="F386" s="23">
        <v>20.84</v>
      </c>
      <c r="G386" s="23">
        <v>20.84</v>
      </c>
      <c r="H386" s="23">
        <v>20.84</v>
      </c>
      <c r="I386" s="23">
        <v>20.84</v>
      </c>
      <c r="J386" s="23">
        <v>20.84</v>
      </c>
      <c r="K386" s="23">
        <v>20.84</v>
      </c>
      <c r="L386" s="23">
        <v>20.84</v>
      </c>
      <c r="M386" s="23">
        <v>97</v>
      </c>
      <c r="N386" s="23">
        <v>1.8</v>
      </c>
      <c r="O386" s="24">
        <v>2.1518000000000002</v>
      </c>
    </row>
    <row r="387" spans="1:15" x14ac:dyDescent="0.25">
      <c r="A387" s="18" t="s">
        <v>381</v>
      </c>
      <c r="B387" s="22">
        <v>25.04</v>
      </c>
      <c r="C387" s="23">
        <v>25.24</v>
      </c>
      <c r="D387" s="23">
        <v>25.4</v>
      </c>
      <c r="E387" s="23">
        <v>25.36</v>
      </c>
      <c r="F387" s="23">
        <v>25.04</v>
      </c>
      <c r="G387" s="23">
        <v>25.04</v>
      </c>
      <c r="H387" s="23">
        <v>25.36</v>
      </c>
      <c r="I387" s="23">
        <v>25.2</v>
      </c>
      <c r="J387" s="23">
        <v>25.4</v>
      </c>
      <c r="K387" s="23">
        <v>25.2</v>
      </c>
      <c r="L387" s="23">
        <v>25.04</v>
      </c>
      <c r="M387" s="23">
        <v>90</v>
      </c>
      <c r="N387" s="23">
        <v>8.8000000000000007</v>
      </c>
      <c r="O387" s="24">
        <v>2.0091000000000001</v>
      </c>
    </row>
    <row r="388" spans="1:15" x14ac:dyDescent="0.25">
      <c r="A388" s="18" t="s">
        <v>382</v>
      </c>
      <c r="B388" s="22">
        <v>27.52</v>
      </c>
      <c r="C388" s="23">
        <v>27.68</v>
      </c>
      <c r="D388" s="23">
        <v>27.32</v>
      </c>
      <c r="E388" s="23">
        <v>27.32</v>
      </c>
      <c r="F388" s="23">
        <v>27.16</v>
      </c>
      <c r="G388" s="23">
        <v>27.16</v>
      </c>
      <c r="H388" s="23">
        <v>27.2</v>
      </c>
      <c r="I388" s="23">
        <v>27.64</v>
      </c>
      <c r="J388" s="23">
        <v>27.16</v>
      </c>
      <c r="K388" s="23">
        <v>27.48</v>
      </c>
      <c r="L388" s="23">
        <v>27.16</v>
      </c>
      <c r="M388" s="23">
        <v>107</v>
      </c>
      <c r="N388" s="23">
        <v>7.2</v>
      </c>
      <c r="O388" s="24">
        <v>2.2479</v>
      </c>
    </row>
    <row r="389" spans="1:15" x14ac:dyDescent="0.25">
      <c r="A389" s="18" t="s">
        <v>383</v>
      </c>
      <c r="B389" s="22">
        <v>23</v>
      </c>
      <c r="C389" s="23">
        <v>23.32</v>
      </c>
      <c r="D389" s="23">
        <v>23</v>
      </c>
      <c r="E389" s="23">
        <v>23</v>
      </c>
      <c r="F389" s="23">
        <v>23.16</v>
      </c>
      <c r="G389" s="23">
        <v>23.32</v>
      </c>
      <c r="H389" s="23">
        <v>23</v>
      </c>
      <c r="I389" s="23">
        <v>22.8</v>
      </c>
      <c r="J389" s="23">
        <v>23.32</v>
      </c>
      <c r="K389" s="23">
        <v>23.16</v>
      </c>
      <c r="L389" s="23">
        <v>22.8</v>
      </c>
      <c r="M389" s="23">
        <v>94</v>
      </c>
      <c r="N389" s="23">
        <v>5</v>
      </c>
      <c r="O389" s="24">
        <v>1.7901</v>
      </c>
    </row>
    <row r="390" spans="1:15" x14ac:dyDescent="0.25">
      <c r="A390" s="18" t="s">
        <v>384</v>
      </c>
      <c r="B390" s="22">
        <v>18.399999999999999</v>
      </c>
      <c r="C390" s="23">
        <v>18.399999999999999</v>
      </c>
      <c r="D390" s="23">
        <v>18.399999999999999</v>
      </c>
      <c r="E390" s="23">
        <v>18.559999999999999</v>
      </c>
      <c r="F390" s="23">
        <v>18.399999999999999</v>
      </c>
      <c r="G390" s="23">
        <v>18.559999999999999</v>
      </c>
      <c r="H390" s="23">
        <v>18.399999999999999</v>
      </c>
      <c r="I390" s="23">
        <v>18.399999999999999</v>
      </c>
      <c r="J390" s="23">
        <v>18.559999999999999</v>
      </c>
      <c r="K390" s="23">
        <v>18.399999999999999</v>
      </c>
      <c r="L390" s="23">
        <v>18.399999999999999</v>
      </c>
      <c r="M390" s="23">
        <v>84</v>
      </c>
      <c r="N390" s="23">
        <v>2</v>
      </c>
      <c r="O390" s="24">
        <v>0.20330000000000001</v>
      </c>
    </row>
    <row r="391" spans="1:15" x14ac:dyDescent="0.25">
      <c r="A391" s="18" t="s">
        <v>385</v>
      </c>
      <c r="B391" s="22">
        <v>20.84</v>
      </c>
      <c r="C391" s="23">
        <v>20.84</v>
      </c>
      <c r="D391" s="23">
        <v>20.84</v>
      </c>
      <c r="E391" s="23">
        <v>20.84</v>
      </c>
      <c r="F391" s="23">
        <v>20.84</v>
      </c>
      <c r="G391" s="23">
        <v>20.84</v>
      </c>
      <c r="H391" s="23">
        <v>21.04</v>
      </c>
      <c r="I391" s="23">
        <v>21</v>
      </c>
      <c r="J391" s="23">
        <v>20.84</v>
      </c>
      <c r="K391" s="23">
        <v>20.84</v>
      </c>
      <c r="L391" s="23">
        <v>20.84</v>
      </c>
      <c r="M391" s="23">
        <v>93</v>
      </c>
      <c r="N391" s="23">
        <v>2.8</v>
      </c>
      <c r="O391" s="24">
        <v>0.22520000000000001</v>
      </c>
    </row>
    <row r="392" spans="1:15" x14ac:dyDescent="0.25">
      <c r="A392" s="18" t="s">
        <v>386</v>
      </c>
      <c r="B392" s="22">
        <v>21.44</v>
      </c>
      <c r="C392" s="23">
        <v>21.44</v>
      </c>
      <c r="D392" s="23">
        <v>21.44</v>
      </c>
      <c r="E392" s="23">
        <v>21.6</v>
      </c>
      <c r="F392" s="23">
        <v>21.44</v>
      </c>
      <c r="G392" s="23">
        <v>21.64</v>
      </c>
      <c r="H392" s="23">
        <v>21.64</v>
      </c>
      <c r="I392" s="23">
        <v>21.64</v>
      </c>
      <c r="J392" s="23">
        <v>21.44</v>
      </c>
      <c r="K392" s="23">
        <v>21.64</v>
      </c>
      <c r="L392" s="23">
        <v>21.44</v>
      </c>
      <c r="M392" s="23">
        <v>88</v>
      </c>
      <c r="N392" s="23">
        <v>4.8</v>
      </c>
      <c r="O392" s="24">
        <v>0.21909999999999999</v>
      </c>
    </row>
    <row r="393" spans="1:15" x14ac:dyDescent="0.25">
      <c r="A393" s="18" t="s">
        <v>387</v>
      </c>
      <c r="B393" s="22">
        <v>20.84</v>
      </c>
      <c r="C393" s="23">
        <v>20.84</v>
      </c>
      <c r="D393" s="23">
        <v>21</v>
      </c>
      <c r="E393" s="23">
        <v>21</v>
      </c>
      <c r="F393" s="23">
        <v>20.84</v>
      </c>
      <c r="G393" s="23">
        <v>20.84</v>
      </c>
      <c r="H393" s="23">
        <v>20.84</v>
      </c>
      <c r="I393" s="23">
        <v>20.84</v>
      </c>
      <c r="J393" s="23">
        <v>21</v>
      </c>
      <c r="K393" s="23">
        <v>20.84</v>
      </c>
      <c r="L393" s="23">
        <v>20.84</v>
      </c>
      <c r="M393" s="23">
        <v>93</v>
      </c>
      <c r="N393" s="23">
        <v>2.8</v>
      </c>
      <c r="O393" s="24">
        <v>0.22900000000000001</v>
      </c>
    </row>
    <row r="394" spans="1:15" x14ac:dyDescent="0.25">
      <c r="A394" s="18" t="s">
        <v>388</v>
      </c>
      <c r="B394" s="22">
        <v>18.96</v>
      </c>
      <c r="C394" s="23">
        <v>18.96</v>
      </c>
      <c r="D394" s="23">
        <v>18.760000000000002</v>
      </c>
      <c r="E394" s="23">
        <v>18.760000000000002</v>
      </c>
      <c r="F394" s="23">
        <v>18.760000000000002</v>
      </c>
      <c r="G394" s="23">
        <v>18.760000000000002</v>
      </c>
      <c r="H394" s="23">
        <v>18.96</v>
      </c>
      <c r="I394" s="23">
        <v>18.96</v>
      </c>
      <c r="J394" s="23">
        <v>18.96</v>
      </c>
      <c r="K394" s="23">
        <v>18.760000000000002</v>
      </c>
      <c r="L394" s="23">
        <v>18.760000000000002</v>
      </c>
      <c r="M394" s="23">
        <v>93</v>
      </c>
      <c r="N394" s="23">
        <v>0.2</v>
      </c>
      <c r="O394" s="24">
        <v>0.2356</v>
      </c>
    </row>
    <row r="395" spans="1:15" x14ac:dyDescent="0.25">
      <c r="A395" s="18" t="s">
        <v>389</v>
      </c>
      <c r="B395" s="22">
        <v>19.36</v>
      </c>
      <c r="C395" s="23">
        <v>19.16</v>
      </c>
      <c r="D395" s="23">
        <v>19.36</v>
      </c>
      <c r="E395" s="23">
        <v>19.36</v>
      </c>
      <c r="F395" s="23">
        <v>19.16</v>
      </c>
      <c r="G395" s="23">
        <v>19.16</v>
      </c>
      <c r="H395" s="23">
        <v>19.36</v>
      </c>
      <c r="I395" s="23">
        <v>19.36</v>
      </c>
      <c r="J395" s="23">
        <v>19.36</v>
      </c>
      <c r="K395" s="23">
        <v>19.36</v>
      </c>
      <c r="L395" s="23">
        <v>19.16</v>
      </c>
      <c r="M395" s="23">
        <v>95</v>
      </c>
      <c r="N395" s="23">
        <v>0.2</v>
      </c>
      <c r="O395" s="24">
        <v>0.22689999999999999</v>
      </c>
    </row>
    <row r="396" spans="1:15" x14ac:dyDescent="0.25">
      <c r="A396" s="18" t="s">
        <v>390</v>
      </c>
      <c r="B396" s="22">
        <v>19.760000000000002</v>
      </c>
      <c r="C396" s="23">
        <v>19.760000000000002</v>
      </c>
      <c r="D396" s="23">
        <v>19.760000000000002</v>
      </c>
      <c r="E396" s="23">
        <v>19.760000000000002</v>
      </c>
      <c r="F396" s="23">
        <v>19.760000000000002</v>
      </c>
      <c r="G396" s="23">
        <v>19.760000000000002</v>
      </c>
      <c r="H396" s="23">
        <v>19.760000000000002</v>
      </c>
      <c r="I396" s="23">
        <v>19.760000000000002</v>
      </c>
      <c r="J396" s="23">
        <v>19.760000000000002</v>
      </c>
      <c r="K396" s="23">
        <v>19.760000000000002</v>
      </c>
      <c r="L396" s="23">
        <v>19.760000000000002</v>
      </c>
      <c r="M396" s="23">
        <v>98</v>
      </c>
      <c r="N396" s="23">
        <v>0.2</v>
      </c>
      <c r="O396" s="24">
        <v>0.23569999999999999</v>
      </c>
    </row>
    <row r="397" spans="1:15" x14ac:dyDescent="0.25">
      <c r="A397" s="18" t="s">
        <v>391</v>
      </c>
      <c r="B397" s="22">
        <v>20.079999999999998</v>
      </c>
      <c r="C397" s="23">
        <v>20.079999999999998</v>
      </c>
      <c r="D397" s="23">
        <v>20.079999999999998</v>
      </c>
      <c r="E397" s="23">
        <v>20.079999999999998</v>
      </c>
      <c r="F397" s="23">
        <v>20.079999999999998</v>
      </c>
      <c r="G397" s="23">
        <v>20.079999999999998</v>
      </c>
      <c r="H397" s="23">
        <v>20.079999999999998</v>
      </c>
      <c r="I397" s="23">
        <v>20.079999999999998</v>
      </c>
      <c r="J397" s="23">
        <v>20.079999999999998</v>
      </c>
      <c r="K397" s="23">
        <v>20.079999999999998</v>
      </c>
      <c r="L397" s="23">
        <v>20.079999999999998</v>
      </c>
      <c r="M397" s="23">
        <v>90</v>
      </c>
      <c r="N397" s="23">
        <v>2.6</v>
      </c>
      <c r="O397" s="24">
        <v>0.2213</v>
      </c>
    </row>
    <row r="398" spans="1:15" x14ac:dyDescent="0.25">
      <c r="A398" s="18" t="s">
        <v>392</v>
      </c>
      <c r="B398" s="22">
        <v>19.16</v>
      </c>
      <c r="C398" s="23">
        <v>19.16</v>
      </c>
      <c r="D398" s="23">
        <v>19.16</v>
      </c>
      <c r="E398" s="23">
        <v>19.32</v>
      </c>
      <c r="F398" s="23">
        <v>19.16</v>
      </c>
      <c r="G398" s="23">
        <v>19.16</v>
      </c>
      <c r="H398" s="23">
        <v>19.16</v>
      </c>
      <c r="I398" s="23">
        <v>19.16</v>
      </c>
      <c r="J398" s="23">
        <v>19.32</v>
      </c>
      <c r="K398" s="23">
        <v>19.16</v>
      </c>
      <c r="L398" s="23">
        <v>19.16</v>
      </c>
      <c r="M398" s="23">
        <v>87</v>
      </c>
      <c r="N398" s="23">
        <v>2.2000000000000002</v>
      </c>
      <c r="O398" s="24">
        <v>0.2137</v>
      </c>
    </row>
    <row r="399" spans="1:15" x14ac:dyDescent="0.25">
      <c r="A399" s="18" t="s">
        <v>393</v>
      </c>
      <c r="B399" s="22">
        <v>21.56</v>
      </c>
      <c r="C399" s="23">
        <v>21.56</v>
      </c>
      <c r="D399" s="23">
        <v>21.56</v>
      </c>
      <c r="E399" s="23">
        <v>21.56</v>
      </c>
      <c r="F399" s="23">
        <v>21.56</v>
      </c>
      <c r="G399" s="23">
        <v>21.56</v>
      </c>
      <c r="H399" s="23">
        <v>21.56</v>
      </c>
      <c r="I399" s="23">
        <v>21.56</v>
      </c>
      <c r="J399" s="23">
        <v>21.56</v>
      </c>
      <c r="K399" s="23">
        <v>21.56</v>
      </c>
      <c r="L399" s="23">
        <v>21.56</v>
      </c>
      <c r="M399" s="23">
        <v>91</v>
      </c>
      <c r="N399" s="23">
        <v>4.2</v>
      </c>
      <c r="O399" s="24">
        <v>0.224</v>
      </c>
    </row>
    <row r="400" spans="1:15" x14ac:dyDescent="0.25">
      <c r="A400" s="18" t="s">
        <v>394</v>
      </c>
      <c r="B400" s="22">
        <v>26.92</v>
      </c>
      <c r="C400" s="23">
        <v>26.92</v>
      </c>
      <c r="D400" s="23">
        <v>27.08</v>
      </c>
      <c r="E400" s="23">
        <v>27.32</v>
      </c>
      <c r="F400" s="23">
        <v>26.92</v>
      </c>
      <c r="G400" s="23">
        <v>26.96</v>
      </c>
      <c r="H400" s="23">
        <v>26.76</v>
      </c>
      <c r="I400" s="23">
        <v>27.24</v>
      </c>
      <c r="J400" s="23">
        <v>27.08</v>
      </c>
      <c r="K400" s="23">
        <v>27.4</v>
      </c>
      <c r="L400" s="23">
        <v>26.76</v>
      </c>
      <c r="M400" s="23">
        <v>93</v>
      </c>
      <c r="N400" s="23">
        <v>10.199999999999999</v>
      </c>
      <c r="O400" s="24">
        <v>2.5874999999999999</v>
      </c>
    </row>
    <row r="401" spans="1:15" x14ac:dyDescent="0.25">
      <c r="A401" s="18" t="s">
        <v>395</v>
      </c>
      <c r="B401" s="22">
        <v>23.84</v>
      </c>
      <c r="C401" s="23">
        <v>23.88</v>
      </c>
      <c r="D401" s="23">
        <v>23.84</v>
      </c>
      <c r="E401" s="23">
        <v>23.72</v>
      </c>
      <c r="F401" s="23">
        <v>23.84</v>
      </c>
      <c r="G401" s="23">
        <v>23.84</v>
      </c>
      <c r="H401" s="23">
        <v>23.36</v>
      </c>
      <c r="I401" s="23">
        <v>23.84</v>
      </c>
      <c r="J401" s="23">
        <v>23.68</v>
      </c>
      <c r="K401" s="23">
        <v>23.88</v>
      </c>
      <c r="L401" s="23">
        <v>23.36</v>
      </c>
      <c r="M401" s="23">
        <v>92</v>
      </c>
      <c r="N401" s="23">
        <v>6.2</v>
      </c>
      <c r="O401" s="24">
        <v>2.4668000000000001</v>
      </c>
    </row>
    <row r="402" spans="1:15" x14ac:dyDescent="0.25">
      <c r="A402" s="18" t="s">
        <v>396</v>
      </c>
      <c r="B402" s="22">
        <v>23.6</v>
      </c>
      <c r="C402" s="23">
        <v>23.6</v>
      </c>
      <c r="D402" s="23">
        <v>23.6</v>
      </c>
      <c r="E402" s="23">
        <v>23.76</v>
      </c>
      <c r="F402" s="23">
        <v>23.44</v>
      </c>
      <c r="G402" s="23">
        <v>23.6</v>
      </c>
      <c r="H402" s="23">
        <v>23.6</v>
      </c>
      <c r="I402" s="23">
        <v>23.76</v>
      </c>
      <c r="J402" s="23">
        <v>23.44</v>
      </c>
      <c r="K402" s="23">
        <v>23.44</v>
      </c>
      <c r="L402" s="23">
        <v>23.44</v>
      </c>
      <c r="M402" s="23">
        <v>94</v>
      </c>
      <c r="N402" s="23">
        <v>5.8</v>
      </c>
      <c r="O402" s="24">
        <v>2.4940000000000002</v>
      </c>
    </row>
    <row r="403" spans="1:15" x14ac:dyDescent="0.25">
      <c r="A403" s="18" t="s">
        <v>397</v>
      </c>
      <c r="B403" s="22">
        <v>25.8</v>
      </c>
      <c r="C403" s="23">
        <v>25.8</v>
      </c>
      <c r="D403" s="23">
        <v>25.8</v>
      </c>
      <c r="E403" s="23">
        <v>25.8</v>
      </c>
      <c r="F403" s="23">
        <v>25.48</v>
      </c>
      <c r="G403" s="23">
        <v>25.76</v>
      </c>
      <c r="H403" s="23">
        <v>25.32</v>
      </c>
      <c r="I403" s="23">
        <v>25.8</v>
      </c>
      <c r="J403" s="23">
        <v>25.64</v>
      </c>
      <c r="K403" s="23">
        <v>25.8</v>
      </c>
      <c r="L403" s="23">
        <v>25.32</v>
      </c>
      <c r="M403" s="23">
        <v>93</v>
      </c>
      <c r="N403" s="23">
        <v>8.4</v>
      </c>
      <c r="O403" s="24">
        <v>3.403</v>
      </c>
    </row>
    <row r="404" spans="1:15" x14ac:dyDescent="0.25">
      <c r="A404" s="18" t="s">
        <v>398</v>
      </c>
      <c r="B404" s="22">
        <v>20.04</v>
      </c>
      <c r="C404" s="23">
        <v>20.079999999999998</v>
      </c>
      <c r="D404" s="23">
        <v>20.079999999999998</v>
      </c>
      <c r="E404" s="23">
        <v>20.079999999999998</v>
      </c>
      <c r="F404" s="23">
        <v>20.079999999999998</v>
      </c>
      <c r="G404" s="23">
        <v>19.88</v>
      </c>
      <c r="H404" s="23">
        <v>20.079999999999998</v>
      </c>
      <c r="I404" s="23">
        <v>20.079999999999998</v>
      </c>
      <c r="J404" s="23">
        <v>20.079999999999998</v>
      </c>
      <c r="K404" s="23">
        <v>20.079999999999998</v>
      </c>
      <c r="L404" s="23">
        <v>19.88</v>
      </c>
      <c r="M404" s="23">
        <v>93</v>
      </c>
      <c r="N404" s="23">
        <v>1.6</v>
      </c>
      <c r="O404" s="24">
        <v>2.6808000000000001</v>
      </c>
    </row>
    <row r="405" spans="1:15" x14ac:dyDescent="0.25">
      <c r="A405" s="18" t="s">
        <v>399</v>
      </c>
      <c r="B405" s="22">
        <v>21.68</v>
      </c>
      <c r="C405" s="23">
        <v>21.52</v>
      </c>
      <c r="D405" s="23">
        <v>21.52</v>
      </c>
      <c r="E405" s="23">
        <v>21.36</v>
      </c>
      <c r="F405" s="23">
        <v>21.88</v>
      </c>
      <c r="G405" s="23">
        <v>21.36</v>
      </c>
      <c r="H405" s="23">
        <v>21.56</v>
      </c>
      <c r="I405" s="23">
        <v>21.52</v>
      </c>
      <c r="J405" s="23">
        <v>21.56</v>
      </c>
      <c r="K405" s="23">
        <v>21.56</v>
      </c>
      <c r="L405" s="23">
        <v>21.36</v>
      </c>
      <c r="M405" s="23">
        <v>90</v>
      </c>
      <c r="N405" s="23">
        <v>4.2</v>
      </c>
      <c r="O405" s="24">
        <v>3.0691000000000002</v>
      </c>
    </row>
    <row r="406" spans="1:15" x14ac:dyDescent="0.25">
      <c r="A406" s="18" t="s">
        <v>400</v>
      </c>
      <c r="B406" s="22">
        <v>21.04</v>
      </c>
      <c r="C406" s="23">
        <v>21.04</v>
      </c>
      <c r="D406" s="23">
        <v>21.36</v>
      </c>
      <c r="E406" s="23">
        <v>21.04</v>
      </c>
      <c r="F406" s="23">
        <v>20.88</v>
      </c>
      <c r="G406" s="23">
        <v>21.04</v>
      </c>
      <c r="H406" s="23">
        <v>21.04</v>
      </c>
      <c r="I406" s="23">
        <v>20.84</v>
      </c>
      <c r="J406" s="23">
        <v>21</v>
      </c>
      <c r="K406" s="23">
        <v>21.04</v>
      </c>
      <c r="L406" s="23">
        <v>20.84</v>
      </c>
      <c r="M406" s="23">
        <v>93</v>
      </c>
      <c r="N406" s="23">
        <v>2.8</v>
      </c>
      <c r="O406" s="24">
        <v>2.4293</v>
      </c>
    </row>
    <row r="407" spans="1:15" x14ac:dyDescent="0.25">
      <c r="A407" s="18" t="s">
        <v>401</v>
      </c>
      <c r="B407" s="22">
        <v>21.28</v>
      </c>
      <c r="C407" s="23">
        <v>21.24</v>
      </c>
      <c r="D407" s="23">
        <v>21.12</v>
      </c>
      <c r="E407" s="23">
        <v>21.44</v>
      </c>
      <c r="F407" s="23">
        <v>21.28</v>
      </c>
      <c r="G407" s="23">
        <v>21.08</v>
      </c>
      <c r="H407" s="23">
        <v>21.28</v>
      </c>
      <c r="I407" s="23">
        <v>21.44</v>
      </c>
      <c r="J407" s="23">
        <v>21.44</v>
      </c>
      <c r="K407" s="23">
        <v>21.28</v>
      </c>
      <c r="L407" s="23">
        <v>21.08</v>
      </c>
      <c r="M407" s="23">
        <v>95</v>
      </c>
      <c r="N407" s="23">
        <v>2.6</v>
      </c>
      <c r="O407" s="24">
        <v>3.7665999999999999</v>
      </c>
    </row>
    <row r="408" spans="1:15" x14ac:dyDescent="0.25">
      <c r="A408" s="18" t="s">
        <v>402</v>
      </c>
      <c r="B408" s="22">
        <v>19.600000000000001</v>
      </c>
      <c r="C408" s="23">
        <v>19.760000000000002</v>
      </c>
      <c r="D408" s="23">
        <v>19.760000000000002</v>
      </c>
      <c r="E408" s="23">
        <v>19.920000000000002</v>
      </c>
      <c r="F408" s="23">
        <v>19.760000000000002</v>
      </c>
      <c r="G408" s="23">
        <v>19.760000000000002</v>
      </c>
      <c r="H408" s="23">
        <v>19.760000000000002</v>
      </c>
      <c r="I408" s="23">
        <v>19.760000000000002</v>
      </c>
      <c r="J408" s="23">
        <v>19.760000000000002</v>
      </c>
      <c r="K408" s="23">
        <v>19.600000000000001</v>
      </c>
      <c r="L408" s="23">
        <v>19.600000000000001</v>
      </c>
      <c r="M408" s="23">
        <v>90</v>
      </c>
      <c r="N408" s="23">
        <v>2</v>
      </c>
      <c r="O408" s="24">
        <v>2.6436999999999999</v>
      </c>
    </row>
    <row r="409" spans="1:15" x14ac:dyDescent="0.25">
      <c r="A409" s="18" t="s">
        <v>403</v>
      </c>
      <c r="B409" s="22">
        <v>23.88</v>
      </c>
      <c r="C409" s="23">
        <v>23.44</v>
      </c>
      <c r="D409" s="23">
        <v>23.24</v>
      </c>
      <c r="E409" s="23">
        <v>23.92</v>
      </c>
      <c r="F409" s="23">
        <v>24.04</v>
      </c>
      <c r="G409" s="23">
        <v>23.6</v>
      </c>
      <c r="H409" s="23">
        <v>23.72</v>
      </c>
      <c r="I409" s="23">
        <v>24.04</v>
      </c>
      <c r="J409" s="23">
        <v>23.92</v>
      </c>
      <c r="K409" s="23">
        <v>23.28</v>
      </c>
      <c r="L409" s="23">
        <v>23.24</v>
      </c>
      <c r="M409" s="23">
        <v>101</v>
      </c>
      <c r="N409" s="23">
        <v>3.8</v>
      </c>
      <c r="O409" s="24">
        <v>2.8805000000000001</v>
      </c>
    </row>
    <row r="410" spans="1:15" x14ac:dyDescent="0.25">
      <c r="A410" s="18" t="s">
        <v>404</v>
      </c>
      <c r="B410" s="22">
        <v>20.28</v>
      </c>
      <c r="C410" s="23">
        <v>20.440000000000001</v>
      </c>
      <c r="D410" s="23">
        <v>20.28</v>
      </c>
      <c r="E410" s="23">
        <v>20.239999999999998</v>
      </c>
      <c r="F410" s="23">
        <v>20.28</v>
      </c>
      <c r="G410" s="23">
        <v>20.239999999999998</v>
      </c>
      <c r="H410" s="23">
        <v>20.28</v>
      </c>
      <c r="I410" s="23">
        <v>20.28</v>
      </c>
      <c r="J410" s="23">
        <v>20.28</v>
      </c>
      <c r="K410" s="23">
        <v>20.28</v>
      </c>
      <c r="L410" s="23">
        <v>20.239999999999998</v>
      </c>
      <c r="M410" s="23">
        <v>90</v>
      </c>
      <c r="N410" s="23">
        <v>2.8</v>
      </c>
      <c r="O410" s="24">
        <v>0.2888</v>
      </c>
    </row>
    <row r="411" spans="1:15" x14ac:dyDescent="0.25">
      <c r="A411" s="18" t="s">
        <v>405</v>
      </c>
      <c r="B411" s="22">
        <v>20.64</v>
      </c>
      <c r="C411" s="23">
        <v>20.48</v>
      </c>
      <c r="D411" s="23">
        <v>20.48</v>
      </c>
      <c r="E411" s="23">
        <v>20.64</v>
      </c>
      <c r="F411" s="23">
        <v>20.48</v>
      </c>
      <c r="G411" s="23">
        <v>20.48</v>
      </c>
      <c r="H411" s="23">
        <v>20.68</v>
      </c>
      <c r="I411" s="23">
        <v>20.64</v>
      </c>
      <c r="J411" s="23">
        <v>20.68</v>
      </c>
      <c r="K411" s="23">
        <v>20.48</v>
      </c>
      <c r="L411" s="23">
        <v>20.48</v>
      </c>
      <c r="M411" s="23">
        <v>92</v>
      </c>
      <c r="N411" s="23">
        <v>2.6</v>
      </c>
      <c r="O411" s="24">
        <v>0.28799999999999998</v>
      </c>
    </row>
    <row r="412" spans="1:15" x14ac:dyDescent="0.25">
      <c r="A412" s="18" t="s">
        <v>406</v>
      </c>
      <c r="B412" s="22">
        <v>17.96</v>
      </c>
      <c r="C412" s="23">
        <v>17.96</v>
      </c>
      <c r="D412" s="23">
        <v>17.96</v>
      </c>
      <c r="E412" s="23">
        <v>18.12</v>
      </c>
      <c r="F412" s="23">
        <v>18.16</v>
      </c>
      <c r="G412" s="23">
        <v>18.16</v>
      </c>
      <c r="H412" s="23">
        <v>18.16</v>
      </c>
      <c r="I412" s="23">
        <v>18.12</v>
      </c>
      <c r="J412" s="23">
        <v>18.16</v>
      </c>
      <c r="K412" s="23">
        <v>18.16</v>
      </c>
      <c r="L412" s="23">
        <v>17.96</v>
      </c>
      <c r="M412" s="23">
        <v>89</v>
      </c>
      <c r="N412" s="23">
        <v>0.2</v>
      </c>
      <c r="O412" s="24">
        <v>0.28139999999999998</v>
      </c>
    </row>
    <row r="413" spans="1:15" x14ac:dyDescent="0.25">
      <c r="A413" s="18" t="s">
        <v>407</v>
      </c>
      <c r="B413" s="22">
        <v>26.48</v>
      </c>
      <c r="C413" s="23">
        <v>26.64</v>
      </c>
      <c r="D413" s="23">
        <v>26.64</v>
      </c>
      <c r="E413" s="23">
        <v>26.64</v>
      </c>
      <c r="F413" s="23">
        <v>26.48</v>
      </c>
      <c r="G413" s="23">
        <v>26.32</v>
      </c>
      <c r="H413" s="23">
        <v>26.48</v>
      </c>
      <c r="I413" s="23">
        <v>26.16</v>
      </c>
      <c r="J413" s="23">
        <v>26.64</v>
      </c>
      <c r="K413" s="23">
        <v>26.64</v>
      </c>
      <c r="L413" s="23">
        <v>26.16</v>
      </c>
      <c r="M413" s="23">
        <v>106</v>
      </c>
      <c r="N413" s="23">
        <v>6.2</v>
      </c>
      <c r="O413" s="24">
        <v>0.31030000000000002</v>
      </c>
    </row>
    <row r="414" spans="1:15" x14ac:dyDescent="0.25">
      <c r="A414" s="18" t="s">
        <v>408</v>
      </c>
      <c r="B414" s="22">
        <v>19.600000000000001</v>
      </c>
      <c r="C414" s="23">
        <v>19.440000000000001</v>
      </c>
      <c r="D414" s="23">
        <v>19.600000000000001</v>
      </c>
      <c r="E414" s="23">
        <v>19.440000000000001</v>
      </c>
      <c r="F414" s="23">
        <v>19.760000000000002</v>
      </c>
      <c r="G414" s="23">
        <v>19.559999999999999</v>
      </c>
      <c r="H414" s="23">
        <v>19.760000000000002</v>
      </c>
      <c r="I414" s="23">
        <v>19.440000000000001</v>
      </c>
      <c r="J414" s="23">
        <v>19.96</v>
      </c>
      <c r="K414" s="23">
        <v>19.600000000000001</v>
      </c>
      <c r="L414" s="23">
        <v>19.440000000000001</v>
      </c>
      <c r="M414" s="23">
        <v>94</v>
      </c>
      <c r="N414" s="23">
        <v>0.8</v>
      </c>
      <c r="O414" s="24">
        <v>0.29049999999999998</v>
      </c>
    </row>
    <row r="415" spans="1:15" x14ac:dyDescent="0.25">
      <c r="A415" s="18" t="s">
        <v>409</v>
      </c>
      <c r="B415" s="22">
        <v>21.76</v>
      </c>
      <c r="C415" s="23">
        <v>21.76</v>
      </c>
      <c r="D415" s="23">
        <v>21.76</v>
      </c>
      <c r="E415" s="23">
        <v>21.76</v>
      </c>
      <c r="F415" s="23">
        <v>21.76</v>
      </c>
      <c r="G415" s="23">
        <v>21.76</v>
      </c>
      <c r="H415" s="23">
        <v>21.76</v>
      </c>
      <c r="I415" s="23">
        <v>21.76</v>
      </c>
      <c r="J415" s="23">
        <v>21.76</v>
      </c>
      <c r="K415" s="23">
        <v>21.76</v>
      </c>
      <c r="L415" s="23">
        <v>21.76</v>
      </c>
      <c r="M415" s="23">
        <v>92</v>
      </c>
      <c r="N415" s="23">
        <v>4.2</v>
      </c>
      <c r="O415" s="24">
        <v>0.2863</v>
      </c>
    </row>
    <row r="416" spans="1:15" x14ac:dyDescent="0.25">
      <c r="A416" s="18" t="s">
        <v>410</v>
      </c>
      <c r="B416" s="22">
        <v>22.56</v>
      </c>
      <c r="C416" s="23">
        <v>22.56</v>
      </c>
      <c r="D416" s="23">
        <v>22.56</v>
      </c>
      <c r="E416" s="23">
        <v>22.56</v>
      </c>
      <c r="F416" s="23">
        <v>22.56</v>
      </c>
      <c r="G416" s="23">
        <v>22.56</v>
      </c>
      <c r="H416" s="23">
        <v>22.56</v>
      </c>
      <c r="I416" s="23">
        <v>22.56</v>
      </c>
      <c r="J416" s="23">
        <v>22.56</v>
      </c>
      <c r="K416" s="23">
        <v>22.56</v>
      </c>
      <c r="L416" s="23">
        <v>22.56</v>
      </c>
      <c r="M416" s="23">
        <v>88</v>
      </c>
      <c r="N416" s="23">
        <v>6.2</v>
      </c>
      <c r="O416" s="24">
        <v>0.27589999999999998</v>
      </c>
    </row>
    <row r="417" spans="1:15" x14ac:dyDescent="0.25">
      <c r="A417" s="18" t="s">
        <v>411</v>
      </c>
      <c r="B417" s="22">
        <v>22.2</v>
      </c>
      <c r="C417" s="23">
        <v>22.4</v>
      </c>
      <c r="D417" s="23">
        <v>22</v>
      </c>
      <c r="E417" s="23">
        <v>22.28</v>
      </c>
      <c r="F417" s="23">
        <v>22.08</v>
      </c>
      <c r="G417" s="23">
        <v>22.4</v>
      </c>
      <c r="H417" s="23">
        <v>22.4</v>
      </c>
      <c r="I417" s="23">
        <v>22.4</v>
      </c>
      <c r="J417" s="23">
        <v>22.4</v>
      </c>
      <c r="K417" s="23">
        <v>22.4</v>
      </c>
      <c r="L417" s="23">
        <v>22</v>
      </c>
      <c r="M417" s="23">
        <v>94</v>
      </c>
      <c r="N417" s="23">
        <v>4</v>
      </c>
      <c r="O417" s="24">
        <v>0.2928</v>
      </c>
    </row>
    <row r="418" spans="1:15" x14ac:dyDescent="0.25">
      <c r="A418" s="18" t="s">
        <v>412</v>
      </c>
      <c r="B418" s="22">
        <v>22.16</v>
      </c>
      <c r="C418" s="23">
        <v>22.16</v>
      </c>
      <c r="D418" s="23">
        <v>22.16</v>
      </c>
      <c r="E418" s="23">
        <v>22.16</v>
      </c>
      <c r="F418" s="23">
        <v>22.12</v>
      </c>
      <c r="G418" s="23">
        <v>22.16</v>
      </c>
      <c r="H418" s="23">
        <v>22.16</v>
      </c>
      <c r="I418" s="23">
        <v>22.16</v>
      </c>
      <c r="J418" s="23">
        <v>22.16</v>
      </c>
      <c r="K418" s="23">
        <v>22.16</v>
      </c>
      <c r="L418" s="23">
        <v>22.12</v>
      </c>
      <c r="M418" s="23">
        <v>89</v>
      </c>
      <c r="N418" s="23">
        <v>5.4</v>
      </c>
      <c r="O418" s="24">
        <v>0.28239999999999998</v>
      </c>
    </row>
    <row r="419" spans="1:15" x14ac:dyDescent="0.25">
      <c r="A419" s="18" t="s">
        <v>413</v>
      </c>
      <c r="B419" s="22">
        <v>26.72</v>
      </c>
      <c r="C419" s="23">
        <v>26.72</v>
      </c>
      <c r="D419" s="23">
        <v>26.88</v>
      </c>
      <c r="E419" s="23">
        <v>26.72</v>
      </c>
      <c r="F419" s="23">
        <v>26.72</v>
      </c>
      <c r="G419" s="23">
        <v>26.72</v>
      </c>
      <c r="H419" s="23">
        <v>26.72</v>
      </c>
      <c r="I419" s="23">
        <v>26.72</v>
      </c>
      <c r="J419" s="23">
        <v>26.72</v>
      </c>
      <c r="K419" s="23">
        <v>26.72</v>
      </c>
      <c r="L419" s="23">
        <v>26.72</v>
      </c>
      <c r="M419" s="23">
        <v>96</v>
      </c>
      <c r="N419" s="23">
        <v>9.4</v>
      </c>
      <c r="O419" s="24">
        <v>0.30370000000000003</v>
      </c>
    </row>
    <row r="420" spans="1:15" x14ac:dyDescent="0.25">
      <c r="A420" s="18" t="s">
        <v>414</v>
      </c>
      <c r="B420" s="22">
        <v>10.88</v>
      </c>
      <c r="C420" s="23">
        <v>10.88</v>
      </c>
      <c r="D420" s="23">
        <v>10.88</v>
      </c>
      <c r="E420" s="23">
        <v>10.88</v>
      </c>
      <c r="F420" s="23">
        <v>10.88</v>
      </c>
      <c r="G420" s="23">
        <v>10.88</v>
      </c>
      <c r="H420" s="23">
        <v>10.88</v>
      </c>
      <c r="I420" s="23">
        <v>10.88</v>
      </c>
      <c r="J420" s="23">
        <v>10.88</v>
      </c>
      <c r="K420" s="23">
        <v>10.88</v>
      </c>
      <c r="L420" s="23">
        <v>10.88</v>
      </c>
      <c r="M420" s="23">
        <v>24</v>
      </c>
      <c r="N420" s="23">
        <v>7.6</v>
      </c>
      <c r="O420" s="24">
        <v>0.2475</v>
      </c>
    </row>
    <row r="421" spans="1:15" x14ac:dyDescent="0.25">
      <c r="A421" s="18" t="s">
        <v>415</v>
      </c>
      <c r="B421" s="22">
        <v>10.88</v>
      </c>
      <c r="C421" s="23">
        <v>10.88</v>
      </c>
      <c r="D421" s="23">
        <v>10.88</v>
      </c>
      <c r="E421" s="23">
        <v>10.88</v>
      </c>
      <c r="F421" s="23">
        <v>10.88</v>
      </c>
      <c r="G421" s="23">
        <v>10.88</v>
      </c>
      <c r="H421" s="23">
        <v>10.88</v>
      </c>
      <c r="I421" s="23">
        <v>10.88</v>
      </c>
      <c r="J421" s="23">
        <v>10.88</v>
      </c>
      <c r="K421" s="23">
        <v>10.88</v>
      </c>
      <c r="L421" s="23">
        <v>10.88</v>
      </c>
      <c r="M421" s="23">
        <v>24</v>
      </c>
      <c r="N421" s="23">
        <v>7.6</v>
      </c>
      <c r="O421" s="24">
        <v>0.217</v>
      </c>
    </row>
    <row r="422" spans="1:15" x14ac:dyDescent="0.25">
      <c r="A422" s="18" t="s">
        <v>416</v>
      </c>
      <c r="B422" s="22">
        <v>9.8800000000000008</v>
      </c>
      <c r="C422" s="23">
        <v>10.36</v>
      </c>
      <c r="D422" s="23">
        <v>10.039999999999999</v>
      </c>
      <c r="E422" s="23">
        <v>9.8800000000000008</v>
      </c>
      <c r="F422" s="23">
        <v>9.8800000000000008</v>
      </c>
      <c r="G422" s="23">
        <v>9.8800000000000008</v>
      </c>
      <c r="H422" s="23">
        <v>10.36</v>
      </c>
      <c r="I422" s="23">
        <v>9.8800000000000008</v>
      </c>
      <c r="J422" s="23">
        <v>9.8800000000000008</v>
      </c>
      <c r="K422" s="23">
        <v>9.8800000000000008</v>
      </c>
      <c r="L422" s="23">
        <v>9.8800000000000008</v>
      </c>
      <c r="M422" s="23">
        <v>23</v>
      </c>
      <c r="N422" s="23">
        <v>6.6</v>
      </c>
      <c r="O422" s="24">
        <v>0.2107</v>
      </c>
    </row>
    <row r="423" spans="1:15" x14ac:dyDescent="0.25">
      <c r="A423" s="18" t="s">
        <v>417</v>
      </c>
      <c r="B423" s="22">
        <v>10.44</v>
      </c>
      <c r="C423" s="23">
        <v>10.44</v>
      </c>
      <c r="D423" s="23">
        <v>10.44</v>
      </c>
      <c r="E423" s="23">
        <v>10.44</v>
      </c>
      <c r="F423" s="23">
        <v>10.44</v>
      </c>
      <c r="G423" s="23">
        <v>10.44</v>
      </c>
      <c r="H423" s="23">
        <v>10.44</v>
      </c>
      <c r="I423" s="23">
        <v>10.44</v>
      </c>
      <c r="J423" s="23">
        <v>10.44</v>
      </c>
      <c r="K423" s="23">
        <v>10.44</v>
      </c>
      <c r="L423" s="23">
        <v>10.44</v>
      </c>
      <c r="M423" s="23">
        <v>25</v>
      </c>
      <c r="N423" s="23">
        <v>6.8</v>
      </c>
      <c r="O423" s="24">
        <v>0.2273</v>
      </c>
    </row>
    <row r="424" spans="1:15" x14ac:dyDescent="0.25">
      <c r="A424" s="18" t="s">
        <v>418</v>
      </c>
      <c r="B424" s="22">
        <v>6.6</v>
      </c>
      <c r="C424" s="23">
        <v>6.6</v>
      </c>
      <c r="D424" s="23">
        <v>6.6</v>
      </c>
      <c r="E424" s="23">
        <v>6.56</v>
      </c>
      <c r="F424" s="23">
        <v>6.6</v>
      </c>
      <c r="G424" s="23">
        <v>6.56</v>
      </c>
      <c r="H424" s="23">
        <v>6.6</v>
      </c>
      <c r="I424" s="23">
        <v>6.56</v>
      </c>
      <c r="J424" s="23">
        <v>6.6</v>
      </c>
      <c r="K424" s="23">
        <v>6.56</v>
      </c>
      <c r="L424" s="23">
        <v>6.56</v>
      </c>
      <c r="M424" s="23">
        <v>24</v>
      </c>
      <c r="N424" s="23">
        <v>2.2000000000000002</v>
      </c>
      <c r="O424" s="24">
        <v>0.21540000000000001</v>
      </c>
    </row>
    <row r="425" spans="1:15" x14ac:dyDescent="0.25">
      <c r="A425" s="18" t="s">
        <v>419</v>
      </c>
      <c r="B425" s="22">
        <v>6.72</v>
      </c>
      <c r="C425" s="23">
        <v>6.72</v>
      </c>
      <c r="D425" s="23">
        <v>6.88</v>
      </c>
      <c r="E425" s="23">
        <v>6.72</v>
      </c>
      <c r="F425" s="23">
        <v>6.88</v>
      </c>
      <c r="G425" s="23">
        <v>6.72</v>
      </c>
      <c r="H425" s="23">
        <v>6.72</v>
      </c>
      <c r="I425" s="23">
        <v>6.72</v>
      </c>
      <c r="J425" s="23">
        <v>6.72</v>
      </c>
      <c r="K425" s="23">
        <v>6.72</v>
      </c>
      <c r="L425" s="23">
        <v>6.72</v>
      </c>
      <c r="M425" s="23">
        <v>28</v>
      </c>
      <c r="N425" s="23">
        <v>1.4</v>
      </c>
      <c r="O425" s="24">
        <v>0.2389</v>
      </c>
    </row>
    <row r="426" spans="1:15" x14ac:dyDescent="0.25">
      <c r="A426" s="18" t="s">
        <v>420</v>
      </c>
      <c r="B426" s="22">
        <v>6.04</v>
      </c>
      <c r="C426" s="23">
        <v>5.88</v>
      </c>
      <c r="D426" s="23">
        <v>5.88</v>
      </c>
      <c r="E426" s="23">
        <v>5.88</v>
      </c>
      <c r="F426" s="23">
        <v>5.88</v>
      </c>
      <c r="G426" s="23">
        <v>6.2</v>
      </c>
      <c r="H426" s="23">
        <v>5.88</v>
      </c>
      <c r="I426" s="23">
        <v>5.88</v>
      </c>
      <c r="J426" s="23">
        <v>6.04</v>
      </c>
      <c r="K426" s="23">
        <v>5.88</v>
      </c>
      <c r="L426" s="23">
        <v>5.88</v>
      </c>
      <c r="M426" s="23">
        <v>23</v>
      </c>
      <c r="N426" s="23">
        <v>1.6</v>
      </c>
      <c r="O426" s="24">
        <v>0.20030000000000001</v>
      </c>
    </row>
    <row r="427" spans="1:15" x14ac:dyDescent="0.25">
      <c r="A427" s="18" t="s">
        <v>421</v>
      </c>
      <c r="B427" s="22">
        <v>5.6</v>
      </c>
      <c r="C427" s="23">
        <v>5.6</v>
      </c>
      <c r="D427" s="23">
        <v>5.6</v>
      </c>
      <c r="E427" s="23">
        <v>5.6</v>
      </c>
      <c r="F427" s="23">
        <v>5.6</v>
      </c>
      <c r="G427" s="23">
        <v>5.6</v>
      </c>
      <c r="H427" s="23">
        <v>5.6</v>
      </c>
      <c r="I427" s="23">
        <v>5.8</v>
      </c>
      <c r="J427" s="23">
        <v>5.8</v>
      </c>
      <c r="K427" s="23">
        <v>5.6</v>
      </c>
      <c r="L427" s="23">
        <v>5.6</v>
      </c>
      <c r="M427" s="23">
        <v>24</v>
      </c>
      <c r="N427" s="23">
        <v>1</v>
      </c>
      <c r="O427" s="24">
        <v>0.21390000000000001</v>
      </c>
    </row>
    <row r="428" spans="1:15" x14ac:dyDescent="0.25">
      <c r="A428" s="18" t="s">
        <v>422</v>
      </c>
      <c r="B428" s="22">
        <v>5.8</v>
      </c>
      <c r="C428" s="23">
        <v>5.8</v>
      </c>
      <c r="D428" s="23">
        <v>5.8</v>
      </c>
      <c r="E428" s="23">
        <v>5.8</v>
      </c>
      <c r="F428" s="23">
        <v>5.8</v>
      </c>
      <c r="G428" s="23">
        <v>5.8</v>
      </c>
      <c r="H428" s="23">
        <v>5.8</v>
      </c>
      <c r="I428" s="23">
        <v>5.8</v>
      </c>
      <c r="J428" s="23">
        <v>5.8</v>
      </c>
      <c r="K428" s="23">
        <v>5.8</v>
      </c>
      <c r="L428" s="23">
        <v>5.8</v>
      </c>
      <c r="M428" s="23">
        <v>21</v>
      </c>
      <c r="N428" s="23">
        <v>2</v>
      </c>
      <c r="O428" s="24">
        <v>0.1956</v>
      </c>
    </row>
    <row r="429" spans="1:15" x14ac:dyDescent="0.25">
      <c r="A429" s="18" t="s">
        <v>423</v>
      </c>
      <c r="B429" s="22">
        <v>6.4</v>
      </c>
      <c r="C429" s="23">
        <v>6.4</v>
      </c>
      <c r="D429" s="23">
        <v>6.4</v>
      </c>
      <c r="E429" s="23">
        <v>6.36</v>
      </c>
      <c r="F429" s="23">
        <v>6.4</v>
      </c>
      <c r="G429" s="23">
        <v>6.36</v>
      </c>
      <c r="H429" s="23">
        <v>6.4</v>
      </c>
      <c r="I429" s="23">
        <v>6.4</v>
      </c>
      <c r="J429" s="23">
        <v>6.36</v>
      </c>
      <c r="K429" s="23">
        <v>6.4</v>
      </c>
      <c r="L429" s="23">
        <v>6.36</v>
      </c>
      <c r="M429" s="23">
        <v>23</v>
      </c>
      <c r="N429" s="23">
        <v>2.2000000000000002</v>
      </c>
      <c r="O429" s="24">
        <v>0.21540000000000001</v>
      </c>
    </row>
    <row r="430" spans="1:15" x14ac:dyDescent="0.25">
      <c r="A430" s="18" t="s">
        <v>424</v>
      </c>
      <c r="B430" s="22">
        <v>6.16</v>
      </c>
      <c r="C430" s="23">
        <v>6.16</v>
      </c>
      <c r="D430" s="23">
        <v>6.16</v>
      </c>
      <c r="E430" s="23">
        <v>6.16</v>
      </c>
      <c r="F430" s="23">
        <v>6.16</v>
      </c>
      <c r="G430" s="23">
        <v>6.16</v>
      </c>
      <c r="H430" s="23">
        <v>6.16</v>
      </c>
      <c r="I430" s="23">
        <v>6.16</v>
      </c>
      <c r="J430" s="23">
        <v>6.16</v>
      </c>
      <c r="K430" s="23">
        <v>6.16</v>
      </c>
      <c r="L430" s="23">
        <v>6.16</v>
      </c>
      <c r="M430" s="23">
        <v>30</v>
      </c>
      <c r="N430" s="23">
        <v>0.2</v>
      </c>
      <c r="O430" s="24">
        <v>2.1100000000000001E-2</v>
      </c>
    </row>
    <row r="431" spans="1:15" x14ac:dyDescent="0.25">
      <c r="A431" s="18" t="s">
        <v>425</v>
      </c>
      <c r="B431" s="22">
        <v>5.88</v>
      </c>
      <c r="C431" s="23">
        <v>5.88</v>
      </c>
      <c r="D431" s="23">
        <v>5.88</v>
      </c>
      <c r="E431" s="23">
        <v>5.88</v>
      </c>
      <c r="F431" s="23">
        <v>5.88</v>
      </c>
      <c r="G431" s="23">
        <v>5.88</v>
      </c>
      <c r="H431" s="23">
        <v>5.88</v>
      </c>
      <c r="I431" s="23">
        <v>5.88</v>
      </c>
      <c r="J431" s="23">
        <v>5.88</v>
      </c>
      <c r="K431" s="23">
        <v>5.88</v>
      </c>
      <c r="L431" s="23">
        <v>5.88</v>
      </c>
      <c r="M431" s="23">
        <v>27</v>
      </c>
      <c r="N431" s="23">
        <v>0.6</v>
      </c>
      <c r="O431" s="24">
        <v>2.06E-2</v>
      </c>
    </row>
    <row r="432" spans="1:15" x14ac:dyDescent="0.25">
      <c r="A432" s="18" t="s">
        <v>426</v>
      </c>
      <c r="B432" s="22">
        <v>5.48</v>
      </c>
      <c r="C432" s="23">
        <v>5.28</v>
      </c>
      <c r="D432" s="23">
        <v>5.28</v>
      </c>
      <c r="E432" s="23">
        <v>5.44</v>
      </c>
      <c r="F432" s="23">
        <v>5.28</v>
      </c>
      <c r="G432" s="23">
        <v>5.44</v>
      </c>
      <c r="H432" s="23">
        <v>5.44</v>
      </c>
      <c r="I432" s="23">
        <v>5.44</v>
      </c>
      <c r="J432" s="23">
        <v>5.28</v>
      </c>
      <c r="K432" s="23">
        <v>5.28</v>
      </c>
      <c r="L432" s="23">
        <v>5.28</v>
      </c>
      <c r="M432" s="23">
        <v>24</v>
      </c>
      <c r="N432" s="23">
        <v>0.6</v>
      </c>
      <c r="O432" s="24">
        <v>1.8599999999999998E-2</v>
      </c>
    </row>
    <row r="433" spans="1:15" x14ac:dyDescent="0.25">
      <c r="A433" s="18" t="s">
        <v>427</v>
      </c>
      <c r="B433" s="22">
        <v>4.68</v>
      </c>
      <c r="C433" s="23">
        <v>4.68</v>
      </c>
      <c r="D433" s="23">
        <v>4.68</v>
      </c>
      <c r="E433" s="23">
        <v>4.68</v>
      </c>
      <c r="F433" s="23">
        <v>4.68</v>
      </c>
      <c r="G433" s="23">
        <v>4.68</v>
      </c>
      <c r="H433" s="23">
        <v>4.68</v>
      </c>
      <c r="I433" s="23">
        <v>4.68</v>
      </c>
      <c r="J433" s="23">
        <v>4.68</v>
      </c>
      <c r="K433" s="23">
        <v>4.68</v>
      </c>
      <c r="L433" s="23">
        <v>4.68</v>
      </c>
      <c r="M433" s="23">
        <v>21</v>
      </c>
      <c r="N433" s="23">
        <v>0.6</v>
      </c>
      <c r="O433" s="24">
        <v>1.6E-2</v>
      </c>
    </row>
    <row r="434" spans="1:15" x14ac:dyDescent="0.25">
      <c r="A434" s="18" t="s">
        <v>428</v>
      </c>
      <c r="B434" s="22">
        <v>5.2</v>
      </c>
      <c r="C434" s="23">
        <v>5.2</v>
      </c>
      <c r="D434" s="23">
        <v>5.16</v>
      </c>
      <c r="E434" s="23">
        <v>5.16</v>
      </c>
      <c r="F434" s="23">
        <v>5.2</v>
      </c>
      <c r="G434" s="23">
        <v>5.2</v>
      </c>
      <c r="H434" s="23">
        <v>5.2</v>
      </c>
      <c r="I434" s="23">
        <v>5.2</v>
      </c>
      <c r="J434" s="23">
        <v>5.2</v>
      </c>
      <c r="K434" s="23">
        <v>5.2</v>
      </c>
      <c r="L434" s="23">
        <v>5.16</v>
      </c>
      <c r="M434" s="23">
        <v>25</v>
      </c>
      <c r="N434" s="23">
        <v>0.2</v>
      </c>
      <c r="O434" s="24">
        <v>1.8800000000000001E-2</v>
      </c>
    </row>
    <row r="435" spans="1:15" x14ac:dyDescent="0.25">
      <c r="A435" s="18" t="s">
        <v>429</v>
      </c>
      <c r="B435" s="22">
        <v>5.6</v>
      </c>
      <c r="C435" s="23">
        <v>5.6</v>
      </c>
      <c r="D435" s="23">
        <v>5.6</v>
      </c>
      <c r="E435" s="23">
        <v>5.6</v>
      </c>
      <c r="F435" s="23">
        <v>5.6</v>
      </c>
      <c r="G435" s="23">
        <v>5.6</v>
      </c>
      <c r="H435" s="23">
        <v>5.6</v>
      </c>
      <c r="I435" s="23">
        <v>5.6</v>
      </c>
      <c r="J435" s="23">
        <v>5.6</v>
      </c>
      <c r="K435" s="23">
        <v>5.6</v>
      </c>
      <c r="L435" s="23">
        <v>5.6</v>
      </c>
      <c r="M435" s="23">
        <v>24</v>
      </c>
      <c r="N435" s="23">
        <v>1</v>
      </c>
      <c r="O435" s="24">
        <v>1.7500000000000002E-2</v>
      </c>
    </row>
    <row r="436" spans="1:15" x14ac:dyDescent="0.25">
      <c r="A436" s="18" t="s">
        <v>430</v>
      </c>
      <c r="B436" s="22">
        <v>5.64</v>
      </c>
      <c r="C436" s="23">
        <v>5.64</v>
      </c>
      <c r="D436" s="23">
        <v>5.64</v>
      </c>
      <c r="E436" s="23">
        <v>5.64</v>
      </c>
      <c r="F436" s="23">
        <v>5.64</v>
      </c>
      <c r="G436" s="23">
        <v>5.64</v>
      </c>
      <c r="H436" s="23">
        <v>5.64</v>
      </c>
      <c r="I436" s="23">
        <v>5.64</v>
      </c>
      <c r="J436" s="23">
        <v>5.64</v>
      </c>
      <c r="K436" s="23">
        <v>5.64</v>
      </c>
      <c r="L436" s="23">
        <v>5.64</v>
      </c>
      <c r="M436" s="23">
        <v>25</v>
      </c>
      <c r="N436" s="23">
        <v>0.8</v>
      </c>
      <c r="O436" s="24">
        <v>1.95E-2</v>
      </c>
    </row>
    <row r="437" spans="1:15" x14ac:dyDescent="0.25">
      <c r="A437" s="18" t="s">
        <v>431</v>
      </c>
      <c r="B437" s="22">
        <v>6.76</v>
      </c>
      <c r="C437" s="23">
        <v>6.76</v>
      </c>
      <c r="D437" s="23">
        <v>6.76</v>
      </c>
      <c r="E437" s="23">
        <v>6.76</v>
      </c>
      <c r="F437" s="23">
        <v>6.76</v>
      </c>
      <c r="G437" s="23">
        <v>6.76</v>
      </c>
      <c r="H437" s="23">
        <v>6.76</v>
      </c>
      <c r="I437" s="23">
        <v>6.76</v>
      </c>
      <c r="J437" s="23">
        <v>6.76</v>
      </c>
      <c r="K437" s="23">
        <v>6.76</v>
      </c>
      <c r="L437" s="23">
        <v>6.76</v>
      </c>
      <c r="M437" s="23">
        <v>25</v>
      </c>
      <c r="N437" s="23">
        <v>2.2000000000000002</v>
      </c>
      <c r="O437" s="24">
        <v>1.9599999999999999E-2</v>
      </c>
    </row>
    <row r="438" spans="1:15" x14ac:dyDescent="0.25">
      <c r="A438" s="18" t="s">
        <v>432</v>
      </c>
      <c r="B438" s="22">
        <v>4.5199999999999996</v>
      </c>
      <c r="C438" s="23">
        <v>4.5199999999999996</v>
      </c>
      <c r="D438" s="23">
        <v>4.5199999999999996</v>
      </c>
      <c r="E438" s="23">
        <v>4.5199999999999996</v>
      </c>
      <c r="F438" s="23">
        <v>4.5199999999999996</v>
      </c>
      <c r="G438" s="23">
        <v>4.5199999999999996</v>
      </c>
      <c r="H438" s="23">
        <v>4.5199999999999996</v>
      </c>
      <c r="I438" s="23">
        <v>4.5199999999999996</v>
      </c>
      <c r="J438" s="23">
        <v>4.5199999999999996</v>
      </c>
      <c r="K438" s="23">
        <v>4.5199999999999996</v>
      </c>
      <c r="L438" s="23">
        <v>4.5199999999999996</v>
      </c>
      <c r="M438" s="23">
        <v>21</v>
      </c>
      <c r="N438" s="23">
        <v>0.4</v>
      </c>
      <c r="O438" s="24">
        <v>1.72E-2</v>
      </c>
    </row>
    <row r="439" spans="1:15" x14ac:dyDescent="0.25">
      <c r="A439" s="18" t="s">
        <v>433</v>
      </c>
      <c r="B439" s="22">
        <v>5.88</v>
      </c>
      <c r="C439" s="23">
        <v>5.72</v>
      </c>
      <c r="D439" s="23">
        <v>5.72</v>
      </c>
      <c r="E439" s="23">
        <v>5.72</v>
      </c>
      <c r="F439" s="23">
        <v>5.92</v>
      </c>
      <c r="G439" s="23">
        <v>5.72</v>
      </c>
      <c r="H439" s="23">
        <v>5.72</v>
      </c>
      <c r="I439" s="23">
        <v>5.72</v>
      </c>
      <c r="J439" s="23">
        <v>5.72</v>
      </c>
      <c r="K439" s="23">
        <v>5.88</v>
      </c>
      <c r="L439" s="23">
        <v>5.72</v>
      </c>
      <c r="M439" s="23">
        <v>23</v>
      </c>
      <c r="N439" s="23">
        <v>1.4</v>
      </c>
      <c r="O439" s="24">
        <v>1.9099999999999999E-2</v>
      </c>
    </row>
    <row r="440" spans="1:15" x14ac:dyDescent="0.25">
      <c r="A440" s="18" t="s">
        <v>434</v>
      </c>
      <c r="B440" s="22">
        <v>6</v>
      </c>
      <c r="C440" s="23">
        <v>6</v>
      </c>
      <c r="D440" s="23">
        <v>6</v>
      </c>
      <c r="E440" s="23">
        <v>6</v>
      </c>
      <c r="F440" s="23">
        <v>6</v>
      </c>
      <c r="G440" s="23">
        <v>6</v>
      </c>
      <c r="H440" s="23">
        <v>6</v>
      </c>
      <c r="I440" s="23">
        <v>6</v>
      </c>
      <c r="J440" s="23">
        <v>6</v>
      </c>
      <c r="K440" s="23">
        <v>6</v>
      </c>
      <c r="L440" s="23">
        <v>6</v>
      </c>
      <c r="M440" s="23">
        <v>26</v>
      </c>
      <c r="N440" s="23">
        <v>1</v>
      </c>
      <c r="O440" s="24">
        <v>2.7099999999999999E-2</v>
      </c>
    </row>
    <row r="441" spans="1:15" x14ac:dyDescent="0.25">
      <c r="A441" s="18" t="s">
        <v>435</v>
      </c>
      <c r="B441" s="22">
        <v>4.4000000000000004</v>
      </c>
      <c r="C441" s="23">
        <v>4.4000000000000004</v>
      </c>
      <c r="D441" s="23">
        <v>4.4000000000000004</v>
      </c>
      <c r="E441" s="23">
        <v>4.3600000000000003</v>
      </c>
      <c r="F441" s="23">
        <v>4.4000000000000004</v>
      </c>
      <c r="G441" s="23">
        <v>4.4000000000000004</v>
      </c>
      <c r="H441" s="23">
        <v>4.3600000000000003</v>
      </c>
      <c r="I441" s="23">
        <v>4.4000000000000004</v>
      </c>
      <c r="J441" s="23">
        <v>4.4000000000000004</v>
      </c>
      <c r="K441" s="23">
        <v>4.4000000000000004</v>
      </c>
      <c r="L441" s="23">
        <v>4.3600000000000003</v>
      </c>
      <c r="M441" s="23">
        <v>21</v>
      </c>
      <c r="N441" s="23">
        <v>0.2</v>
      </c>
      <c r="O441" s="24">
        <v>2.3E-2</v>
      </c>
    </row>
    <row r="442" spans="1:15" x14ac:dyDescent="0.25">
      <c r="A442" s="18" t="s">
        <v>436</v>
      </c>
      <c r="B442" s="22">
        <v>7.6</v>
      </c>
      <c r="C442" s="23">
        <v>7.6</v>
      </c>
      <c r="D442" s="23">
        <v>7.6</v>
      </c>
      <c r="E442" s="23">
        <v>7.6</v>
      </c>
      <c r="F442" s="23">
        <v>7.56</v>
      </c>
      <c r="G442" s="23">
        <v>7.6</v>
      </c>
      <c r="H442" s="23">
        <v>7.6</v>
      </c>
      <c r="I442" s="23">
        <v>7.6</v>
      </c>
      <c r="J442" s="23">
        <v>7.6</v>
      </c>
      <c r="K442" s="23">
        <v>7.6</v>
      </c>
      <c r="L442" s="23">
        <v>7.56</v>
      </c>
      <c r="M442" s="23">
        <v>25</v>
      </c>
      <c r="N442" s="23">
        <v>3.2</v>
      </c>
      <c r="O442" s="24">
        <v>2.7900000000000001E-2</v>
      </c>
    </row>
    <row r="443" spans="1:15" x14ac:dyDescent="0.25">
      <c r="A443" s="18" t="s">
        <v>437</v>
      </c>
      <c r="B443" s="22">
        <v>5.56</v>
      </c>
      <c r="C443" s="23">
        <v>5.56</v>
      </c>
      <c r="D443" s="23">
        <v>5.56</v>
      </c>
      <c r="E443" s="23">
        <v>5.56</v>
      </c>
      <c r="F443" s="23">
        <v>5.56</v>
      </c>
      <c r="G443" s="23">
        <v>5.56</v>
      </c>
      <c r="H443" s="23">
        <v>5.56</v>
      </c>
      <c r="I443" s="23">
        <v>5.56</v>
      </c>
      <c r="J443" s="23">
        <v>5.56</v>
      </c>
      <c r="K443" s="23">
        <v>5.56</v>
      </c>
      <c r="L443" s="23">
        <v>5.56</v>
      </c>
      <c r="M443" s="23">
        <v>23</v>
      </c>
      <c r="N443" s="23">
        <v>1.2</v>
      </c>
      <c r="O443" s="24">
        <v>2.5100000000000001E-2</v>
      </c>
    </row>
    <row r="444" spans="1:15" x14ac:dyDescent="0.25">
      <c r="A444" s="18" t="s">
        <v>438</v>
      </c>
      <c r="B444" s="22">
        <v>8.56</v>
      </c>
      <c r="C444" s="23">
        <v>8.84</v>
      </c>
      <c r="D444" s="23">
        <v>8.7200000000000006</v>
      </c>
      <c r="E444" s="23">
        <v>8.56</v>
      </c>
      <c r="F444" s="23">
        <v>8.56</v>
      </c>
      <c r="G444" s="23">
        <v>8.56</v>
      </c>
      <c r="H444" s="23">
        <v>8.92</v>
      </c>
      <c r="I444" s="23">
        <v>8.7200000000000006</v>
      </c>
      <c r="J444" s="23">
        <v>8.56</v>
      </c>
      <c r="K444" s="23">
        <v>8.56</v>
      </c>
      <c r="L444" s="23">
        <v>8.56</v>
      </c>
      <c r="M444" s="23">
        <v>26</v>
      </c>
      <c r="N444" s="23">
        <v>4.2</v>
      </c>
      <c r="O444" s="24">
        <v>2.7099999999999999E-2</v>
      </c>
    </row>
    <row r="445" spans="1:15" x14ac:dyDescent="0.25">
      <c r="A445" s="18" t="s">
        <v>439</v>
      </c>
      <c r="B445" s="22">
        <v>4.92</v>
      </c>
      <c r="C445" s="23">
        <v>4.92</v>
      </c>
      <c r="D445" s="23">
        <v>4.92</v>
      </c>
      <c r="E445" s="23">
        <v>4.92</v>
      </c>
      <c r="F445" s="23">
        <v>4.92</v>
      </c>
      <c r="G445" s="23">
        <v>4.92</v>
      </c>
      <c r="H445" s="23">
        <v>4.92</v>
      </c>
      <c r="I445" s="23">
        <v>4.92</v>
      </c>
      <c r="J445" s="23">
        <v>4.92</v>
      </c>
      <c r="K445" s="23">
        <v>4.92</v>
      </c>
      <c r="L445" s="23">
        <v>4.92</v>
      </c>
      <c r="M445" s="23">
        <v>23</v>
      </c>
      <c r="N445" s="23">
        <v>0.4</v>
      </c>
      <c r="O445" s="24">
        <v>2.4899999999999999E-2</v>
      </c>
    </row>
    <row r="446" spans="1:15" x14ac:dyDescent="0.25">
      <c r="A446" s="18" t="s">
        <v>440</v>
      </c>
      <c r="B446" s="22">
        <v>6.36</v>
      </c>
      <c r="C446" s="23">
        <v>6.36</v>
      </c>
      <c r="D446" s="23">
        <v>6.36</v>
      </c>
      <c r="E446" s="23">
        <v>6.36</v>
      </c>
      <c r="F446" s="23">
        <v>6.36</v>
      </c>
      <c r="G446" s="23">
        <v>6.36</v>
      </c>
      <c r="H446" s="23">
        <v>6.36</v>
      </c>
      <c r="I446" s="23">
        <v>6.36</v>
      </c>
      <c r="J446" s="23">
        <v>6.36</v>
      </c>
      <c r="K446" s="23">
        <v>6.36</v>
      </c>
      <c r="L446" s="23">
        <v>6.36</v>
      </c>
      <c r="M446" s="23">
        <v>23</v>
      </c>
      <c r="N446" s="23">
        <v>2.2000000000000002</v>
      </c>
      <c r="O446" s="24">
        <v>2.4899999999999999E-2</v>
      </c>
    </row>
    <row r="447" spans="1:15" x14ac:dyDescent="0.25">
      <c r="A447" s="18" t="s">
        <v>441</v>
      </c>
      <c r="B447" s="22">
        <v>8.44</v>
      </c>
      <c r="C447" s="23">
        <v>8.44</v>
      </c>
      <c r="D447" s="23">
        <v>8.2799999999999994</v>
      </c>
      <c r="E447" s="23">
        <v>8.2799999999999994</v>
      </c>
      <c r="F447" s="23">
        <v>8.44</v>
      </c>
      <c r="G447" s="23">
        <v>8.44</v>
      </c>
      <c r="H447" s="23">
        <v>8.44</v>
      </c>
      <c r="I447" s="23">
        <v>8.2799999999999994</v>
      </c>
      <c r="J447" s="23">
        <v>8.2799999999999994</v>
      </c>
      <c r="K447" s="23">
        <v>8.2799999999999994</v>
      </c>
      <c r="L447" s="23">
        <v>8.2799999999999994</v>
      </c>
      <c r="M447" s="23">
        <v>23</v>
      </c>
      <c r="N447" s="23">
        <v>4.5999999999999996</v>
      </c>
      <c r="O447" s="24">
        <v>2.5499999999999998E-2</v>
      </c>
    </row>
    <row r="448" spans="1:15" x14ac:dyDescent="0.25">
      <c r="A448" s="18" t="s">
        <v>442</v>
      </c>
      <c r="B448" s="22">
        <v>6.68</v>
      </c>
      <c r="C448" s="23">
        <v>6.52</v>
      </c>
      <c r="D448" s="23">
        <v>6.72</v>
      </c>
      <c r="E448" s="23">
        <v>6.68</v>
      </c>
      <c r="F448" s="23">
        <v>6.72</v>
      </c>
      <c r="G448" s="23">
        <v>6.72</v>
      </c>
      <c r="H448" s="23">
        <v>6.68</v>
      </c>
      <c r="I448" s="23">
        <v>6.68</v>
      </c>
      <c r="J448" s="23">
        <v>6.68</v>
      </c>
      <c r="K448" s="23">
        <v>6.72</v>
      </c>
      <c r="L448" s="23">
        <v>6.52</v>
      </c>
      <c r="M448" s="23">
        <v>23</v>
      </c>
      <c r="N448" s="23">
        <v>2.4</v>
      </c>
      <c r="O448" s="24">
        <v>2.52E-2</v>
      </c>
    </row>
    <row r="449" spans="1:15" x14ac:dyDescent="0.25">
      <c r="A449" s="18" t="s">
        <v>443</v>
      </c>
      <c r="B449" s="22">
        <v>8.1199999999999992</v>
      </c>
      <c r="C449" s="23">
        <v>7.92</v>
      </c>
      <c r="D449" s="23">
        <v>7.92</v>
      </c>
      <c r="E449" s="23">
        <v>7.92</v>
      </c>
      <c r="F449" s="23">
        <v>7.92</v>
      </c>
      <c r="G449" s="23">
        <v>8.08</v>
      </c>
      <c r="H449" s="23">
        <v>7.92</v>
      </c>
      <c r="I449" s="23">
        <v>8.1199999999999992</v>
      </c>
      <c r="J449" s="23">
        <v>8.08</v>
      </c>
      <c r="K449" s="23">
        <v>7.92</v>
      </c>
      <c r="L449" s="23">
        <v>7.92</v>
      </c>
      <c r="M449" s="23">
        <v>22</v>
      </c>
      <c r="N449" s="23">
        <v>4.4000000000000004</v>
      </c>
      <c r="O449" s="24">
        <v>2.5000000000000001E-2</v>
      </c>
    </row>
    <row r="450" spans="1:15" x14ac:dyDescent="0.25">
      <c r="A450" s="18" t="s">
        <v>444</v>
      </c>
      <c r="B450" s="22">
        <v>6.36</v>
      </c>
      <c r="C450" s="23">
        <v>6.36</v>
      </c>
      <c r="D450" s="23">
        <v>6.4</v>
      </c>
      <c r="E450" s="23">
        <v>6.4</v>
      </c>
      <c r="F450" s="23">
        <v>6.4</v>
      </c>
      <c r="G450" s="23">
        <v>6.36</v>
      </c>
      <c r="H450" s="23">
        <v>6.2</v>
      </c>
      <c r="I450" s="23">
        <v>6.2</v>
      </c>
      <c r="J450" s="23">
        <v>6.2</v>
      </c>
      <c r="K450" s="23">
        <v>6.2</v>
      </c>
      <c r="L450" s="23">
        <v>6.2</v>
      </c>
      <c r="M450" s="23">
        <v>27</v>
      </c>
      <c r="N450" s="23">
        <v>1</v>
      </c>
      <c r="O450" s="24">
        <v>3.1E-2</v>
      </c>
    </row>
    <row r="451" spans="1:15" x14ac:dyDescent="0.25">
      <c r="A451" s="18" t="s">
        <v>445</v>
      </c>
      <c r="B451" s="22">
        <v>5.44</v>
      </c>
      <c r="C451" s="23">
        <v>5.44</v>
      </c>
      <c r="D451" s="23">
        <v>5.44</v>
      </c>
      <c r="E451" s="23">
        <v>5.44</v>
      </c>
      <c r="F451" s="23">
        <v>5.44</v>
      </c>
      <c r="G451" s="23">
        <v>5.44</v>
      </c>
      <c r="H451" s="23">
        <v>5.44</v>
      </c>
      <c r="I451" s="23">
        <v>5.44</v>
      </c>
      <c r="J451" s="23">
        <v>5.44</v>
      </c>
      <c r="K451" s="23">
        <v>5.44</v>
      </c>
      <c r="L451" s="23">
        <v>5.44</v>
      </c>
      <c r="M451" s="23">
        <v>24</v>
      </c>
      <c r="N451" s="23">
        <v>0.8</v>
      </c>
      <c r="O451" s="24">
        <v>2.7099999999999999E-2</v>
      </c>
    </row>
    <row r="452" spans="1:15" x14ac:dyDescent="0.25">
      <c r="A452" s="18" t="s">
        <v>446</v>
      </c>
      <c r="B452" s="22">
        <v>5.04</v>
      </c>
      <c r="C452" s="23">
        <v>5.04</v>
      </c>
      <c r="D452" s="23">
        <v>5.04</v>
      </c>
      <c r="E452" s="23">
        <v>5.04</v>
      </c>
      <c r="F452" s="23">
        <v>5.04</v>
      </c>
      <c r="G452" s="23">
        <v>5.04</v>
      </c>
      <c r="H452" s="23">
        <v>5.04</v>
      </c>
      <c r="I452" s="23">
        <v>5.04</v>
      </c>
      <c r="J452" s="23">
        <v>5.04</v>
      </c>
      <c r="K452" s="23">
        <v>5.04</v>
      </c>
      <c r="L452" s="23">
        <v>5.04</v>
      </c>
      <c r="M452" s="23">
        <v>22</v>
      </c>
      <c r="N452" s="23">
        <v>0.8</v>
      </c>
      <c r="O452" s="24">
        <v>2.64E-2</v>
      </c>
    </row>
    <row r="453" spans="1:15" x14ac:dyDescent="0.25">
      <c r="A453" s="18" t="s">
        <v>447</v>
      </c>
      <c r="B453" s="22">
        <v>8.7200000000000006</v>
      </c>
      <c r="C453" s="23">
        <v>8.7200000000000006</v>
      </c>
      <c r="D453" s="23">
        <v>8.7200000000000006</v>
      </c>
      <c r="E453" s="23">
        <v>8.7200000000000006</v>
      </c>
      <c r="F453" s="23">
        <v>8.7200000000000006</v>
      </c>
      <c r="G453" s="23">
        <v>8.7200000000000006</v>
      </c>
      <c r="H453" s="23">
        <v>8.8800000000000008</v>
      </c>
      <c r="I453" s="23">
        <v>8.8800000000000008</v>
      </c>
      <c r="J453" s="23">
        <v>8.7200000000000006</v>
      </c>
      <c r="K453" s="23">
        <v>8.7200000000000006</v>
      </c>
      <c r="L453" s="23">
        <v>8.7200000000000006</v>
      </c>
      <c r="M453" s="23">
        <v>30</v>
      </c>
      <c r="N453" s="23">
        <v>3.4</v>
      </c>
      <c r="O453" s="24">
        <v>3.1800000000000002E-2</v>
      </c>
    </row>
    <row r="454" spans="1:15" x14ac:dyDescent="0.25">
      <c r="A454" s="18" t="s">
        <v>448</v>
      </c>
      <c r="B454" s="22">
        <v>6.44</v>
      </c>
      <c r="C454" s="23">
        <v>6.44</v>
      </c>
      <c r="D454" s="23">
        <v>6.44</v>
      </c>
      <c r="E454" s="23">
        <v>6.44</v>
      </c>
      <c r="F454" s="23">
        <v>6.44</v>
      </c>
      <c r="G454" s="23">
        <v>6.44</v>
      </c>
      <c r="H454" s="23">
        <v>6.44</v>
      </c>
      <c r="I454" s="23">
        <v>6.44</v>
      </c>
      <c r="J454" s="23">
        <v>6.28</v>
      </c>
      <c r="K454" s="23">
        <v>6.44</v>
      </c>
      <c r="L454" s="23">
        <v>6.28</v>
      </c>
      <c r="M454" s="23">
        <v>25</v>
      </c>
      <c r="N454" s="23">
        <v>1.6</v>
      </c>
      <c r="O454" s="24">
        <v>2.92E-2</v>
      </c>
    </row>
    <row r="455" spans="1:15" x14ac:dyDescent="0.25">
      <c r="A455" s="18" t="s">
        <v>449</v>
      </c>
      <c r="B455" s="22">
        <v>8.2799999999999994</v>
      </c>
      <c r="C455" s="23">
        <v>8.2799999999999994</v>
      </c>
      <c r="D455" s="23">
        <v>8.2799999999999994</v>
      </c>
      <c r="E455" s="23">
        <v>8.2799999999999994</v>
      </c>
      <c r="F455" s="23">
        <v>8.2799999999999994</v>
      </c>
      <c r="G455" s="23">
        <v>8.2799999999999994</v>
      </c>
      <c r="H455" s="23">
        <v>8.2799999999999994</v>
      </c>
      <c r="I455" s="23">
        <v>8.2799999999999994</v>
      </c>
      <c r="J455" s="23">
        <v>8.2799999999999994</v>
      </c>
      <c r="K455" s="23">
        <v>8.2799999999999994</v>
      </c>
      <c r="L455" s="23">
        <v>8.2799999999999994</v>
      </c>
      <c r="M455" s="23">
        <v>31</v>
      </c>
      <c r="N455" s="23">
        <v>2.6</v>
      </c>
      <c r="O455" s="24">
        <v>3.27E-2</v>
      </c>
    </row>
    <row r="456" spans="1:15" x14ac:dyDescent="0.25">
      <c r="A456" s="18" t="s">
        <v>450</v>
      </c>
      <c r="B456" s="22">
        <v>7.32</v>
      </c>
      <c r="C456" s="23">
        <v>7.32</v>
      </c>
      <c r="D456" s="23">
        <v>7.32</v>
      </c>
      <c r="E456" s="23">
        <v>7.32</v>
      </c>
      <c r="F456" s="23">
        <v>7.32</v>
      </c>
      <c r="G456" s="23">
        <v>7.32</v>
      </c>
      <c r="H456" s="23">
        <v>7.32</v>
      </c>
      <c r="I456" s="23">
        <v>7.32</v>
      </c>
      <c r="J456" s="23">
        <v>7.32</v>
      </c>
      <c r="K456" s="23">
        <v>7.32</v>
      </c>
      <c r="L456" s="23">
        <v>7.32</v>
      </c>
      <c r="M456" s="23">
        <v>27</v>
      </c>
      <c r="N456" s="23">
        <v>2.4</v>
      </c>
      <c r="O456" s="24">
        <v>3.0099999999999998E-2</v>
      </c>
    </row>
    <row r="457" spans="1:15" x14ac:dyDescent="0.25">
      <c r="A457" s="18" t="s">
        <v>451</v>
      </c>
      <c r="B457" s="22">
        <v>7.8</v>
      </c>
      <c r="C457" s="23">
        <v>7.64</v>
      </c>
      <c r="D457" s="23">
        <v>7.96</v>
      </c>
      <c r="E457" s="23">
        <v>7.8</v>
      </c>
      <c r="F457" s="23">
        <v>7.64</v>
      </c>
      <c r="G457" s="23">
        <v>7.64</v>
      </c>
      <c r="H457" s="23">
        <v>7.8</v>
      </c>
      <c r="I457" s="23">
        <v>7.64</v>
      </c>
      <c r="J457" s="23">
        <v>7.96</v>
      </c>
      <c r="K457" s="23">
        <v>7.96</v>
      </c>
      <c r="L457" s="23">
        <v>7.64</v>
      </c>
      <c r="M457" s="23">
        <v>27</v>
      </c>
      <c r="N457" s="23">
        <v>2.8</v>
      </c>
      <c r="O457" s="24">
        <v>2.98E-2</v>
      </c>
    </row>
    <row r="458" spans="1:15" x14ac:dyDescent="0.25">
      <c r="A458" s="18" t="s">
        <v>452</v>
      </c>
      <c r="B458" s="22">
        <v>6.48</v>
      </c>
      <c r="C458" s="23">
        <v>6.48</v>
      </c>
      <c r="D458" s="23">
        <v>6.48</v>
      </c>
      <c r="E458" s="23">
        <v>6.48</v>
      </c>
      <c r="F458" s="23">
        <v>6.48</v>
      </c>
      <c r="G458" s="23">
        <v>6.48</v>
      </c>
      <c r="H458" s="23">
        <v>6.48</v>
      </c>
      <c r="I458" s="23">
        <v>6.48</v>
      </c>
      <c r="J458" s="23">
        <v>6.48</v>
      </c>
      <c r="K458" s="23">
        <v>6.48</v>
      </c>
      <c r="L458" s="23">
        <v>6.48</v>
      </c>
      <c r="M458" s="23">
        <v>22</v>
      </c>
      <c r="N458" s="23">
        <v>2.6</v>
      </c>
      <c r="O458" s="24">
        <v>2.52E-2</v>
      </c>
    </row>
    <row r="459" spans="1:15" x14ac:dyDescent="0.25">
      <c r="A459" s="18" t="s">
        <v>453</v>
      </c>
      <c r="B459" s="22">
        <v>7.88</v>
      </c>
      <c r="C459" s="23">
        <v>7.88</v>
      </c>
      <c r="D459" s="23">
        <v>7.88</v>
      </c>
      <c r="E459" s="23">
        <v>7.88</v>
      </c>
      <c r="F459" s="23">
        <v>7.88</v>
      </c>
      <c r="G459" s="23">
        <v>7.88</v>
      </c>
      <c r="H459" s="23">
        <v>7.72</v>
      </c>
      <c r="I459" s="23">
        <v>7.88</v>
      </c>
      <c r="J459" s="23">
        <v>7.68</v>
      </c>
      <c r="K459" s="23">
        <v>7.88</v>
      </c>
      <c r="L459" s="23">
        <v>7.68</v>
      </c>
      <c r="M459" s="23">
        <v>24</v>
      </c>
      <c r="N459" s="23">
        <v>3.6</v>
      </c>
      <c r="O459" s="24">
        <v>2.8500000000000001E-2</v>
      </c>
    </row>
    <row r="460" spans="1:15" x14ac:dyDescent="0.25">
      <c r="A460" s="18" t="s">
        <v>454</v>
      </c>
      <c r="B460" s="22">
        <v>4.92</v>
      </c>
      <c r="C460" s="23">
        <v>4.92</v>
      </c>
      <c r="D460" s="23">
        <v>4.92</v>
      </c>
      <c r="E460" s="23">
        <v>4.92</v>
      </c>
      <c r="F460" s="23">
        <v>4.92</v>
      </c>
      <c r="G460" s="23">
        <v>4.92</v>
      </c>
      <c r="H460" s="23">
        <v>4.92</v>
      </c>
      <c r="I460" s="23">
        <v>4.92</v>
      </c>
      <c r="J460" s="23">
        <v>4.92</v>
      </c>
      <c r="K460" s="23">
        <v>4.92</v>
      </c>
      <c r="L460" s="23">
        <v>4.92</v>
      </c>
      <c r="M460" s="23">
        <v>23</v>
      </c>
      <c r="N460" s="23">
        <v>0.4</v>
      </c>
      <c r="O460" s="24">
        <v>3.44E-2</v>
      </c>
    </row>
    <row r="461" spans="1:15" x14ac:dyDescent="0.25">
      <c r="A461" s="18" t="s">
        <v>455</v>
      </c>
      <c r="B461" s="22">
        <v>6.72</v>
      </c>
      <c r="C461" s="23">
        <v>6.72</v>
      </c>
      <c r="D461" s="23">
        <v>6.72</v>
      </c>
      <c r="E461" s="23">
        <v>6.72</v>
      </c>
      <c r="F461" s="23">
        <v>6.72</v>
      </c>
      <c r="G461" s="23">
        <v>6.72</v>
      </c>
      <c r="H461" s="23">
        <v>6.72</v>
      </c>
      <c r="I461" s="23">
        <v>6.72</v>
      </c>
      <c r="J461" s="23">
        <v>6.72</v>
      </c>
      <c r="K461" s="23">
        <v>6.72</v>
      </c>
      <c r="L461" s="23">
        <v>6.72</v>
      </c>
      <c r="M461" s="23">
        <v>28</v>
      </c>
      <c r="N461" s="23">
        <v>1.4</v>
      </c>
      <c r="O461" s="24">
        <v>3.8899999999999997E-2</v>
      </c>
    </row>
    <row r="462" spans="1:15" x14ac:dyDescent="0.25">
      <c r="A462" s="18" t="s">
        <v>456</v>
      </c>
      <c r="B462" s="22">
        <v>7.4</v>
      </c>
      <c r="C462" s="23">
        <v>7.4</v>
      </c>
      <c r="D462" s="23">
        <v>7.56</v>
      </c>
      <c r="E462" s="23">
        <v>7.56</v>
      </c>
      <c r="F462" s="23">
        <v>7.4</v>
      </c>
      <c r="G462" s="23">
        <v>7.56</v>
      </c>
      <c r="H462" s="23">
        <v>7.4</v>
      </c>
      <c r="I462" s="23">
        <v>7.4</v>
      </c>
      <c r="J462" s="23">
        <v>7.4</v>
      </c>
      <c r="K462" s="23">
        <v>7.56</v>
      </c>
      <c r="L462" s="23">
        <v>7.4</v>
      </c>
      <c r="M462" s="23">
        <v>25</v>
      </c>
      <c r="N462" s="23">
        <v>3</v>
      </c>
      <c r="O462" s="24">
        <v>3.5499999999999997E-2</v>
      </c>
    </row>
    <row r="463" spans="1:15" x14ac:dyDescent="0.25">
      <c r="A463" s="18" t="s">
        <v>457</v>
      </c>
      <c r="B463" s="22">
        <v>7.76</v>
      </c>
      <c r="C463" s="23">
        <v>7.76</v>
      </c>
      <c r="D463" s="23">
        <v>7.76</v>
      </c>
      <c r="E463" s="23">
        <v>7.76</v>
      </c>
      <c r="F463" s="23">
        <v>7.76</v>
      </c>
      <c r="G463" s="23">
        <v>7.76</v>
      </c>
      <c r="H463" s="23">
        <v>7.76</v>
      </c>
      <c r="I463" s="23">
        <v>7.76</v>
      </c>
      <c r="J463" s="23">
        <v>7.76</v>
      </c>
      <c r="K463" s="23">
        <v>7.76</v>
      </c>
      <c r="L463" s="23">
        <v>7.76</v>
      </c>
      <c r="M463" s="23">
        <v>26</v>
      </c>
      <c r="N463" s="23">
        <v>3.2</v>
      </c>
      <c r="O463" s="24">
        <v>3.5799999999999998E-2</v>
      </c>
    </row>
    <row r="464" spans="1:15" x14ac:dyDescent="0.25">
      <c r="A464" s="18" t="s">
        <v>458</v>
      </c>
      <c r="B464" s="22">
        <v>4.84</v>
      </c>
      <c r="C464" s="23">
        <v>4.84</v>
      </c>
      <c r="D464" s="23">
        <v>4.84</v>
      </c>
      <c r="E464" s="23">
        <v>4.84</v>
      </c>
      <c r="F464" s="23">
        <v>4.84</v>
      </c>
      <c r="G464" s="23">
        <v>4.84</v>
      </c>
      <c r="H464" s="23">
        <v>4.84</v>
      </c>
      <c r="I464" s="23">
        <v>4.84</v>
      </c>
      <c r="J464" s="23">
        <v>4.84</v>
      </c>
      <c r="K464" s="23">
        <v>4.84</v>
      </c>
      <c r="L464" s="23">
        <v>4.84</v>
      </c>
      <c r="M464" s="23">
        <v>21</v>
      </c>
      <c r="N464" s="23">
        <v>0.8</v>
      </c>
      <c r="O464" s="24">
        <v>0.03</v>
      </c>
    </row>
    <row r="465" spans="1:15" x14ac:dyDescent="0.25">
      <c r="A465" s="18" t="s">
        <v>459</v>
      </c>
      <c r="B465" s="22">
        <v>6.12</v>
      </c>
      <c r="C465" s="23">
        <v>6.12</v>
      </c>
      <c r="D465" s="23">
        <v>6.12</v>
      </c>
      <c r="E465" s="23">
        <v>6.12</v>
      </c>
      <c r="F465" s="23">
        <v>6.12</v>
      </c>
      <c r="G465" s="23">
        <v>6.12</v>
      </c>
      <c r="H465" s="23">
        <v>6.12</v>
      </c>
      <c r="I465" s="23">
        <v>6.12</v>
      </c>
      <c r="J465" s="23">
        <v>6.12</v>
      </c>
      <c r="K465" s="23">
        <v>6.12</v>
      </c>
      <c r="L465" s="23">
        <v>6.12</v>
      </c>
      <c r="M465" s="23">
        <v>25</v>
      </c>
      <c r="N465" s="23">
        <v>1.4</v>
      </c>
      <c r="O465" s="24">
        <v>3.5000000000000003E-2</v>
      </c>
    </row>
    <row r="466" spans="1:15" x14ac:dyDescent="0.25">
      <c r="A466" s="18" t="s">
        <v>460</v>
      </c>
      <c r="B466" s="22">
        <v>5.52</v>
      </c>
      <c r="C466" s="23">
        <v>5.52</v>
      </c>
      <c r="D466" s="23">
        <v>5.52</v>
      </c>
      <c r="E466" s="23">
        <v>5.52</v>
      </c>
      <c r="F466" s="23">
        <v>5.52</v>
      </c>
      <c r="G466" s="23">
        <v>5.52</v>
      </c>
      <c r="H466" s="23">
        <v>5.68</v>
      </c>
      <c r="I466" s="23">
        <v>5.52</v>
      </c>
      <c r="J466" s="23">
        <v>5.52</v>
      </c>
      <c r="K466" s="23">
        <v>5.52</v>
      </c>
      <c r="L466" s="23">
        <v>5.52</v>
      </c>
      <c r="M466" s="23">
        <v>22</v>
      </c>
      <c r="N466" s="23">
        <v>1.4</v>
      </c>
      <c r="O466" s="24">
        <v>3.2000000000000001E-2</v>
      </c>
    </row>
    <row r="467" spans="1:15" x14ac:dyDescent="0.25">
      <c r="A467" s="18" t="s">
        <v>461</v>
      </c>
      <c r="B467" s="22">
        <v>5.72</v>
      </c>
      <c r="C467" s="23">
        <v>5.72</v>
      </c>
      <c r="D467" s="23">
        <v>5.72</v>
      </c>
      <c r="E467" s="23">
        <v>5.72</v>
      </c>
      <c r="F467" s="23">
        <v>5.72</v>
      </c>
      <c r="G467" s="23">
        <v>5.72</v>
      </c>
      <c r="H467" s="23">
        <v>5.72</v>
      </c>
      <c r="I467" s="23">
        <v>5.72</v>
      </c>
      <c r="J467" s="23">
        <v>5.72</v>
      </c>
      <c r="K467" s="23">
        <v>5.72</v>
      </c>
      <c r="L467" s="23">
        <v>5.72</v>
      </c>
      <c r="M467" s="23">
        <v>23</v>
      </c>
      <c r="N467" s="23">
        <v>1.4</v>
      </c>
      <c r="O467" s="24">
        <v>3.49E-2</v>
      </c>
    </row>
    <row r="468" spans="1:15" x14ac:dyDescent="0.25">
      <c r="A468" s="18" t="s">
        <v>462</v>
      </c>
      <c r="B468" s="22">
        <v>5.24</v>
      </c>
      <c r="C468" s="23">
        <v>5.44</v>
      </c>
      <c r="D468" s="23">
        <v>5.4</v>
      </c>
      <c r="E468" s="23">
        <v>5.24</v>
      </c>
      <c r="F468" s="23">
        <v>5.4</v>
      </c>
      <c r="G468" s="23">
        <v>5.24</v>
      </c>
      <c r="H468" s="23">
        <v>5.24</v>
      </c>
      <c r="I468" s="23">
        <v>5.4</v>
      </c>
      <c r="J468" s="23">
        <v>5.4</v>
      </c>
      <c r="K468" s="23">
        <v>5.4</v>
      </c>
      <c r="L468" s="23">
        <v>5.24</v>
      </c>
      <c r="M468" s="23">
        <v>23</v>
      </c>
      <c r="N468" s="23">
        <v>0.8</v>
      </c>
      <c r="O468" s="24">
        <v>3.2000000000000001E-2</v>
      </c>
    </row>
    <row r="469" spans="1:15" x14ac:dyDescent="0.25">
      <c r="A469" s="18" t="s">
        <v>463</v>
      </c>
      <c r="B469" s="22">
        <v>5.72</v>
      </c>
      <c r="C469" s="23">
        <v>5.72</v>
      </c>
      <c r="D469" s="23">
        <v>5.72</v>
      </c>
      <c r="E469" s="23">
        <v>5.72</v>
      </c>
      <c r="F469" s="23">
        <v>5.72</v>
      </c>
      <c r="G469" s="23">
        <v>5.72</v>
      </c>
      <c r="H469" s="23">
        <v>5.72</v>
      </c>
      <c r="I469" s="23">
        <v>5.72</v>
      </c>
      <c r="J469" s="23">
        <v>5.72</v>
      </c>
      <c r="K469" s="23">
        <v>5.72</v>
      </c>
      <c r="L469" s="23">
        <v>5.72</v>
      </c>
      <c r="M469" s="23">
        <v>23</v>
      </c>
      <c r="N469" s="23">
        <v>1.4</v>
      </c>
      <c r="O469" s="24">
        <v>3.44E-2</v>
      </c>
    </row>
    <row r="470" spans="1:15" x14ac:dyDescent="0.25">
      <c r="A470" s="18" t="s">
        <v>464</v>
      </c>
      <c r="B470" s="22">
        <v>7.04</v>
      </c>
      <c r="C470" s="23">
        <v>7.04</v>
      </c>
      <c r="D470" s="23">
        <v>7.04</v>
      </c>
      <c r="E470" s="23">
        <v>7.04</v>
      </c>
      <c r="F470" s="23">
        <v>7.04</v>
      </c>
      <c r="G470" s="23">
        <v>7.04</v>
      </c>
      <c r="H470" s="23">
        <v>7.04</v>
      </c>
      <c r="I470" s="23">
        <v>7.04</v>
      </c>
      <c r="J470" s="23">
        <v>7.04</v>
      </c>
      <c r="K470" s="23">
        <v>7.04</v>
      </c>
      <c r="L470" s="23">
        <v>7.04</v>
      </c>
      <c r="M470" s="23">
        <v>24</v>
      </c>
      <c r="N470" s="23">
        <v>2.8</v>
      </c>
      <c r="O470" s="24">
        <v>4.5599999999999988E-2</v>
      </c>
    </row>
    <row r="471" spans="1:15" x14ac:dyDescent="0.25">
      <c r="A471" s="18" t="s">
        <v>465</v>
      </c>
      <c r="B471" s="22">
        <v>5.16</v>
      </c>
      <c r="C471" s="23">
        <v>5.16</v>
      </c>
      <c r="D471" s="23">
        <v>5.16</v>
      </c>
      <c r="E471" s="23">
        <v>5.16</v>
      </c>
      <c r="F471" s="23">
        <v>5.16</v>
      </c>
      <c r="G471" s="23">
        <v>5.16</v>
      </c>
      <c r="H471" s="23">
        <v>5.16</v>
      </c>
      <c r="I471" s="23">
        <v>5.16</v>
      </c>
      <c r="J471" s="23">
        <v>5.16</v>
      </c>
      <c r="K471" s="23">
        <v>5.16</v>
      </c>
      <c r="L471" s="23">
        <v>5.16</v>
      </c>
      <c r="M471" s="23">
        <v>25</v>
      </c>
      <c r="N471" s="23">
        <v>0.2</v>
      </c>
      <c r="O471" s="24">
        <v>4.5400000000000003E-2</v>
      </c>
    </row>
    <row r="472" spans="1:15" x14ac:dyDescent="0.25">
      <c r="A472" s="18" t="s">
        <v>466</v>
      </c>
      <c r="B472" s="22">
        <v>4.3600000000000003</v>
      </c>
      <c r="C472" s="23">
        <v>4.3600000000000003</v>
      </c>
      <c r="D472" s="23">
        <v>4.3600000000000003</v>
      </c>
      <c r="E472" s="23">
        <v>4.3600000000000003</v>
      </c>
      <c r="F472" s="23">
        <v>4.3600000000000003</v>
      </c>
      <c r="G472" s="23">
        <v>4.3600000000000003</v>
      </c>
      <c r="H472" s="23">
        <v>4.3600000000000003</v>
      </c>
      <c r="I472" s="23">
        <v>4.3600000000000003</v>
      </c>
      <c r="J472" s="23">
        <v>4.3600000000000003</v>
      </c>
      <c r="K472" s="23">
        <v>4.3600000000000003</v>
      </c>
      <c r="L472" s="23">
        <v>4.3600000000000003</v>
      </c>
      <c r="M472" s="23">
        <v>21</v>
      </c>
      <c r="N472" s="23">
        <v>0.2</v>
      </c>
      <c r="O472" s="24">
        <v>4.1600000000000012E-2</v>
      </c>
    </row>
    <row r="473" spans="1:15" x14ac:dyDescent="0.25">
      <c r="A473" s="18" t="s">
        <v>467</v>
      </c>
      <c r="B473" s="22">
        <v>4.76</v>
      </c>
      <c r="C473" s="23">
        <v>4.76</v>
      </c>
      <c r="D473" s="23">
        <v>4.76</v>
      </c>
      <c r="E473" s="23">
        <v>4.76</v>
      </c>
      <c r="F473" s="23">
        <v>4.76</v>
      </c>
      <c r="G473" s="23">
        <v>4.76</v>
      </c>
      <c r="H473" s="23">
        <v>4.76</v>
      </c>
      <c r="I473" s="23">
        <v>4.76</v>
      </c>
      <c r="J473" s="23">
        <v>4.76</v>
      </c>
      <c r="K473" s="23">
        <v>4.76</v>
      </c>
      <c r="L473" s="23">
        <v>4.76</v>
      </c>
      <c r="M473" s="23">
        <v>23</v>
      </c>
      <c r="N473" s="23">
        <v>0.2</v>
      </c>
      <c r="O473" s="24">
        <v>4.2799999999999998E-2</v>
      </c>
    </row>
    <row r="474" spans="1:15" x14ac:dyDescent="0.25">
      <c r="A474" s="18" t="s">
        <v>468</v>
      </c>
      <c r="B474" s="22">
        <v>6</v>
      </c>
      <c r="C474" s="23">
        <v>6</v>
      </c>
      <c r="D474" s="23">
        <v>6</v>
      </c>
      <c r="E474" s="23">
        <v>6</v>
      </c>
      <c r="F474" s="23">
        <v>6</v>
      </c>
      <c r="G474" s="23">
        <v>6</v>
      </c>
      <c r="H474" s="23">
        <v>6</v>
      </c>
      <c r="I474" s="23">
        <v>6</v>
      </c>
      <c r="J474" s="23">
        <v>6</v>
      </c>
      <c r="K474" s="23">
        <v>6</v>
      </c>
      <c r="L474" s="23">
        <v>6</v>
      </c>
      <c r="M474" s="23">
        <v>26</v>
      </c>
      <c r="N474" s="23">
        <v>1</v>
      </c>
      <c r="O474" s="24">
        <v>4.7399999999999998E-2</v>
      </c>
    </row>
    <row r="475" spans="1:15" x14ac:dyDescent="0.25">
      <c r="A475" s="18" t="s">
        <v>469</v>
      </c>
      <c r="B475" s="22">
        <v>7.32</v>
      </c>
      <c r="C475" s="23">
        <v>7.32</v>
      </c>
      <c r="D475" s="23">
        <v>7.32</v>
      </c>
      <c r="E475" s="23">
        <v>7.32</v>
      </c>
      <c r="F475" s="23">
        <v>7.32</v>
      </c>
      <c r="G475" s="23">
        <v>7.32</v>
      </c>
      <c r="H475" s="23">
        <v>7.32</v>
      </c>
      <c r="I475" s="23">
        <v>7.32</v>
      </c>
      <c r="J475" s="23">
        <v>7.32</v>
      </c>
      <c r="K475" s="23">
        <v>7.32</v>
      </c>
      <c r="L475" s="23">
        <v>7.32</v>
      </c>
      <c r="M475" s="23">
        <v>31</v>
      </c>
      <c r="N475" s="23">
        <v>1.4</v>
      </c>
      <c r="O475" s="24">
        <v>5.5200000000000013E-2</v>
      </c>
    </row>
    <row r="476" spans="1:15" x14ac:dyDescent="0.25">
      <c r="A476" s="18" t="s">
        <v>470</v>
      </c>
      <c r="B476" s="22">
        <v>5.08</v>
      </c>
      <c r="C476" s="23">
        <v>5.08</v>
      </c>
      <c r="D476" s="23">
        <v>5.08</v>
      </c>
      <c r="E476" s="23">
        <v>5.08</v>
      </c>
      <c r="F476" s="23">
        <v>5.08</v>
      </c>
      <c r="G476" s="23">
        <v>5.08</v>
      </c>
      <c r="H476" s="23">
        <v>5.08</v>
      </c>
      <c r="I476" s="23">
        <v>5.08</v>
      </c>
      <c r="J476" s="23">
        <v>5.08</v>
      </c>
      <c r="K476" s="23">
        <v>5.08</v>
      </c>
      <c r="L476" s="23">
        <v>5.08</v>
      </c>
      <c r="M476" s="23">
        <v>23</v>
      </c>
      <c r="N476" s="23">
        <v>0.6</v>
      </c>
      <c r="O476" s="24">
        <v>4.4400000000000002E-2</v>
      </c>
    </row>
    <row r="477" spans="1:15" x14ac:dyDescent="0.25">
      <c r="A477" s="18" t="s">
        <v>471</v>
      </c>
      <c r="B477" s="22">
        <v>8.16</v>
      </c>
      <c r="C477" s="23">
        <v>8.16</v>
      </c>
      <c r="D477" s="23">
        <v>8.16</v>
      </c>
      <c r="E477" s="23">
        <v>8.16</v>
      </c>
      <c r="F477" s="23">
        <v>8.16</v>
      </c>
      <c r="G477" s="23">
        <v>8.16</v>
      </c>
      <c r="H477" s="23">
        <v>8.16</v>
      </c>
      <c r="I477" s="23">
        <v>8.16</v>
      </c>
      <c r="J477" s="23">
        <v>8.16</v>
      </c>
      <c r="K477" s="23">
        <v>8.16</v>
      </c>
      <c r="L477" s="23">
        <v>8.16</v>
      </c>
      <c r="M477" s="23">
        <v>24</v>
      </c>
      <c r="N477" s="23">
        <v>4.2</v>
      </c>
      <c r="O477" s="24">
        <v>4.5599999999999988E-2</v>
      </c>
    </row>
    <row r="478" spans="1:15" x14ac:dyDescent="0.25">
      <c r="A478" s="18" t="s">
        <v>472</v>
      </c>
      <c r="B478" s="22">
        <v>5.32</v>
      </c>
      <c r="C478" s="23">
        <v>5.32</v>
      </c>
      <c r="D478" s="23">
        <v>5.32</v>
      </c>
      <c r="E478" s="23">
        <v>5.32</v>
      </c>
      <c r="F478" s="23">
        <v>5.32</v>
      </c>
      <c r="G478" s="23">
        <v>5.32</v>
      </c>
      <c r="H478" s="23">
        <v>5.32</v>
      </c>
      <c r="I478" s="23">
        <v>5.12</v>
      </c>
      <c r="J478" s="23">
        <v>5.32</v>
      </c>
      <c r="K478" s="23">
        <v>5.32</v>
      </c>
      <c r="L478" s="23">
        <v>5.12</v>
      </c>
      <c r="M478" s="23">
        <v>24</v>
      </c>
      <c r="N478" s="23">
        <v>0.4</v>
      </c>
      <c r="O478" s="24">
        <v>4.4099999999999993E-2</v>
      </c>
    </row>
    <row r="479" spans="1:15" x14ac:dyDescent="0.25">
      <c r="A479" s="18" t="s">
        <v>473</v>
      </c>
      <c r="B479" s="22">
        <v>8.36</v>
      </c>
      <c r="C479" s="23">
        <v>8.36</v>
      </c>
      <c r="D479" s="23">
        <v>8.36</v>
      </c>
      <c r="E479" s="23">
        <v>8.36</v>
      </c>
      <c r="F479" s="23">
        <v>8.36</v>
      </c>
      <c r="G479" s="23">
        <v>8.36</v>
      </c>
      <c r="H479" s="23">
        <v>8.36</v>
      </c>
      <c r="I479" s="23">
        <v>8.36</v>
      </c>
      <c r="J479" s="23">
        <v>8.36</v>
      </c>
      <c r="K479" s="23">
        <v>8.36</v>
      </c>
      <c r="L479" s="23">
        <v>8.36</v>
      </c>
      <c r="M479" s="23">
        <v>25</v>
      </c>
      <c r="N479" s="23">
        <v>4.2</v>
      </c>
      <c r="O479" s="24">
        <v>4.8000000000000001E-2</v>
      </c>
    </row>
    <row r="480" spans="1:15" x14ac:dyDescent="0.25">
      <c r="A480" s="18" t="s">
        <v>474</v>
      </c>
      <c r="B480" s="22">
        <v>7.24</v>
      </c>
      <c r="C480" s="23">
        <v>7.24</v>
      </c>
      <c r="D480" s="23">
        <v>7.24</v>
      </c>
      <c r="E480" s="23">
        <v>7.24</v>
      </c>
      <c r="F480" s="23">
        <v>7.24</v>
      </c>
      <c r="G480" s="23">
        <v>7.24</v>
      </c>
      <c r="H480" s="23">
        <v>7.24</v>
      </c>
      <c r="I480" s="23">
        <v>7.24</v>
      </c>
      <c r="J480" s="23">
        <v>7.24</v>
      </c>
      <c r="K480" s="23">
        <v>7.24</v>
      </c>
      <c r="L480" s="23">
        <v>7.24</v>
      </c>
      <c r="M480" s="23">
        <v>25</v>
      </c>
      <c r="N480" s="23">
        <v>2.8</v>
      </c>
      <c r="O480" s="24">
        <v>7.3599999999999999E-2</v>
      </c>
    </row>
    <row r="481" spans="1:15" x14ac:dyDescent="0.25">
      <c r="A481" s="18" t="s">
        <v>475</v>
      </c>
      <c r="B481" s="22">
        <v>6.88</v>
      </c>
      <c r="C481" s="23">
        <v>7.04</v>
      </c>
      <c r="D481" s="23">
        <v>6.88</v>
      </c>
      <c r="E481" s="23">
        <v>7.04</v>
      </c>
      <c r="F481" s="23">
        <v>6.88</v>
      </c>
      <c r="G481" s="23">
        <v>6.88</v>
      </c>
      <c r="H481" s="23">
        <v>7.2</v>
      </c>
      <c r="I481" s="23">
        <v>6.88</v>
      </c>
      <c r="J481" s="23">
        <v>6.4</v>
      </c>
      <c r="K481" s="23">
        <v>7.04</v>
      </c>
      <c r="L481" s="23">
        <v>6.4</v>
      </c>
      <c r="M481" s="23">
        <v>24</v>
      </c>
      <c r="N481" s="23">
        <v>2</v>
      </c>
      <c r="O481" s="24">
        <v>7.1999999999999995E-2</v>
      </c>
    </row>
    <row r="482" spans="1:15" x14ac:dyDescent="0.25">
      <c r="A482" s="18" t="s">
        <v>476</v>
      </c>
      <c r="B482" s="22">
        <v>8.2799999999999994</v>
      </c>
      <c r="C482" s="23">
        <v>8.2799999999999994</v>
      </c>
      <c r="D482" s="23">
        <v>8.1199999999999992</v>
      </c>
      <c r="E482" s="23">
        <v>8.1199999999999992</v>
      </c>
      <c r="F482" s="23">
        <v>8.1199999999999992</v>
      </c>
      <c r="G482" s="23">
        <v>8.1199999999999992</v>
      </c>
      <c r="H482" s="23">
        <v>8.1199999999999992</v>
      </c>
      <c r="I482" s="23">
        <v>8.1199999999999992</v>
      </c>
      <c r="J482" s="23">
        <v>8.1199999999999992</v>
      </c>
      <c r="K482" s="23">
        <v>8.1199999999999992</v>
      </c>
      <c r="L482" s="23">
        <v>8.1199999999999992</v>
      </c>
      <c r="M482" s="23">
        <v>27</v>
      </c>
      <c r="N482" s="23">
        <v>3.4</v>
      </c>
      <c r="O482" s="24">
        <v>7.6999999999999999E-2</v>
      </c>
    </row>
    <row r="483" spans="1:15" x14ac:dyDescent="0.25">
      <c r="A483" s="18" t="s">
        <v>477</v>
      </c>
      <c r="B483" s="22">
        <v>7.6</v>
      </c>
      <c r="C483" s="23">
        <v>7.6</v>
      </c>
      <c r="D483" s="23">
        <v>7.6</v>
      </c>
      <c r="E483" s="23">
        <v>7.6</v>
      </c>
      <c r="F483" s="23">
        <v>7.6</v>
      </c>
      <c r="G483" s="23">
        <v>7.6</v>
      </c>
      <c r="H483" s="23">
        <v>7.6</v>
      </c>
      <c r="I483" s="23">
        <v>7.6</v>
      </c>
      <c r="J483" s="23">
        <v>7.6</v>
      </c>
      <c r="K483" s="23">
        <v>7.6</v>
      </c>
      <c r="L483" s="23">
        <v>7.6</v>
      </c>
      <c r="M483" s="23">
        <v>26</v>
      </c>
      <c r="N483" s="23">
        <v>3</v>
      </c>
      <c r="O483" s="24">
        <v>7.4499999999999997E-2</v>
      </c>
    </row>
    <row r="484" spans="1:15" x14ac:dyDescent="0.25">
      <c r="A484" s="18" t="s">
        <v>478</v>
      </c>
      <c r="B484" s="22">
        <v>8.64</v>
      </c>
      <c r="C484" s="23">
        <v>8.64</v>
      </c>
      <c r="D484" s="23">
        <v>8.64</v>
      </c>
      <c r="E484" s="23">
        <v>8.64</v>
      </c>
      <c r="F484" s="23">
        <v>8.64</v>
      </c>
      <c r="G484" s="23">
        <v>8.64</v>
      </c>
      <c r="H484" s="23">
        <v>8.64</v>
      </c>
      <c r="I484" s="23">
        <v>8.64</v>
      </c>
      <c r="J484" s="23">
        <v>8.64</v>
      </c>
      <c r="K484" s="23">
        <v>8.64</v>
      </c>
      <c r="L484" s="23">
        <v>8.64</v>
      </c>
      <c r="M484" s="23">
        <v>28</v>
      </c>
      <c r="N484" s="23">
        <v>3.8</v>
      </c>
      <c r="O484" s="24">
        <v>7.8E-2</v>
      </c>
    </row>
    <row r="485" spans="1:15" x14ac:dyDescent="0.25">
      <c r="A485" s="18" t="s">
        <v>479</v>
      </c>
      <c r="B485" s="22">
        <v>7.76</v>
      </c>
      <c r="C485" s="23">
        <v>7.76</v>
      </c>
      <c r="D485" s="23">
        <v>7.8</v>
      </c>
      <c r="E485" s="23">
        <v>7.8</v>
      </c>
      <c r="F485" s="23">
        <v>7.8</v>
      </c>
      <c r="G485" s="23">
        <v>7.8</v>
      </c>
      <c r="H485" s="23">
        <v>7.8</v>
      </c>
      <c r="I485" s="23">
        <v>7.8</v>
      </c>
      <c r="J485" s="23">
        <v>7.8</v>
      </c>
      <c r="K485" s="23">
        <v>7.76</v>
      </c>
      <c r="L485" s="23">
        <v>7.76</v>
      </c>
      <c r="M485" s="23">
        <v>22</v>
      </c>
      <c r="N485" s="23">
        <v>4.2</v>
      </c>
      <c r="O485" s="24">
        <v>6.6400000000000001E-2</v>
      </c>
    </row>
    <row r="486" spans="1:15" x14ac:dyDescent="0.25">
      <c r="A486" s="18" t="s">
        <v>480</v>
      </c>
      <c r="B486" s="22">
        <v>7.4</v>
      </c>
      <c r="C486" s="23">
        <v>7.44</v>
      </c>
      <c r="D486" s="23">
        <v>7.24</v>
      </c>
      <c r="E486" s="23">
        <v>7.24</v>
      </c>
      <c r="F486" s="23">
        <v>7.4</v>
      </c>
      <c r="G486" s="23">
        <v>7.24</v>
      </c>
      <c r="H486" s="23">
        <v>7.4</v>
      </c>
      <c r="I486" s="23">
        <v>7.24</v>
      </c>
      <c r="J486" s="23">
        <v>7.24</v>
      </c>
      <c r="K486" s="23">
        <v>7.24</v>
      </c>
      <c r="L486" s="23">
        <v>7.24</v>
      </c>
      <c r="M486" s="23">
        <v>21</v>
      </c>
      <c r="N486" s="23">
        <v>3.8</v>
      </c>
      <c r="O486" s="24">
        <v>6.2899999999999998E-2</v>
      </c>
    </row>
    <row r="487" spans="1:15" x14ac:dyDescent="0.25">
      <c r="A487" s="18" t="s">
        <v>481</v>
      </c>
      <c r="B487" s="22">
        <v>8.16</v>
      </c>
      <c r="C487" s="23">
        <v>8.16</v>
      </c>
      <c r="D487" s="23">
        <v>8.32</v>
      </c>
      <c r="E487" s="23">
        <v>8.16</v>
      </c>
      <c r="F487" s="23">
        <v>8.16</v>
      </c>
      <c r="G487" s="23">
        <v>8.16</v>
      </c>
      <c r="H487" s="23">
        <v>8.16</v>
      </c>
      <c r="I487" s="23">
        <v>8.16</v>
      </c>
      <c r="J487" s="23">
        <v>8.32</v>
      </c>
      <c r="K487" s="23">
        <v>8.16</v>
      </c>
      <c r="L487" s="23">
        <v>8.16</v>
      </c>
      <c r="M487" s="23">
        <v>28</v>
      </c>
      <c r="N487" s="23">
        <v>3.2</v>
      </c>
      <c r="O487" s="24">
        <v>7.8300000000000008E-2</v>
      </c>
    </row>
    <row r="488" spans="1:15" x14ac:dyDescent="0.25">
      <c r="A488" s="18" t="s">
        <v>482</v>
      </c>
      <c r="B488" s="22">
        <v>8.1999999999999993</v>
      </c>
      <c r="C488" s="23">
        <v>8.1999999999999993</v>
      </c>
      <c r="D488" s="23">
        <v>8.1999999999999993</v>
      </c>
      <c r="E488" s="23">
        <v>8.1999999999999993</v>
      </c>
      <c r="F488" s="23">
        <v>8.1999999999999993</v>
      </c>
      <c r="G488" s="23">
        <v>8.1999999999999993</v>
      </c>
      <c r="H488" s="23">
        <v>8.1999999999999993</v>
      </c>
      <c r="I488" s="23">
        <v>8.1999999999999993</v>
      </c>
      <c r="J488" s="23">
        <v>8.1999999999999993</v>
      </c>
      <c r="K488" s="23">
        <v>8.1999999999999993</v>
      </c>
      <c r="L488" s="23">
        <v>8.1999999999999993</v>
      </c>
      <c r="M488" s="23">
        <v>29</v>
      </c>
      <c r="N488" s="23">
        <v>3</v>
      </c>
      <c r="O488" s="24">
        <v>8.09E-2</v>
      </c>
    </row>
    <row r="489" spans="1:15" x14ac:dyDescent="0.25">
      <c r="A489" s="18" t="s">
        <v>483</v>
      </c>
      <c r="B489" s="22">
        <v>7.52</v>
      </c>
      <c r="C489" s="23">
        <v>7.04</v>
      </c>
      <c r="D489" s="23">
        <v>7.52</v>
      </c>
      <c r="E489" s="23">
        <v>7.04</v>
      </c>
      <c r="F489" s="23">
        <v>7.2</v>
      </c>
      <c r="G489" s="23">
        <v>7.2</v>
      </c>
      <c r="H489" s="23">
        <v>7.04</v>
      </c>
      <c r="I489" s="23">
        <v>7.04</v>
      </c>
      <c r="J489" s="23">
        <v>7.2</v>
      </c>
      <c r="K489" s="23">
        <v>7.04</v>
      </c>
      <c r="L489" s="23">
        <v>7.04</v>
      </c>
      <c r="M489" s="23">
        <v>28</v>
      </c>
      <c r="N489" s="23">
        <v>1.8</v>
      </c>
      <c r="O489" s="24">
        <v>7.8800000000000009E-2</v>
      </c>
    </row>
    <row r="490" spans="1:15" x14ac:dyDescent="0.25">
      <c r="A490" s="18" t="s">
        <v>484</v>
      </c>
      <c r="B490" s="22">
        <v>4.5599999999999996</v>
      </c>
      <c r="C490" s="23">
        <v>4.5599999999999996</v>
      </c>
      <c r="D490" s="23">
        <v>4.5599999999999996</v>
      </c>
      <c r="E490" s="23">
        <v>4.5599999999999996</v>
      </c>
      <c r="F490" s="23">
        <v>4.5599999999999996</v>
      </c>
      <c r="G490" s="23">
        <v>4.5599999999999996</v>
      </c>
      <c r="H490" s="23">
        <v>4.5599999999999996</v>
      </c>
      <c r="I490" s="23">
        <v>4.5599999999999996</v>
      </c>
      <c r="J490" s="23">
        <v>4.5599999999999996</v>
      </c>
      <c r="K490" s="23">
        <v>4.5599999999999996</v>
      </c>
      <c r="L490" s="23">
        <v>4.5599999999999996</v>
      </c>
      <c r="M490" s="23">
        <v>22</v>
      </c>
      <c r="N490" s="23">
        <v>0.2</v>
      </c>
      <c r="O490" s="24">
        <v>9.2799999999999994E-2</v>
      </c>
    </row>
    <row r="491" spans="1:15" x14ac:dyDescent="0.25">
      <c r="A491" s="18" t="s">
        <v>485</v>
      </c>
      <c r="B491" s="22">
        <v>5.96</v>
      </c>
      <c r="C491" s="23">
        <v>5.96</v>
      </c>
      <c r="D491" s="23">
        <v>5.96</v>
      </c>
      <c r="E491" s="23">
        <v>5.96</v>
      </c>
      <c r="F491" s="23">
        <v>5.96</v>
      </c>
      <c r="G491" s="23">
        <v>5.96</v>
      </c>
      <c r="H491" s="23">
        <v>5.96</v>
      </c>
      <c r="I491" s="23">
        <v>5.96</v>
      </c>
      <c r="J491" s="23">
        <v>5.96</v>
      </c>
      <c r="K491" s="23">
        <v>5.96</v>
      </c>
      <c r="L491" s="23">
        <v>5.96</v>
      </c>
      <c r="M491" s="23">
        <v>29</v>
      </c>
      <c r="N491" s="23">
        <v>0.2</v>
      </c>
      <c r="O491" s="24">
        <v>0.11169999999999999</v>
      </c>
    </row>
    <row r="492" spans="1:15" x14ac:dyDescent="0.25">
      <c r="A492" s="18" t="s">
        <v>486</v>
      </c>
      <c r="B492" s="22">
        <v>5.72</v>
      </c>
      <c r="C492" s="23">
        <v>5.56</v>
      </c>
      <c r="D492" s="23">
        <v>5.72</v>
      </c>
      <c r="E492" s="23">
        <v>5.56</v>
      </c>
      <c r="F492" s="23">
        <v>5.72</v>
      </c>
      <c r="G492" s="23">
        <v>5.72</v>
      </c>
      <c r="H492" s="23">
        <v>5.56</v>
      </c>
      <c r="I492" s="23">
        <v>5.72</v>
      </c>
      <c r="J492" s="23">
        <v>5.72</v>
      </c>
      <c r="K492" s="23">
        <v>5.56</v>
      </c>
      <c r="L492" s="23">
        <v>5.56</v>
      </c>
      <c r="M492" s="23">
        <v>23</v>
      </c>
      <c r="N492" s="23">
        <v>1.2</v>
      </c>
      <c r="O492" s="24">
        <v>0.10059999999999999</v>
      </c>
    </row>
    <row r="493" spans="1:15" x14ac:dyDescent="0.25">
      <c r="A493" s="18" t="s">
        <v>487</v>
      </c>
      <c r="B493" s="22">
        <v>7.04</v>
      </c>
      <c r="C493" s="23">
        <v>7.04</v>
      </c>
      <c r="D493" s="23">
        <v>6.88</v>
      </c>
      <c r="E493" s="23">
        <v>7.04</v>
      </c>
      <c r="F493" s="23">
        <v>6.88</v>
      </c>
      <c r="G493" s="23">
        <v>7.04</v>
      </c>
      <c r="H493" s="23">
        <v>6.88</v>
      </c>
      <c r="I493" s="23">
        <v>7.04</v>
      </c>
      <c r="J493" s="23">
        <v>6.88</v>
      </c>
      <c r="K493" s="23">
        <v>6.88</v>
      </c>
      <c r="L493" s="23">
        <v>6.88</v>
      </c>
      <c r="M493" s="23">
        <v>24</v>
      </c>
      <c r="N493" s="23">
        <v>2.6</v>
      </c>
      <c r="O493" s="24">
        <v>9.9900000000000003E-2</v>
      </c>
    </row>
    <row r="494" spans="1:15" x14ac:dyDescent="0.25">
      <c r="A494" s="18" t="s">
        <v>488</v>
      </c>
      <c r="B494" s="22">
        <v>5.16</v>
      </c>
      <c r="C494" s="23">
        <v>5.16</v>
      </c>
      <c r="D494" s="23">
        <v>5.16</v>
      </c>
      <c r="E494" s="23">
        <v>5.16</v>
      </c>
      <c r="F494" s="23">
        <v>5.16</v>
      </c>
      <c r="G494" s="23">
        <v>5.16</v>
      </c>
      <c r="H494" s="23">
        <v>5.16</v>
      </c>
      <c r="I494" s="23">
        <v>5.16</v>
      </c>
      <c r="J494" s="23">
        <v>5.16</v>
      </c>
      <c r="K494" s="23">
        <v>5.16</v>
      </c>
      <c r="L494" s="23">
        <v>5.16</v>
      </c>
      <c r="M494" s="23">
        <v>21</v>
      </c>
      <c r="N494" s="23">
        <v>1.2</v>
      </c>
      <c r="O494" s="24">
        <v>8.2800000000000012E-2</v>
      </c>
    </row>
    <row r="495" spans="1:15" x14ac:dyDescent="0.25">
      <c r="A495" s="18" t="s">
        <v>489</v>
      </c>
      <c r="B495" s="22">
        <v>8.48</v>
      </c>
      <c r="C495" s="23">
        <v>8.48</v>
      </c>
      <c r="D495" s="23">
        <v>8.48</v>
      </c>
      <c r="E495" s="23">
        <v>8.48</v>
      </c>
      <c r="F495" s="23">
        <v>8.48</v>
      </c>
      <c r="G495" s="23">
        <v>8.48</v>
      </c>
      <c r="H495" s="23">
        <v>8.48</v>
      </c>
      <c r="I495" s="23">
        <v>8.48</v>
      </c>
      <c r="J495" s="23">
        <v>8.48</v>
      </c>
      <c r="K495" s="23">
        <v>8.48</v>
      </c>
      <c r="L495" s="23">
        <v>8.48</v>
      </c>
      <c r="M495" s="23">
        <v>28</v>
      </c>
      <c r="N495" s="23">
        <v>3.6</v>
      </c>
      <c r="O495" s="24">
        <v>0.11360000000000001</v>
      </c>
    </row>
    <row r="496" spans="1:15" x14ac:dyDescent="0.25">
      <c r="A496" s="18" t="s">
        <v>490</v>
      </c>
      <c r="B496" s="22">
        <v>11</v>
      </c>
      <c r="C496" s="23">
        <v>10.84</v>
      </c>
      <c r="D496" s="23">
        <v>10.84</v>
      </c>
      <c r="E496" s="23">
        <v>10.84</v>
      </c>
      <c r="F496" s="23">
        <v>10.84</v>
      </c>
      <c r="G496" s="23">
        <v>11</v>
      </c>
      <c r="H496" s="23">
        <v>10.84</v>
      </c>
      <c r="I496" s="23">
        <v>11</v>
      </c>
      <c r="J496" s="23">
        <v>10.84</v>
      </c>
      <c r="K496" s="23">
        <v>10.84</v>
      </c>
      <c r="L496" s="23">
        <v>10.84</v>
      </c>
      <c r="M496" s="23">
        <v>27</v>
      </c>
      <c r="N496" s="23">
        <v>6.8</v>
      </c>
      <c r="O496" s="24">
        <v>0.10879999999999999</v>
      </c>
    </row>
    <row r="497" spans="1:15" x14ac:dyDescent="0.25">
      <c r="A497" s="18" t="s">
        <v>491</v>
      </c>
      <c r="B497" s="22">
        <v>5.76</v>
      </c>
      <c r="C497" s="23">
        <v>5.76</v>
      </c>
      <c r="D497" s="23">
        <v>5.76</v>
      </c>
      <c r="E497" s="23">
        <v>5.76</v>
      </c>
      <c r="F497" s="23">
        <v>5.76</v>
      </c>
      <c r="G497" s="23">
        <v>5.76</v>
      </c>
      <c r="H497" s="23">
        <v>5.76</v>
      </c>
      <c r="I497" s="23">
        <v>5.76</v>
      </c>
      <c r="J497" s="23">
        <v>5.76</v>
      </c>
      <c r="K497" s="23">
        <v>5.92</v>
      </c>
      <c r="L497" s="23">
        <v>5.76</v>
      </c>
      <c r="M497" s="23">
        <v>24</v>
      </c>
      <c r="N497" s="23">
        <v>1.2</v>
      </c>
      <c r="O497" s="24">
        <v>9.8900000000000016E-2</v>
      </c>
    </row>
    <row r="498" spans="1:15" x14ac:dyDescent="0.25">
      <c r="A498" s="18" t="s">
        <v>492</v>
      </c>
      <c r="B498" s="22">
        <v>10.8</v>
      </c>
      <c r="C498" s="23">
        <v>10.8</v>
      </c>
      <c r="D498" s="23">
        <v>10.8</v>
      </c>
      <c r="E498" s="23">
        <v>10.8</v>
      </c>
      <c r="F498" s="23">
        <v>10.8</v>
      </c>
      <c r="G498" s="23">
        <v>10.8</v>
      </c>
      <c r="H498" s="23">
        <v>10.8</v>
      </c>
      <c r="I498" s="23">
        <v>10.8</v>
      </c>
      <c r="J498" s="23">
        <v>10.8</v>
      </c>
      <c r="K498" s="23">
        <v>10.8</v>
      </c>
      <c r="L498" s="23">
        <v>10.8</v>
      </c>
      <c r="M498" s="23">
        <v>30</v>
      </c>
      <c r="N498" s="23">
        <v>6</v>
      </c>
      <c r="O498" s="24">
        <v>0.1172</v>
      </c>
    </row>
    <row r="499" spans="1:15" x14ac:dyDescent="0.25">
      <c r="A499" s="18" t="s">
        <v>493</v>
      </c>
      <c r="B499" s="22">
        <v>9.8000000000000007</v>
      </c>
      <c r="C499" s="23">
        <v>9.8000000000000007</v>
      </c>
      <c r="D499" s="23">
        <v>9.64</v>
      </c>
      <c r="E499" s="23">
        <v>9.8000000000000007</v>
      </c>
      <c r="F499" s="23">
        <v>9.8000000000000007</v>
      </c>
      <c r="G499" s="23">
        <v>9.84</v>
      </c>
      <c r="H499" s="23">
        <v>9.8000000000000007</v>
      </c>
      <c r="I499" s="23">
        <v>9.64</v>
      </c>
      <c r="J499" s="23">
        <v>9.64</v>
      </c>
      <c r="K499" s="23">
        <v>9.8000000000000007</v>
      </c>
      <c r="L499" s="23">
        <v>9.64</v>
      </c>
      <c r="M499" s="23">
        <v>25</v>
      </c>
      <c r="N499" s="23">
        <v>5.8</v>
      </c>
      <c r="O499" s="24">
        <v>0.1022</v>
      </c>
    </row>
    <row r="500" spans="1:15" x14ac:dyDescent="0.25">
      <c r="A500" s="18" t="s">
        <v>494</v>
      </c>
      <c r="B500" s="22">
        <v>7.28</v>
      </c>
      <c r="C500" s="23">
        <v>7.28</v>
      </c>
      <c r="D500" s="23">
        <v>7.24</v>
      </c>
      <c r="E500" s="23">
        <v>7.24</v>
      </c>
      <c r="F500" s="23">
        <v>7.24</v>
      </c>
      <c r="G500" s="23">
        <v>7.28</v>
      </c>
      <c r="H500" s="23">
        <v>7.28</v>
      </c>
      <c r="I500" s="23">
        <v>7.24</v>
      </c>
      <c r="J500" s="23">
        <v>7.24</v>
      </c>
      <c r="K500" s="23">
        <v>7.24</v>
      </c>
      <c r="L500" s="23">
        <v>7.24</v>
      </c>
      <c r="M500" s="23">
        <v>25</v>
      </c>
      <c r="N500" s="23">
        <v>2.8</v>
      </c>
      <c r="O500" s="24">
        <v>0.12820000000000001</v>
      </c>
    </row>
    <row r="501" spans="1:15" x14ac:dyDescent="0.25">
      <c r="A501" s="18" t="s">
        <v>495</v>
      </c>
      <c r="B501" s="22">
        <v>5</v>
      </c>
      <c r="C501" s="23">
        <v>5</v>
      </c>
      <c r="D501" s="23">
        <v>5</v>
      </c>
      <c r="E501" s="23">
        <v>5</v>
      </c>
      <c r="F501" s="23">
        <v>5</v>
      </c>
      <c r="G501" s="23">
        <v>5</v>
      </c>
      <c r="H501" s="23">
        <v>5</v>
      </c>
      <c r="I501" s="23">
        <v>5</v>
      </c>
      <c r="J501" s="23">
        <v>5</v>
      </c>
      <c r="K501" s="23">
        <v>5</v>
      </c>
      <c r="L501" s="23">
        <v>5</v>
      </c>
      <c r="M501" s="23">
        <v>25</v>
      </c>
      <c r="N501" s="23">
        <v>0</v>
      </c>
      <c r="O501" s="24">
        <v>0.1216</v>
      </c>
    </row>
    <row r="502" spans="1:15" x14ac:dyDescent="0.25">
      <c r="A502" s="18" t="s">
        <v>496</v>
      </c>
      <c r="B502" s="22">
        <v>6.2</v>
      </c>
      <c r="C502" s="23">
        <v>6.2</v>
      </c>
      <c r="D502" s="23">
        <v>6.2</v>
      </c>
      <c r="E502" s="23">
        <v>6.2</v>
      </c>
      <c r="F502" s="23">
        <v>6.2</v>
      </c>
      <c r="G502" s="23">
        <v>6.2</v>
      </c>
      <c r="H502" s="23">
        <v>6.2</v>
      </c>
      <c r="I502" s="23">
        <v>6.2</v>
      </c>
      <c r="J502" s="23">
        <v>6.2</v>
      </c>
      <c r="K502" s="23">
        <v>6.2</v>
      </c>
      <c r="L502" s="23">
        <v>6.2</v>
      </c>
      <c r="M502" s="23">
        <v>27</v>
      </c>
      <c r="N502" s="23">
        <v>1</v>
      </c>
      <c r="O502" s="24">
        <v>0.12509999999999999</v>
      </c>
    </row>
    <row r="503" spans="1:15" x14ac:dyDescent="0.25">
      <c r="A503" s="18" t="s">
        <v>497</v>
      </c>
      <c r="B503" s="22">
        <v>6.8</v>
      </c>
      <c r="C503" s="23">
        <v>6.8</v>
      </c>
      <c r="D503" s="23">
        <v>6.96</v>
      </c>
      <c r="E503" s="23">
        <v>6.96</v>
      </c>
      <c r="F503" s="23">
        <v>6.8</v>
      </c>
      <c r="G503" s="23">
        <v>6.96</v>
      </c>
      <c r="H503" s="23">
        <v>6.8</v>
      </c>
      <c r="I503" s="23">
        <v>6.8</v>
      </c>
      <c r="J503" s="23">
        <v>6.96</v>
      </c>
      <c r="K503" s="23">
        <v>6.8</v>
      </c>
      <c r="L503" s="23">
        <v>6.8</v>
      </c>
      <c r="M503" s="23">
        <v>22</v>
      </c>
      <c r="N503" s="23">
        <v>3</v>
      </c>
      <c r="O503" s="24">
        <v>0.1125</v>
      </c>
    </row>
    <row r="504" spans="1:15" x14ac:dyDescent="0.25">
      <c r="A504" s="18" t="s">
        <v>498</v>
      </c>
      <c r="B504" s="22">
        <v>5.52</v>
      </c>
      <c r="C504" s="23">
        <v>5.52</v>
      </c>
      <c r="D504" s="23">
        <v>5.52</v>
      </c>
      <c r="E504" s="23">
        <v>5.52</v>
      </c>
      <c r="F504" s="23">
        <v>5.52</v>
      </c>
      <c r="G504" s="23">
        <v>5.52</v>
      </c>
      <c r="H504" s="23">
        <v>5.52</v>
      </c>
      <c r="I504" s="23">
        <v>5.52</v>
      </c>
      <c r="J504" s="23">
        <v>5.52</v>
      </c>
      <c r="K504" s="23">
        <v>5.52</v>
      </c>
      <c r="L504" s="23">
        <v>5.52</v>
      </c>
      <c r="M504" s="23">
        <v>22</v>
      </c>
      <c r="N504" s="23">
        <v>1.4</v>
      </c>
      <c r="O504" s="24">
        <v>0.1074</v>
      </c>
    </row>
    <row r="505" spans="1:15" x14ac:dyDescent="0.25">
      <c r="A505" s="18" t="s">
        <v>499</v>
      </c>
      <c r="B505" s="22">
        <v>7.28</v>
      </c>
      <c r="C505" s="23">
        <v>7.28</v>
      </c>
      <c r="D505" s="23">
        <v>7.28</v>
      </c>
      <c r="E505" s="23">
        <v>7.28</v>
      </c>
      <c r="F505" s="23">
        <v>7.28</v>
      </c>
      <c r="G505" s="23">
        <v>7.28</v>
      </c>
      <c r="H505" s="23">
        <v>7.28</v>
      </c>
      <c r="I505" s="23">
        <v>7.28</v>
      </c>
      <c r="J505" s="23">
        <v>7.28</v>
      </c>
      <c r="K505" s="23">
        <v>7.28</v>
      </c>
      <c r="L505" s="23">
        <v>7.28</v>
      </c>
      <c r="M505" s="23">
        <v>26</v>
      </c>
      <c r="N505" s="23">
        <v>2.6</v>
      </c>
      <c r="O505" s="24">
        <v>0.12770000000000001</v>
      </c>
    </row>
    <row r="506" spans="1:15" x14ac:dyDescent="0.25">
      <c r="A506" s="18" t="s">
        <v>500</v>
      </c>
      <c r="B506" s="22">
        <v>5.24</v>
      </c>
      <c r="C506" s="23">
        <v>5.24</v>
      </c>
      <c r="D506" s="23">
        <v>5.24</v>
      </c>
      <c r="E506" s="23">
        <v>5.24</v>
      </c>
      <c r="F506" s="23">
        <v>5.24</v>
      </c>
      <c r="G506" s="23">
        <v>5.24</v>
      </c>
      <c r="H506" s="23">
        <v>5.24</v>
      </c>
      <c r="I506" s="23">
        <v>5.24</v>
      </c>
      <c r="J506" s="23">
        <v>5.24</v>
      </c>
      <c r="K506" s="23">
        <v>5.04</v>
      </c>
      <c r="L506" s="23">
        <v>5.04</v>
      </c>
      <c r="M506" s="23">
        <v>22</v>
      </c>
      <c r="N506" s="23">
        <v>0.8</v>
      </c>
      <c r="O506" s="24">
        <v>0.1191</v>
      </c>
    </row>
    <row r="507" spans="1:15" x14ac:dyDescent="0.25">
      <c r="A507" s="18" t="s">
        <v>501</v>
      </c>
      <c r="B507" s="22">
        <v>6.36</v>
      </c>
      <c r="C507" s="23">
        <v>6.36</v>
      </c>
      <c r="D507" s="23">
        <v>6.36</v>
      </c>
      <c r="E507" s="23">
        <v>6.36</v>
      </c>
      <c r="F507" s="23">
        <v>6.36</v>
      </c>
      <c r="G507" s="23">
        <v>6.36</v>
      </c>
      <c r="H507" s="23">
        <v>6.36</v>
      </c>
      <c r="I507" s="23">
        <v>6.36</v>
      </c>
      <c r="J507" s="23">
        <v>6.36</v>
      </c>
      <c r="K507" s="23">
        <v>6.36</v>
      </c>
      <c r="L507" s="23">
        <v>6.36</v>
      </c>
      <c r="M507" s="23">
        <v>27</v>
      </c>
      <c r="N507" s="23">
        <v>1.2</v>
      </c>
      <c r="O507" s="24">
        <v>0.1216</v>
      </c>
    </row>
    <row r="508" spans="1:15" x14ac:dyDescent="0.25">
      <c r="A508" s="18" t="s">
        <v>502</v>
      </c>
      <c r="B508" s="22">
        <v>6.84</v>
      </c>
      <c r="C508" s="23">
        <v>6.84</v>
      </c>
      <c r="D508" s="23">
        <v>6.84</v>
      </c>
      <c r="E508" s="23">
        <v>6.84</v>
      </c>
      <c r="F508" s="23">
        <v>6.84</v>
      </c>
      <c r="G508" s="23">
        <v>6.84</v>
      </c>
      <c r="H508" s="23">
        <v>6.84</v>
      </c>
      <c r="I508" s="23">
        <v>6.84</v>
      </c>
      <c r="J508" s="23">
        <v>6.84</v>
      </c>
      <c r="K508" s="23">
        <v>6.84</v>
      </c>
      <c r="L508" s="23">
        <v>6.84</v>
      </c>
      <c r="M508" s="23">
        <v>27</v>
      </c>
      <c r="N508" s="23">
        <v>1.8</v>
      </c>
      <c r="O508" s="24">
        <v>0.1245</v>
      </c>
    </row>
    <row r="509" spans="1:15" x14ac:dyDescent="0.25">
      <c r="A509" s="18" t="s">
        <v>503</v>
      </c>
      <c r="B509" s="22">
        <v>5.64</v>
      </c>
      <c r="C509" s="23">
        <v>5.64</v>
      </c>
      <c r="D509" s="23">
        <v>5.64</v>
      </c>
      <c r="E509" s="23">
        <v>5.64</v>
      </c>
      <c r="F509" s="23">
        <v>5.64</v>
      </c>
      <c r="G509" s="23">
        <v>5.64</v>
      </c>
      <c r="H509" s="23">
        <v>5.64</v>
      </c>
      <c r="I509" s="23">
        <v>5.64</v>
      </c>
      <c r="J509" s="23">
        <v>5.64</v>
      </c>
      <c r="K509" s="23">
        <v>5.64</v>
      </c>
      <c r="L509" s="23">
        <v>5.64</v>
      </c>
      <c r="M509" s="23">
        <v>25</v>
      </c>
      <c r="N509" s="23">
        <v>0.8</v>
      </c>
      <c r="O509" s="24">
        <v>0.1217</v>
      </c>
    </row>
    <row r="510" spans="1:15" x14ac:dyDescent="0.25">
      <c r="A510" s="18" t="s">
        <v>504</v>
      </c>
      <c r="B510" s="22">
        <v>7.24</v>
      </c>
      <c r="C510" s="23">
        <v>7.24</v>
      </c>
      <c r="D510" s="23">
        <v>7.24</v>
      </c>
      <c r="E510" s="23">
        <v>7.24</v>
      </c>
      <c r="F510" s="23">
        <v>7.24</v>
      </c>
      <c r="G510" s="23">
        <v>7.24</v>
      </c>
      <c r="H510" s="23">
        <v>7.24</v>
      </c>
      <c r="I510" s="23">
        <v>7.24</v>
      </c>
      <c r="J510" s="23">
        <v>7.24</v>
      </c>
      <c r="K510" s="23">
        <v>7.24</v>
      </c>
      <c r="L510" s="23">
        <v>7.24</v>
      </c>
      <c r="M510" s="23">
        <v>25</v>
      </c>
      <c r="N510" s="23">
        <v>2.8</v>
      </c>
      <c r="O510" s="24">
        <v>1.34E-2</v>
      </c>
    </row>
    <row r="511" spans="1:15" x14ac:dyDescent="0.25">
      <c r="A511" s="18" t="s">
        <v>505</v>
      </c>
      <c r="B511" s="22">
        <v>6.6</v>
      </c>
      <c r="C511" s="23">
        <v>6.6</v>
      </c>
      <c r="D511" s="23">
        <v>6.6</v>
      </c>
      <c r="E511" s="23">
        <v>6.6</v>
      </c>
      <c r="F511" s="23">
        <v>6.6</v>
      </c>
      <c r="G511" s="23">
        <v>6.6</v>
      </c>
      <c r="H511" s="23">
        <v>6.6</v>
      </c>
      <c r="I511" s="23">
        <v>6.6</v>
      </c>
      <c r="J511" s="23">
        <v>6.6</v>
      </c>
      <c r="K511" s="23">
        <v>6.6</v>
      </c>
      <c r="L511" s="23">
        <v>6.6</v>
      </c>
      <c r="M511" s="23">
        <v>29</v>
      </c>
      <c r="N511" s="23">
        <v>1</v>
      </c>
      <c r="O511" s="24">
        <v>1.38E-2</v>
      </c>
    </row>
    <row r="512" spans="1:15" x14ac:dyDescent="0.25">
      <c r="A512" s="18" t="s">
        <v>506</v>
      </c>
      <c r="B512" s="22">
        <v>7.12</v>
      </c>
      <c r="C512" s="23">
        <v>7.12</v>
      </c>
      <c r="D512" s="23">
        <v>7.12</v>
      </c>
      <c r="E512" s="23">
        <v>7.12</v>
      </c>
      <c r="F512" s="23">
        <v>7.12</v>
      </c>
      <c r="G512" s="23">
        <v>7.12</v>
      </c>
      <c r="H512" s="23">
        <v>7.12</v>
      </c>
      <c r="I512" s="23">
        <v>7.12</v>
      </c>
      <c r="J512" s="23">
        <v>7.12</v>
      </c>
      <c r="K512" s="23">
        <v>7.12</v>
      </c>
      <c r="L512" s="23">
        <v>7.12</v>
      </c>
      <c r="M512" s="23">
        <v>26</v>
      </c>
      <c r="N512" s="23">
        <v>2.4</v>
      </c>
      <c r="O512" s="24">
        <v>1.37E-2</v>
      </c>
    </row>
    <row r="513" spans="1:15" x14ac:dyDescent="0.25">
      <c r="A513" s="18" t="s">
        <v>507</v>
      </c>
      <c r="B513" s="22">
        <v>5.48</v>
      </c>
      <c r="C513" s="23">
        <v>5.48</v>
      </c>
      <c r="D513" s="23">
        <v>5.48</v>
      </c>
      <c r="E513" s="23">
        <v>5.48</v>
      </c>
      <c r="F513" s="23">
        <v>5.48</v>
      </c>
      <c r="G513" s="23">
        <v>5.48</v>
      </c>
      <c r="H513" s="23">
        <v>5.48</v>
      </c>
      <c r="I513" s="23">
        <v>5.48</v>
      </c>
      <c r="J513" s="23">
        <v>5.48</v>
      </c>
      <c r="K513" s="23">
        <v>5.48</v>
      </c>
      <c r="L513" s="23">
        <v>5.48</v>
      </c>
      <c r="M513" s="23">
        <v>21</v>
      </c>
      <c r="N513" s="23">
        <v>1.6</v>
      </c>
      <c r="O513" s="24">
        <v>1.18E-2</v>
      </c>
    </row>
    <row r="514" spans="1:15" x14ac:dyDescent="0.25">
      <c r="A514" s="18" t="s">
        <v>508</v>
      </c>
      <c r="B514" s="22">
        <v>8.0399999999999991</v>
      </c>
      <c r="C514" s="23">
        <v>8.0399999999999991</v>
      </c>
      <c r="D514" s="23">
        <v>8.0399999999999991</v>
      </c>
      <c r="E514" s="23">
        <v>8.0399999999999991</v>
      </c>
      <c r="F514" s="23">
        <v>8.0399999999999991</v>
      </c>
      <c r="G514" s="23">
        <v>8.0399999999999991</v>
      </c>
      <c r="H514" s="23">
        <v>8.0399999999999991</v>
      </c>
      <c r="I514" s="23">
        <v>8.0399999999999991</v>
      </c>
      <c r="J514" s="23">
        <v>8.0399999999999991</v>
      </c>
      <c r="K514" s="23">
        <v>8.0399999999999991</v>
      </c>
      <c r="L514" s="23">
        <v>8.0399999999999991</v>
      </c>
      <c r="M514" s="23">
        <v>25</v>
      </c>
      <c r="N514" s="23">
        <v>3.8</v>
      </c>
      <c r="O514" s="24">
        <v>1.3599999999999999E-2</v>
      </c>
    </row>
    <row r="515" spans="1:15" x14ac:dyDescent="0.25">
      <c r="A515" s="18" t="s">
        <v>509</v>
      </c>
      <c r="B515" s="22">
        <v>7.24</v>
      </c>
      <c r="C515" s="23">
        <v>7.24</v>
      </c>
      <c r="D515" s="23">
        <v>7.08</v>
      </c>
      <c r="E515" s="23">
        <v>7.08</v>
      </c>
      <c r="F515" s="23">
        <v>7.24</v>
      </c>
      <c r="G515" s="23">
        <v>7.08</v>
      </c>
      <c r="H515" s="23">
        <v>7.08</v>
      </c>
      <c r="I515" s="23">
        <v>7.28</v>
      </c>
      <c r="J515" s="23">
        <v>7.28</v>
      </c>
      <c r="K515" s="23">
        <v>7.08</v>
      </c>
      <c r="L515" s="23">
        <v>7.08</v>
      </c>
      <c r="M515" s="23">
        <v>25</v>
      </c>
      <c r="N515" s="23">
        <v>2.6</v>
      </c>
      <c r="O515" s="24">
        <v>1.29E-2</v>
      </c>
    </row>
    <row r="516" spans="1:15" x14ac:dyDescent="0.25">
      <c r="A516" s="18" t="s">
        <v>510</v>
      </c>
      <c r="B516" s="22">
        <v>8.0399999999999991</v>
      </c>
      <c r="C516" s="23">
        <v>8.0399999999999991</v>
      </c>
      <c r="D516" s="23">
        <v>8.0399999999999991</v>
      </c>
      <c r="E516" s="23">
        <v>8</v>
      </c>
      <c r="F516" s="23">
        <v>8.0399999999999991</v>
      </c>
      <c r="G516" s="23">
        <v>8.0399999999999991</v>
      </c>
      <c r="H516" s="23">
        <v>8.0399999999999991</v>
      </c>
      <c r="I516" s="23">
        <v>8.0399999999999991</v>
      </c>
      <c r="J516" s="23">
        <v>8.0399999999999991</v>
      </c>
      <c r="K516" s="23">
        <v>8.0399999999999991</v>
      </c>
      <c r="L516" s="23">
        <v>8</v>
      </c>
      <c r="M516" s="23">
        <v>24</v>
      </c>
      <c r="N516" s="23">
        <v>4</v>
      </c>
      <c r="O516" s="24">
        <v>1.35E-2</v>
      </c>
    </row>
    <row r="517" spans="1:15" x14ac:dyDescent="0.25">
      <c r="A517" s="18" t="s">
        <v>511</v>
      </c>
      <c r="B517" s="22">
        <v>8.56</v>
      </c>
      <c r="C517" s="23">
        <v>8.7200000000000006</v>
      </c>
      <c r="D517" s="23">
        <v>8.7200000000000006</v>
      </c>
      <c r="E517" s="23">
        <v>8.56</v>
      </c>
      <c r="F517" s="23">
        <v>8.7200000000000006</v>
      </c>
      <c r="G517" s="23">
        <v>8.68</v>
      </c>
      <c r="H517" s="23">
        <v>8.7200000000000006</v>
      </c>
      <c r="I517" s="23">
        <v>8.56</v>
      </c>
      <c r="J517" s="23">
        <v>8.7200000000000006</v>
      </c>
      <c r="K517" s="23">
        <v>8.7200000000000006</v>
      </c>
      <c r="L517" s="23">
        <v>8.56</v>
      </c>
      <c r="M517" s="23">
        <v>26</v>
      </c>
      <c r="N517" s="23">
        <v>4.2</v>
      </c>
      <c r="O517" s="24">
        <v>1.37E-2</v>
      </c>
    </row>
    <row r="518" spans="1:15" x14ac:dyDescent="0.25">
      <c r="A518" s="18" t="s">
        <v>512</v>
      </c>
      <c r="B518" s="22">
        <v>7.2</v>
      </c>
      <c r="C518" s="23">
        <v>7.2</v>
      </c>
      <c r="D518" s="23">
        <v>7.2</v>
      </c>
      <c r="E518" s="23">
        <v>7.04</v>
      </c>
      <c r="F518" s="23">
        <v>7.04</v>
      </c>
      <c r="G518" s="23">
        <v>7.04</v>
      </c>
      <c r="H518" s="23">
        <v>7.04</v>
      </c>
      <c r="I518" s="23">
        <v>7.2</v>
      </c>
      <c r="J518" s="23">
        <v>7.2</v>
      </c>
      <c r="K518" s="23">
        <v>7.04</v>
      </c>
      <c r="L518" s="23">
        <v>7.04</v>
      </c>
      <c r="M518" s="23">
        <v>24</v>
      </c>
      <c r="N518" s="23">
        <v>2.8</v>
      </c>
      <c r="O518" s="24">
        <v>1.26E-2</v>
      </c>
    </row>
    <row r="519" spans="1:15" x14ac:dyDescent="0.25">
      <c r="A519" s="18" t="s">
        <v>513</v>
      </c>
      <c r="B519" s="22">
        <v>8.52</v>
      </c>
      <c r="C519" s="23">
        <v>8.52</v>
      </c>
      <c r="D519" s="23">
        <v>8.52</v>
      </c>
      <c r="E519" s="23">
        <v>8.52</v>
      </c>
      <c r="F519" s="23">
        <v>8.52</v>
      </c>
      <c r="G519" s="23">
        <v>8.52</v>
      </c>
      <c r="H519" s="23">
        <v>8.52</v>
      </c>
      <c r="I519" s="23">
        <v>8.52</v>
      </c>
      <c r="J519" s="23">
        <v>8.52</v>
      </c>
      <c r="K519" s="23">
        <v>8.52</v>
      </c>
      <c r="L519" s="23">
        <v>8.52</v>
      </c>
      <c r="M519" s="23">
        <v>25</v>
      </c>
      <c r="N519" s="23">
        <v>4.4000000000000004</v>
      </c>
      <c r="O519" s="24">
        <v>1.3100000000000001E-2</v>
      </c>
    </row>
    <row r="520" spans="1:15" x14ac:dyDescent="0.25">
      <c r="A520" s="18" t="s">
        <v>514</v>
      </c>
      <c r="B520" s="22">
        <v>10.199999999999999</v>
      </c>
      <c r="C520" s="23">
        <v>10.199999999999999</v>
      </c>
      <c r="D520" s="23">
        <v>10.199999999999999</v>
      </c>
      <c r="E520" s="23">
        <v>10.199999999999999</v>
      </c>
      <c r="F520" s="23">
        <v>10.199999999999999</v>
      </c>
      <c r="G520" s="23">
        <v>10.039999999999999</v>
      </c>
      <c r="H520" s="23">
        <v>10.08</v>
      </c>
      <c r="I520" s="23">
        <v>10.199999999999999</v>
      </c>
      <c r="J520" s="23">
        <v>10.199999999999999</v>
      </c>
      <c r="K520" s="23">
        <v>10.199999999999999</v>
      </c>
      <c r="L520" s="23">
        <v>10.039999999999999</v>
      </c>
      <c r="M520" s="23">
        <v>31</v>
      </c>
      <c r="N520" s="23">
        <v>4.8</v>
      </c>
      <c r="O520" s="24">
        <v>0.19769999999999999</v>
      </c>
    </row>
    <row r="521" spans="1:15" x14ac:dyDescent="0.25">
      <c r="A521" s="18" t="s">
        <v>515</v>
      </c>
      <c r="B521" s="22">
        <v>8.1199999999999992</v>
      </c>
      <c r="C521" s="23">
        <v>7.96</v>
      </c>
      <c r="D521" s="23">
        <v>7.96</v>
      </c>
      <c r="E521" s="23">
        <v>7.96</v>
      </c>
      <c r="F521" s="23">
        <v>7.64</v>
      </c>
      <c r="G521" s="23">
        <v>7.96</v>
      </c>
      <c r="H521" s="23">
        <v>8.1199999999999992</v>
      </c>
      <c r="I521" s="23">
        <v>8.1199999999999992</v>
      </c>
      <c r="J521" s="23">
        <v>8.1199999999999992</v>
      </c>
      <c r="K521" s="23">
        <v>8.2799999999999994</v>
      </c>
      <c r="L521" s="23">
        <v>7.64</v>
      </c>
      <c r="M521" s="23">
        <v>23</v>
      </c>
      <c r="N521" s="23">
        <v>3.8</v>
      </c>
      <c r="O521" s="24">
        <v>0.15390000000000001</v>
      </c>
    </row>
    <row r="522" spans="1:15" x14ac:dyDescent="0.25">
      <c r="A522" s="18" t="s">
        <v>516</v>
      </c>
      <c r="B522" s="22">
        <v>5.4</v>
      </c>
      <c r="C522" s="23">
        <v>5.4</v>
      </c>
      <c r="D522" s="23">
        <v>5.4</v>
      </c>
      <c r="E522" s="23">
        <v>5.4</v>
      </c>
      <c r="F522" s="23">
        <v>5.4</v>
      </c>
      <c r="G522" s="23">
        <v>5.4</v>
      </c>
      <c r="H522" s="23">
        <v>5.4</v>
      </c>
      <c r="I522" s="23">
        <v>5.4</v>
      </c>
      <c r="J522" s="23">
        <v>5.4</v>
      </c>
      <c r="K522" s="23">
        <v>5.4</v>
      </c>
      <c r="L522" s="23">
        <v>5.4</v>
      </c>
      <c r="M522" s="23">
        <v>27</v>
      </c>
      <c r="N522" s="23">
        <v>0</v>
      </c>
      <c r="O522" s="24">
        <v>0.17119999999999999</v>
      </c>
    </row>
    <row r="523" spans="1:15" x14ac:dyDescent="0.25">
      <c r="A523" s="18" t="s">
        <v>517</v>
      </c>
      <c r="B523" s="22">
        <v>5.2</v>
      </c>
      <c r="C523" s="23">
        <v>5.2</v>
      </c>
      <c r="D523" s="23">
        <v>5.2</v>
      </c>
      <c r="E523" s="23">
        <v>5.2</v>
      </c>
      <c r="F523" s="23">
        <v>5.2</v>
      </c>
      <c r="G523" s="23">
        <v>5.2</v>
      </c>
      <c r="H523" s="23">
        <v>5.2</v>
      </c>
      <c r="I523" s="23">
        <v>5.2</v>
      </c>
      <c r="J523" s="23">
        <v>5.2</v>
      </c>
      <c r="K523" s="23">
        <v>5.2</v>
      </c>
      <c r="L523" s="23">
        <v>5.2</v>
      </c>
      <c r="M523" s="23">
        <v>26</v>
      </c>
      <c r="N523" s="23">
        <v>0</v>
      </c>
      <c r="O523" s="24">
        <v>0.16800000000000001</v>
      </c>
    </row>
    <row r="524" spans="1:15" x14ac:dyDescent="0.25">
      <c r="A524" s="18" t="s">
        <v>518</v>
      </c>
      <c r="B524" s="22">
        <v>4.8</v>
      </c>
      <c r="C524" s="23">
        <v>4.8</v>
      </c>
      <c r="D524" s="23">
        <v>4.8</v>
      </c>
      <c r="E524" s="23">
        <v>4.8</v>
      </c>
      <c r="F524" s="23">
        <v>4.8</v>
      </c>
      <c r="G524" s="23">
        <v>4.8</v>
      </c>
      <c r="H524" s="23">
        <v>4.8</v>
      </c>
      <c r="I524" s="23">
        <v>4.8</v>
      </c>
      <c r="J524" s="23">
        <v>4.8</v>
      </c>
      <c r="K524" s="23">
        <v>4.8</v>
      </c>
      <c r="L524" s="23">
        <v>4.8</v>
      </c>
      <c r="M524" s="23">
        <v>24</v>
      </c>
      <c r="N524" s="23">
        <v>0</v>
      </c>
      <c r="O524" s="24">
        <v>0.16170000000000001</v>
      </c>
    </row>
    <row r="525" spans="1:15" x14ac:dyDescent="0.25">
      <c r="A525" s="18" t="s">
        <v>519</v>
      </c>
      <c r="B525" s="22">
        <v>5</v>
      </c>
      <c r="C525" s="23">
        <v>5</v>
      </c>
      <c r="D525" s="23">
        <v>5</v>
      </c>
      <c r="E525" s="23">
        <v>5</v>
      </c>
      <c r="F525" s="23">
        <v>5</v>
      </c>
      <c r="G525" s="23">
        <v>5</v>
      </c>
      <c r="H525" s="23">
        <v>5</v>
      </c>
      <c r="I525" s="23">
        <v>5</v>
      </c>
      <c r="J525" s="23">
        <v>5</v>
      </c>
      <c r="K525" s="23">
        <v>5</v>
      </c>
      <c r="L525" s="23">
        <v>5</v>
      </c>
      <c r="M525" s="23">
        <v>25</v>
      </c>
      <c r="N525" s="23">
        <v>0</v>
      </c>
      <c r="O525" s="24">
        <v>0.16520000000000001</v>
      </c>
    </row>
    <row r="526" spans="1:15" x14ac:dyDescent="0.25">
      <c r="A526" s="18" t="s">
        <v>520</v>
      </c>
      <c r="B526" s="22">
        <v>5</v>
      </c>
      <c r="C526" s="23">
        <v>5</v>
      </c>
      <c r="D526" s="23">
        <v>5</v>
      </c>
      <c r="E526" s="23">
        <v>5</v>
      </c>
      <c r="F526" s="23">
        <v>5</v>
      </c>
      <c r="G526" s="23">
        <v>5</v>
      </c>
      <c r="H526" s="23">
        <v>5</v>
      </c>
      <c r="I526" s="23">
        <v>5</v>
      </c>
      <c r="J526" s="23">
        <v>5</v>
      </c>
      <c r="K526" s="23">
        <v>5</v>
      </c>
      <c r="L526" s="23">
        <v>5</v>
      </c>
      <c r="M526" s="23">
        <v>25</v>
      </c>
      <c r="N526" s="23">
        <v>0</v>
      </c>
      <c r="O526" s="24">
        <v>0.16470000000000001</v>
      </c>
    </row>
    <row r="527" spans="1:15" x14ac:dyDescent="0.25">
      <c r="A527" s="18" t="s">
        <v>521</v>
      </c>
      <c r="B527" s="22">
        <v>7.52</v>
      </c>
      <c r="C527" s="23">
        <v>7.52</v>
      </c>
      <c r="D527" s="23">
        <v>7.56</v>
      </c>
      <c r="E527" s="23">
        <v>7.52</v>
      </c>
      <c r="F527" s="23">
        <v>7.52</v>
      </c>
      <c r="G527" s="23">
        <v>7.56</v>
      </c>
      <c r="H527" s="23">
        <v>7.56</v>
      </c>
      <c r="I527" s="23">
        <v>7.52</v>
      </c>
      <c r="J527" s="23">
        <v>7.56</v>
      </c>
      <c r="K527" s="23">
        <v>7.56</v>
      </c>
      <c r="L527" s="23">
        <v>7.52</v>
      </c>
      <c r="M527" s="23">
        <v>28</v>
      </c>
      <c r="N527" s="23">
        <v>2.4</v>
      </c>
      <c r="O527" s="24">
        <v>0.1845</v>
      </c>
    </row>
    <row r="528" spans="1:15" x14ac:dyDescent="0.25">
      <c r="A528" s="18" t="s">
        <v>522</v>
      </c>
      <c r="B528" s="22">
        <v>5.32</v>
      </c>
      <c r="C528" s="23">
        <v>5.32</v>
      </c>
      <c r="D528" s="23">
        <v>5.32</v>
      </c>
      <c r="E528" s="23">
        <v>5.32</v>
      </c>
      <c r="F528" s="23">
        <v>5.32</v>
      </c>
      <c r="G528" s="23">
        <v>5.36</v>
      </c>
      <c r="H528" s="23">
        <v>5.36</v>
      </c>
      <c r="I528" s="23">
        <v>5.32</v>
      </c>
      <c r="J528" s="23">
        <v>5.32</v>
      </c>
      <c r="K528" s="23">
        <v>5.32</v>
      </c>
      <c r="L528" s="23">
        <v>5.32</v>
      </c>
      <c r="M528" s="23">
        <v>25</v>
      </c>
      <c r="N528" s="23">
        <v>0.4</v>
      </c>
      <c r="O528" s="24">
        <v>0.1855</v>
      </c>
    </row>
    <row r="529" spans="1:15" x14ac:dyDescent="0.25">
      <c r="A529" s="18" t="s">
        <v>523</v>
      </c>
      <c r="B529" s="22">
        <v>4.3600000000000003</v>
      </c>
      <c r="C529" s="23">
        <v>4.3600000000000003</v>
      </c>
      <c r="D529" s="23">
        <v>4.3600000000000003</v>
      </c>
      <c r="E529" s="23">
        <v>4.3600000000000003</v>
      </c>
      <c r="F529" s="23">
        <v>4.3600000000000003</v>
      </c>
      <c r="G529" s="23">
        <v>4.3600000000000003</v>
      </c>
      <c r="H529" s="23">
        <v>4.3600000000000003</v>
      </c>
      <c r="I529" s="23">
        <v>4.3600000000000003</v>
      </c>
      <c r="J529" s="23">
        <v>4.3600000000000003</v>
      </c>
      <c r="K529" s="23">
        <v>4.3600000000000003</v>
      </c>
      <c r="L529" s="23">
        <v>4.3600000000000003</v>
      </c>
      <c r="M529" s="23">
        <v>21</v>
      </c>
      <c r="N529" s="23">
        <v>0.2</v>
      </c>
      <c r="O529" s="24">
        <v>0.1573</v>
      </c>
    </row>
    <row r="530" spans="1:15" x14ac:dyDescent="0.25">
      <c r="A530" s="18" t="s">
        <v>524</v>
      </c>
      <c r="B530" s="22">
        <v>5.56</v>
      </c>
      <c r="C530" s="23">
        <v>5.56</v>
      </c>
      <c r="D530" s="23">
        <v>5.56</v>
      </c>
      <c r="E530" s="23">
        <v>5.56</v>
      </c>
      <c r="F530" s="23">
        <v>5.56</v>
      </c>
      <c r="G530" s="23">
        <v>5.56</v>
      </c>
      <c r="H530" s="23">
        <v>5.56</v>
      </c>
      <c r="I530" s="23">
        <v>5.56</v>
      </c>
      <c r="J530" s="23">
        <v>5.56</v>
      </c>
      <c r="K530" s="23">
        <v>5.56</v>
      </c>
      <c r="L530" s="23">
        <v>5.56</v>
      </c>
      <c r="M530" s="23">
        <v>27</v>
      </c>
      <c r="N530" s="23">
        <v>0.2</v>
      </c>
      <c r="O530" s="24">
        <v>1.49E-2</v>
      </c>
    </row>
    <row r="531" spans="1:15" x14ac:dyDescent="0.25">
      <c r="A531" s="18" t="s">
        <v>525</v>
      </c>
      <c r="B531" s="22">
        <v>7.08</v>
      </c>
      <c r="C531" s="23">
        <v>7.08</v>
      </c>
      <c r="D531" s="23">
        <v>7.08</v>
      </c>
      <c r="E531" s="23">
        <v>7.08</v>
      </c>
      <c r="F531" s="23">
        <v>7.24</v>
      </c>
      <c r="G531" s="23">
        <v>7.08</v>
      </c>
      <c r="H531" s="23">
        <v>7.08</v>
      </c>
      <c r="I531" s="23">
        <v>7.08</v>
      </c>
      <c r="J531" s="23">
        <v>7.08</v>
      </c>
      <c r="K531" s="23">
        <v>7.08</v>
      </c>
      <c r="L531" s="23">
        <v>7.08</v>
      </c>
      <c r="M531" s="23">
        <v>29</v>
      </c>
      <c r="N531" s="23">
        <v>1.6</v>
      </c>
      <c r="O531" s="24">
        <v>1.6E-2</v>
      </c>
    </row>
    <row r="532" spans="1:15" x14ac:dyDescent="0.25">
      <c r="A532" s="18" t="s">
        <v>526</v>
      </c>
      <c r="B532" s="22">
        <v>6.04</v>
      </c>
      <c r="C532" s="23">
        <v>6.04</v>
      </c>
      <c r="D532" s="23">
        <v>5.88</v>
      </c>
      <c r="E532" s="23">
        <v>5.88</v>
      </c>
      <c r="F532" s="23">
        <v>5.88</v>
      </c>
      <c r="G532" s="23">
        <v>6.04</v>
      </c>
      <c r="H532" s="23">
        <v>6.04</v>
      </c>
      <c r="I532" s="23">
        <v>6.04</v>
      </c>
      <c r="J532" s="23">
        <v>6.04</v>
      </c>
      <c r="K532" s="23">
        <v>6.04</v>
      </c>
      <c r="L532" s="23">
        <v>5.88</v>
      </c>
      <c r="M532" s="23">
        <v>23</v>
      </c>
      <c r="N532" s="23">
        <v>1.6</v>
      </c>
      <c r="O532" s="24">
        <v>1.4E-2</v>
      </c>
    </row>
    <row r="533" spans="1:15" x14ac:dyDescent="0.25">
      <c r="A533" s="18" t="s">
        <v>527</v>
      </c>
      <c r="B533" s="22">
        <v>9.92</v>
      </c>
      <c r="C533" s="23">
        <v>9.92</v>
      </c>
      <c r="D533" s="23">
        <v>9.92</v>
      </c>
      <c r="E533" s="23">
        <v>9.92</v>
      </c>
      <c r="F533" s="23">
        <v>9.92</v>
      </c>
      <c r="G533" s="23">
        <v>10.119999999999999</v>
      </c>
      <c r="H533" s="23">
        <v>9.92</v>
      </c>
      <c r="I533" s="23">
        <v>9.92</v>
      </c>
      <c r="J533" s="23">
        <v>9.92</v>
      </c>
      <c r="K533" s="23">
        <v>10.119999999999999</v>
      </c>
      <c r="L533" s="23">
        <v>9.92</v>
      </c>
      <c r="M533" s="23">
        <v>24</v>
      </c>
      <c r="N533" s="23">
        <v>6.4</v>
      </c>
      <c r="O533" s="24">
        <v>1.52E-2</v>
      </c>
    </row>
    <row r="534" spans="1:15" x14ac:dyDescent="0.25">
      <c r="A534" s="18" t="s">
        <v>528</v>
      </c>
      <c r="B534" s="22">
        <v>10.28</v>
      </c>
      <c r="C534" s="23">
        <v>10.28</v>
      </c>
      <c r="D534" s="23">
        <v>10.28</v>
      </c>
      <c r="E534" s="23">
        <v>10.28</v>
      </c>
      <c r="F534" s="23">
        <v>10.28</v>
      </c>
      <c r="G534" s="23">
        <v>10.28</v>
      </c>
      <c r="H534" s="23">
        <v>10.28</v>
      </c>
      <c r="I534" s="23">
        <v>10.28</v>
      </c>
      <c r="J534" s="23">
        <v>10.28</v>
      </c>
      <c r="K534" s="23">
        <v>10.28</v>
      </c>
      <c r="L534" s="23">
        <v>10.28</v>
      </c>
      <c r="M534" s="23">
        <v>29</v>
      </c>
      <c r="N534" s="23">
        <v>5.6</v>
      </c>
      <c r="O534" s="24">
        <v>1.6899999999999998E-2</v>
      </c>
    </row>
    <row r="535" spans="1:15" x14ac:dyDescent="0.25">
      <c r="A535" s="18" t="s">
        <v>529</v>
      </c>
      <c r="B535" s="22">
        <v>6.52</v>
      </c>
      <c r="C535" s="23">
        <v>6.52</v>
      </c>
      <c r="D535" s="23">
        <v>6.52</v>
      </c>
      <c r="E535" s="23">
        <v>6.52</v>
      </c>
      <c r="F535" s="23">
        <v>6.52</v>
      </c>
      <c r="G535" s="23">
        <v>6.52</v>
      </c>
      <c r="H535" s="23">
        <v>6.52</v>
      </c>
      <c r="I535" s="23">
        <v>6.52</v>
      </c>
      <c r="J535" s="23">
        <v>6.52</v>
      </c>
      <c r="K535" s="23">
        <v>6.52</v>
      </c>
      <c r="L535" s="23">
        <v>6.52</v>
      </c>
      <c r="M535" s="23">
        <v>27</v>
      </c>
      <c r="N535" s="23">
        <v>1.4</v>
      </c>
      <c r="O535" s="24">
        <v>1.5699999999999999E-2</v>
      </c>
    </row>
    <row r="536" spans="1:15" x14ac:dyDescent="0.25">
      <c r="A536" s="18" t="s">
        <v>530</v>
      </c>
      <c r="B536" s="22">
        <v>5.2</v>
      </c>
      <c r="C536" s="23">
        <v>5.2</v>
      </c>
      <c r="D536" s="23">
        <v>5.2</v>
      </c>
      <c r="E536" s="23">
        <v>5.2</v>
      </c>
      <c r="F536" s="23">
        <v>5.2</v>
      </c>
      <c r="G536" s="23">
        <v>5.2</v>
      </c>
      <c r="H536" s="23">
        <v>5.2</v>
      </c>
      <c r="I536" s="23">
        <v>5.2</v>
      </c>
      <c r="J536" s="23">
        <v>5.2</v>
      </c>
      <c r="K536" s="23">
        <v>5.2</v>
      </c>
      <c r="L536" s="23">
        <v>5.2</v>
      </c>
      <c r="M536" s="23">
        <v>22</v>
      </c>
      <c r="N536" s="23">
        <v>1</v>
      </c>
      <c r="O536" s="24">
        <v>1.37E-2</v>
      </c>
    </row>
    <row r="537" spans="1:15" x14ac:dyDescent="0.25">
      <c r="A537" s="18" t="s">
        <v>531</v>
      </c>
      <c r="B537" s="22">
        <v>4.92</v>
      </c>
      <c r="C537" s="23">
        <v>4.92</v>
      </c>
      <c r="D537" s="23">
        <v>4.92</v>
      </c>
      <c r="E537" s="23">
        <v>4.92</v>
      </c>
      <c r="F537" s="23">
        <v>4.92</v>
      </c>
      <c r="G537" s="23">
        <v>4.92</v>
      </c>
      <c r="H537" s="23">
        <v>4.92</v>
      </c>
      <c r="I537" s="23">
        <v>4.92</v>
      </c>
      <c r="J537" s="23">
        <v>4.92</v>
      </c>
      <c r="K537" s="23">
        <v>4.92</v>
      </c>
      <c r="L537" s="23">
        <v>4.92</v>
      </c>
      <c r="M537" s="23">
        <v>23</v>
      </c>
      <c r="N537" s="23">
        <v>0.4</v>
      </c>
      <c r="O537" s="24">
        <v>1.37E-2</v>
      </c>
    </row>
    <row r="538" spans="1:15" x14ac:dyDescent="0.25">
      <c r="A538" s="18" t="s">
        <v>532</v>
      </c>
      <c r="B538" s="22">
        <v>4.68</v>
      </c>
      <c r="C538" s="23">
        <v>4.68</v>
      </c>
      <c r="D538" s="23">
        <v>4.68</v>
      </c>
      <c r="E538" s="23">
        <v>4.68</v>
      </c>
      <c r="F538" s="23">
        <v>4.68</v>
      </c>
      <c r="G538" s="23">
        <v>4.68</v>
      </c>
      <c r="H538" s="23">
        <v>4.88</v>
      </c>
      <c r="I538" s="23">
        <v>4.68</v>
      </c>
      <c r="J538" s="23">
        <v>4.68</v>
      </c>
      <c r="K538" s="23">
        <v>4.84</v>
      </c>
      <c r="L538" s="23">
        <v>4.68</v>
      </c>
      <c r="M538" s="23">
        <v>21</v>
      </c>
      <c r="N538" s="23">
        <v>0.6</v>
      </c>
      <c r="O538" s="24">
        <v>1.32E-2</v>
      </c>
    </row>
    <row r="539" spans="1:15" ht="15.75" thickBot="1" x14ac:dyDescent="0.3">
      <c r="A539" s="18" t="s">
        <v>533</v>
      </c>
      <c r="B539" s="25">
        <v>7</v>
      </c>
      <c r="C539" s="26">
        <v>7</v>
      </c>
      <c r="D539" s="26">
        <v>7</v>
      </c>
      <c r="E539" s="26">
        <v>6.84</v>
      </c>
      <c r="F539" s="26">
        <v>7.16</v>
      </c>
      <c r="G539" s="26">
        <v>7</v>
      </c>
      <c r="H539" s="26">
        <v>7</v>
      </c>
      <c r="I539" s="26">
        <v>7</v>
      </c>
      <c r="J539" s="26">
        <v>7</v>
      </c>
      <c r="K539" s="26">
        <v>6.84</v>
      </c>
      <c r="L539" s="26">
        <v>6.84</v>
      </c>
      <c r="M539" s="26">
        <v>27</v>
      </c>
      <c r="N539" s="26">
        <v>1.8</v>
      </c>
      <c r="O539" s="27">
        <v>1.5599999999999999E-2</v>
      </c>
    </row>
  </sheetData>
  <mergeCells count="1">
    <mergeCell ref="B5:O5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F2EB2-FD3D-4543-A39A-8A6D2C3DC807}">
  <dimension ref="A1:O539"/>
  <sheetViews>
    <sheetView workbookViewId="0">
      <selection activeCell="O176" sqref="O176"/>
    </sheetView>
  </sheetViews>
  <sheetFormatPr defaultRowHeight="15" x14ac:dyDescent="0.25"/>
  <cols>
    <col min="1" max="1" width="24.7109375" bestFit="1" customWidth="1"/>
    <col min="13" max="13" width="10.7109375" bestFit="1" customWidth="1"/>
    <col min="14" max="14" width="22.85546875" bestFit="1" customWidth="1"/>
    <col min="15" max="15" width="24" bestFit="1" customWidth="1"/>
  </cols>
  <sheetData>
    <row r="1" spans="1:15" ht="15.75" thickBot="1" x14ac:dyDescent="0.3">
      <c r="A1" s="3" t="s">
        <v>549</v>
      </c>
    </row>
    <row r="2" spans="1:15" x14ac:dyDescent="0.25">
      <c r="A2" s="2" t="s">
        <v>550</v>
      </c>
    </row>
    <row r="3" spans="1:15" x14ac:dyDescent="0.25">
      <c r="A3" s="1" t="s">
        <v>551</v>
      </c>
    </row>
    <row r="4" spans="1:15" ht="15.75" thickBot="1" x14ac:dyDescent="0.3">
      <c r="A4" s="1" t="s">
        <v>552</v>
      </c>
    </row>
    <row r="5" spans="1:15" ht="15.75" thickBot="1" x14ac:dyDescent="0.3">
      <c r="A5" s="4" t="s">
        <v>553</v>
      </c>
      <c r="B5" s="90" t="s">
        <v>556</v>
      </c>
      <c r="C5" s="91"/>
      <c r="D5" s="91"/>
      <c r="E5" s="91"/>
      <c r="F5" s="91"/>
      <c r="G5" s="91"/>
      <c r="H5" s="91"/>
      <c r="I5" s="91"/>
      <c r="J5" s="91"/>
      <c r="K5" s="91"/>
      <c r="L5" s="91"/>
      <c r="M5" s="91"/>
      <c r="N5" s="91"/>
      <c r="O5" s="92"/>
    </row>
    <row r="6" spans="1:15" ht="15.75" thickBot="1" x14ac:dyDescent="0.3">
      <c r="A6" s="15" t="s">
        <v>0</v>
      </c>
      <c r="B6" s="6" t="s">
        <v>534</v>
      </c>
      <c r="C6" s="6" t="s">
        <v>535</v>
      </c>
      <c r="D6" s="6" t="s">
        <v>536</v>
      </c>
      <c r="E6" s="6" t="s">
        <v>537</v>
      </c>
      <c r="F6" s="6" t="s">
        <v>538</v>
      </c>
      <c r="G6" s="6" t="s">
        <v>539</v>
      </c>
      <c r="H6" s="6" t="s">
        <v>540</v>
      </c>
      <c r="I6" s="6" t="s">
        <v>541</v>
      </c>
      <c r="J6" s="6" t="s">
        <v>542</v>
      </c>
      <c r="K6" s="6" t="s">
        <v>543</v>
      </c>
      <c r="L6" s="6" t="s">
        <v>548</v>
      </c>
      <c r="M6" s="6" t="s">
        <v>544</v>
      </c>
      <c r="N6" s="6" t="s">
        <v>545</v>
      </c>
      <c r="O6" s="7" t="s">
        <v>547</v>
      </c>
    </row>
    <row r="7" spans="1:15" x14ac:dyDescent="0.25">
      <c r="A7" s="16" t="s">
        <v>1</v>
      </c>
      <c r="B7" s="19">
        <v>5.8</v>
      </c>
      <c r="C7" s="20">
        <v>5.8</v>
      </c>
      <c r="D7" s="20">
        <v>5.8</v>
      </c>
      <c r="E7" s="20">
        <v>5.8</v>
      </c>
      <c r="F7" s="20">
        <v>5.8</v>
      </c>
      <c r="G7" s="20">
        <v>5.8</v>
      </c>
      <c r="H7" s="20">
        <v>5.8</v>
      </c>
      <c r="I7" s="20">
        <v>5.8</v>
      </c>
      <c r="J7" s="20">
        <v>5.8</v>
      </c>
      <c r="K7" s="20">
        <v>5.8</v>
      </c>
      <c r="L7" s="20">
        <v>5.8</v>
      </c>
      <c r="M7" s="20">
        <v>13</v>
      </c>
      <c r="N7" s="20">
        <v>4</v>
      </c>
      <c r="O7" s="21">
        <v>5.2900000000000003E-2</v>
      </c>
    </row>
    <row r="8" spans="1:15" x14ac:dyDescent="0.25">
      <c r="A8" s="16" t="s">
        <v>2</v>
      </c>
      <c r="B8" s="22">
        <v>2.6</v>
      </c>
      <c r="C8" s="23">
        <v>2.6</v>
      </c>
      <c r="D8" s="23">
        <v>2.6</v>
      </c>
      <c r="E8" s="23">
        <v>2.6</v>
      </c>
      <c r="F8" s="23">
        <v>2.6</v>
      </c>
      <c r="G8" s="23">
        <v>2.6</v>
      </c>
      <c r="H8" s="23">
        <v>2.6</v>
      </c>
      <c r="I8" s="23">
        <v>2.6</v>
      </c>
      <c r="J8" s="23">
        <v>2.6</v>
      </c>
      <c r="K8" s="23">
        <v>2.6</v>
      </c>
      <c r="L8" s="23">
        <v>2.6</v>
      </c>
      <c r="M8" s="23">
        <v>9</v>
      </c>
      <c r="N8" s="23">
        <v>1</v>
      </c>
      <c r="O8" s="24">
        <v>3.4100000000000012E-2</v>
      </c>
    </row>
    <row r="9" spans="1:15" x14ac:dyDescent="0.25">
      <c r="A9" s="16" t="s">
        <v>3</v>
      </c>
      <c r="B9" s="22">
        <v>4.28</v>
      </c>
      <c r="C9" s="23">
        <v>4.28</v>
      </c>
      <c r="D9" s="23">
        <v>4.28</v>
      </c>
      <c r="E9" s="23">
        <v>4.28</v>
      </c>
      <c r="F9" s="23">
        <v>4.28</v>
      </c>
      <c r="G9" s="23">
        <v>4.28</v>
      </c>
      <c r="H9" s="23">
        <v>4.28</v>
      </c>
      <c r="I9" s="23">
        <v>4.28</v>
      </c>
      <c r="J9" s="23">
        <v>4.28</v>
      </c>
      <c r="K9" s="23">
        <v>4.28</v>
      </c>
      <c r="L9" s="23">
        <v>4.28</v>
      </c>
      <c r="M9" s="23">
        <v>11</v>
      </c>
      <c r="N9" s="23">
        <v>2.6</v>
      </c>
      <c r="O9" s="24">
        <v>4.0099999999999997E-2</v>
      </c>
    </row>
    <row r="10" spans="1:15" x14ac:dyDescent="0.25">
      <c r="A10" s="16" t="s">
        <v>4</v>
      </c>
      <c r="B10" s="22">
        <v>6.6</v>
      </c>
      <c r="C10" s="23">
        <v>6.6</v>
      </c>
      <c r="D10" s="23">
        <v>6.6</v>
      </c>
      <c r="E10" s="23">
        <v>6.6</v>
      </c>
      <c r="F10" s="23">
        <v>6.6</v>
      </c>
      <c r="G10" s="23">
        <v>6.6</v>
      </c>
      <c r="H10" s="23">
        <v>6.6</v>
      </c>
      <c r="I10" s="23">
        <v>6.6</v>
      </c>
      <c r="J10" s="23">
        <v>6.6</v>
      </c>
      <c r="K10" s="23">
        <v>6.6</v>
      </c>
      <c r="L10" s="23">
        <v>6.6</v>
      </c>
      <c r="M10" s="23">
        <v>13</v>
      </c>
      <c r="N10" s="23">
        <v>5</v>
      </c>
      <c r="O10" s="24">
        <v>4.8300000000000003E-2</v>
      </c>
    </row>
    <row r="11" spans="1:15" x14ac:dyDescent="0.25">
      <c r="A11" s="16" t="s">
        <v>5</v>
      </c>
      <c r="B11" s="22">
        <v>3.52</v>
      </c>
      <c r="C11" s="23">
        <v>3.52</v>
      </c>
      <c r="D11" s="23">
        <v>3.52</v>
      </c>
      <c r="E11" s="23">
        <v>3.52</v>
      </c>
      <c r="F11" s="23">
        <v>3.52</v>
      </c>
      <c r="G11" s="23">
        <v>3.52</v>
      </c>
      <c r="H11" s="23">
        <v>3.52</v>
      </c>
      <c r="I11" s="23">
        <v>3.52</v>
      </c>
      <c r="J11" s="23">
        <v>3.52</v>
      </c>
      <c r="K11" s="23">
        <v>3.52</v>
      </c>
      <c r="L11" s="23">
        <v>3.52</v>
      </c>
      <c r="M11" s="23">
        <v>8</v>
      </c>
      <c r="N11" s="23">
        <v>2.4</v>
      </c>
      <c r="O11" s="24">
        <v>3.5400000000000001E-2</v>
      </c>
    </row>
    <row r="12" spans="1:15" x14ac:dyDescent="0.25">
      <c r="A12" s="16" t="s">
        <v>6</v>
      </c>
      <c r="B12" s="22">
        <v>3.12</v>
      </c>
      <c r="C12" s="23">
        <v>3.12</v>
      </c>
      <c r="D12" s="23">
        <v>3.12</v>
      </c>
      <c r="E12" s="23">
        <v>3.12</v>
      </c>
      <c r="F12" s="23">
        <v>3.12</v>
      </c>
      <c r="G12" s="23">
        <v>3.12</v>
      </c>
      <c r="H12" s="23">
        <v>3.12</v>
      </c>
      <c r="I12" s="23">
        <v>3.12</v>
      </c>
      <c r="J12" s="23">
        <v>3.12</v>
      </c>
      <c r="K12" s="23">
        <v>3.12</v>
      </c>
      <c r="L12" s="23">
        <v>3.12</v>
      </c>
      <c r="M12" s="23">
        <v>10</v>
      </c>
      <c r="N12" s="23">
        <v>1.4</v>
      </c>
      <c r="O12" s="24">
        <v>4.0800000000000003E-2</v>
      </c>
    </row>
    <row r="13" spans="1:15" x14ac:dyDescent="0.25">
      <c r="A13" s="16" t="s">
        <v>7</v>
      </c>
      <c r="B13" s="22">
        <v>3.12</v>
      </c>
      <c r="C13" s="23">
        <v>3.12</v>
      </c>
      <c r="D13" s="23">
        <v>3.12</v>
      </c>
      <c r="E13" s="23">
        <v>3.12</v>
      </c>
      <c r="F13" s="23">
        <v>3.12</v>
      </c>
      <c r="G13" s="23">
        <v>3.12</v>
      </c>
      <c r="H13" s="23">
        <v>3.12</v>
      </c>
      <c r="I13" s="23">
        <v>3.12</v>
      </c>
      <c r="J13" s="23">
        <v>3.12</v>
      </c>
      <c r="K13" s="23">
        <v>3.12</v>
      </c>
      <c r="L13" s="23">
        <v>3.12</v>
      </c>
      <c r="M13" s="23">
        <v>10</v>
      </c>
      <c r="N13" s="23">
        <v>1.4</v>
      </c>
      <c r="O13" s="24">
        <v>4.1700000000000001E-2</v>
      </c>
    </row>
    <row r="14" spans="1:15" x14ac:dyDescent="0.25">
      <c r="A14" s="16" t="s">
        <v>8</v>
      </c>
      <c r="B14" s="22">
        <v>2.8</v>
      </c>
      <c r="C14" s="23">
        <v>2.8</v>
      </c>
      <c r="D14" s="23">
        <v>2.8</v>
      </c>
      <c r="E14" s="23">
        <v>2.8</v>
      </c>
      <c r="F14" s="23">
        <v>2.8</v>
      </c>
      <c r="G14" s="23">
        <v>2.8</v>
      </c>
      <c r="H14" s="23">
        <v>2.8</v>
      </c>
      <c r="I14" s="23">
        <v>2.8</v>
      </c>
      <c r="J14" s="23">
        <v>2.8</v>
      </c>
      <c r="K14" s="23">
        <v>2.8</v>
      </c>
      <c r="L14" s="23">
        <v>2.8</v>
      </c>
      <c r="M14" s="23">
        <v>10</v>
      </c>
      <c r="N14" s="23">
        <v>1</v>
      </c>
      <c r="O14" s="24">
        <v>3.9800000000000002E-2</v>
      </c>
    </row>
    <row r="15" spans="1:15" x14ac:dyDescent="0.25">
      <c r="A15" s="16" t="s">
        <v>9</v>
      </c>
      <c r="B15" s="22">
        <v>4.2</v>
      </c>
      <c r="C15" s="23">
        <v>4.2</v>
      </c>
      <c r="D15" s="23">
        <v>4.2</v>
      </c>
      <c r="E15" s="23">
        <v>4.2</v>
      </c>
      <c r="F15" s="23">
        <v>4.2</v>
      </c>
      <c r="G15" s="23">
        <v>4.2</v>
      </c>
      <c r="H15" s="23">
        <v>4.2</v>
      </c>
      <c r="I15" s="23">
        <v>4.2</v>
      </c>
      <c r="J15" s="23">
        <v>4.2</v>
      </c>
      <c r="K15" s="23">
        <v>4.2</v>
      </c>
      <c r="L15" s="23">
        <v>4.2</v>
      </c>
      <c r="M15" s="23">
        <v>9</v>
      </c>
      <c r="N15" s="23">
        <v>3</v>
      </c>
      <c r="O15" s="24">
        <v>3.7100000000000001E-2</v>
      </c>
    </row>
    <row r="16" spans="1:15" x14ac:dyDescent="0.25">
      <c r="A16" s="16" t="s">
        <v>10</v>
      </c>
      <c r="B16" s="22">
        <v>5</v>
      </c>
      <c r="C16" s="23">
        <v>5</v>
      </c>
      <c r="D16" s="23">
        <v>5</v>
      </c>
      <c r="E16" s="23">
        <v>5</v>
      </c>
      <c r="F16" s="23">
        <v>5</v>
      </c>
      <c r="G16" s="23">
        <v>5</v>
      </c>
      <c r="H16" s="23">
        <v>5</v>
      </c>
      <c r="I16" s="23">
        <v>5</v>
      </c>
      <c r="J16" s="23">
        <v>5</v>
      </c>
      <c r="K16" s="23">
        <v>5</v>
      </c>
      <c r="L16" s="23">
        <v>5</v>
      </c>
      <c r="M16" s="23">
        <v>13</v>
      </c>
      <c r="N16" s="23">
        <v>3</v>
      </c>
      <c r="O16" s="24">
        <v>4.9399999999999999E-2</v>
      </c>
    </row>
    <row r="17" spans="1:15" x14ac:dyDescent="0.25">
      <c r="A17" s="16" t="s">
        <v>11</v>
      </c>
      <c r="B17" s="22">
        <v>5.08</v>
      </c>
      <c r="C17" s="23">
        <v>5.08</v>
      </c>
      <c r="D17" s="23">
        <v>5.08</v>
      </c>
      <c r="E17" s="23">
        <v>5.08</v>
      </c>
      <c r="F17" s="23">
        <v>5.08</v>
      </c>
      <c r="G17" s="23">
        <v>5.08</v>
      </c>
      <c r="H17" s="23">
        <v>5.08</v>
      </c>
      <c r="I17" s="23">
        <v>5.08</v>
      </c>
      <c r="J17" s="23">
        <v>5.08</v>
      </c>
      <c r="K17" s="23">
        <v>5.08</v>
      </c>
      <c r="L17" s="23">
        <v>5.08</v>
      </c>
      <c r="M17" s="23">
        <v>11</v>
      </c>
      <c r="N17" s="23">
        <v>3.6</v>
      </c>
      <c r="O17" s="24">
        <v>4.0000000000000001E-3</v>
      </c>
    </row>
    <row r="18" spans="1:15" x14ac:dyDescent="0.25">
      <c r="A18" s="16" t="s">
        <v>12</v>
      </c>
      <c r="B18" s="22">
        <v>3.72</v>
      </c>
      <c r="C18" s="23">
        <v>3.72</v>
      </c>
      <c r="D18" s="23">
        <v>3.72</v>
      </c>
      <c r="E18" s="23">
        <v>3.72</v>
      </c>
      <c r="F18" s="23">
        <v>3.72</v>
      </c>
      <c r="G18" s="23">
        <v>3.72</v>
      </c>
      <c r="H18" s="23">
        <v>3.72</v>
      </c>
      <c r="I18" s="23">
        <v>3.72</v>
      </c>
      <c r="J18" s="23">
        <v>3.72</v>
      </c>
      <c r="K18" s="23">
        <v>3.72</v>
      </c>
      <c r="L18" s="23">
        <v>3.72</v>
      </c>
      <c r="M18" s="23">
        <v>9</v>
      </c>
      <c r="N18" s="23">
        <v>2.4</v>
      </c>
      <c r="O18" s="24">
        <v>3.0999999999999999E-3</v>
      </c>
    </row>
    <row r="19" spans="1:15" x14ac:dyDescent="0.25">
      <c r="A19" s="16" t="s">
        <v>13</v>
      </c>
      <c r="B19" s="22">
        <v>5</v>
      </c>
      <c r="C19" s="23">
        <v>5</v>
      </c>
      <c r="D19" s="23">
        <v>5</v>
      </c>
      <c r="E19" s="23">
        <v>5</v>
      </c>
      <c r="F19" s="23">
        <v>5</v>
      </c>
      <c r="G19" s="23">
        <v>5</v>
      </c>
      <c r="H19" s="23">
        <v>5</v>
      </c>
      <c r="I19" s="23">
        <v>5</v>
      </c>
      <c r="J19" s="23">
        <v>5</v>
      </c>
      <c r="K19" s="23">
        <v>5</v>
      </c>
      <c r="L19" s="23">
        <v>5</v>
      </c>
      <c r="M19" s="23">
        <v>13</v>
      </c>
      <c r="N19" s="23">
        <v>3</v>
      </c>
      <c r="O19" s="24">
        <v>4.0000000000000001E-3</v>
      </c>
    </row>
    <row r="20" spans="1:15" x14ac:dyDescent="0.25">
      <c r="A20" s="16" t="s">
        <v>14</v>
      </c>
      <c r="B20" s="22">
        <v>1.76</v>
      </c>
      <c r="C20" s="23">
        <v>1.76</v>
      </c>
      <c r="D20" s="23">
        <v>1.76</v>
      </c>
      <c r="E20" s="23">
        <v>1.76</v>
      </c>
      <c r="F20" s="23">
        <v>1.76</v>
      </c>
      <c r="G20" s="23">
        <v>1.76</v>
      </c>
      <c r="H20" s="23">
        <v>1.76</v>
      </c>
      <c r="I20" s="23">
        <v>1.76</v>
      </c>
      <c r="J20" s="23">
        <v>1.76</v>
      </c>
      <c r="K20" s="23">
        <v>1.76</v>
      </c>
      <c r="L20" s="23">
        <v>1.76</v>
      </c>
      <c r="M20" s="23">
        <v>8</v>
      </c>
      <c r="N20" s="23">
        <v>0.2</v>
      </c>
      <c r="O20" s="24">
        <v>3.0999999999999999E-3</v>
      </c>
    </row>
    <row r="21" spans="1:15" x14ac:dyDescent="0.25">
      <c r="A21" s="16" t="s">
        <v>15</v>
      </c>
      <c r="B21" s="22">
        <v>3.76</v>
      </c>
      <c r="C21" s="23">
        <v>3.76</v>
      </c>
      <c r="D21" s="23">
        <v>3.76</v>
      </c>
      <c r="E21" s="23">
        <v>3.76</v>
      </c>
      <c r="F21" s="23">
        <v>3.76</v>
      </c>
      <c r="G21" s="23">
        <v>3.76</v>
      </c>
      <c r="H21" s="23">
        <v>3.76</v>
      </c>
      <c r="I21" s="23">
        <v>3.76</v>
      </c>
      <c r="J21" s="23">
        <v>3.76</v>
      </c>
      <c r="K21" s="23">
        <v>3.76</v>
      </c>
      <c r="L21" s="23">
        <v>3.76</v>
      </c>
      <c r="M21" s="23">
        <v>10</v>
      </c>
      <c r="N21" s="23">
        <v>2.2000000000000002</v>
      </c>
      <c r="O21" s="24">
        <v>3.8999999999999998E-3</v>
      </c>
    </row>
    <row r="22" spans="1:15" x14ac:dyDescent="0.25">
      <c r="A22" s="16" t="s">
        <v>16</v>
      </c>
      <c r="B22" s="22">
        <v>4.12</v>
      </c>
      <c r="C22" s="23">
        <v>4.12</v>
      </c>
      <c r="D22" s="23">
        <v>4.12</v>
      </c>
      <c r="E22" s="23">
        <v>4.16</v>
      </c>
      <c r="F22" s="23">
        <v>4.12</v>
      </c>
      <c r="G22" s="23">
        <v>4.16</v>
      </c>
      <c r="H22" s="23">
        <v>4.16</v>
      </c>
      <c r="I22" s="23">
        <v>4.12</v>
      </c>
      <c r="J22" s="23">
        <v>4.16</v>
      </c>
      <c r="K22" s="23">
        <v>4.16</v>
      </c>
      <c r="L22" s="23">
        <v>4.12</v>
      </c>
      <c r="M22" s="23">
        <v>11</v>
      </c>
      <c r="N22" s="23">
        <v>2.4</v>
      </c>
      <c r="O22" s="24">
        <v>4.0000000000000001E-3</v>
      </c>
    </row>
    <row r="23" spans="1:15" x14ac:dyDescent="0.25">
      <c r="A23" s="16" t="s">
        <v>17</v>
      </c>
      <c r="B23" s="22">
        <v>2.88</v>
      </c>
      <c r="C23" s="23">
        <v>2.88</v>
      </c>
      <c r="D23" s="23">
        <v>2.88</v>
      </c>
      <c r="E23" s="23">
        <v>2.88</v>
      </c>
      <c r="F23" s="23">
        <v>2.88</v>
      </c>
      <c r="G23" s="23">
        <v>2.88</v>
      </c>
      <c r="H23" s="23">
        <v>2.88</v>
      </c>
      <c r="I23" s="23">
        <v>2.88</v>
      </c>
      <c r="J23" s="23">
        <v>2.88</v>
      </c>
      <c r="K23" s="23">
        <v>2.88</v>
      </c>
      <c r="L23" s="23">
        <v>2.88</v>
      </c>
      <c r="M23" s="23">
        <v>8</v>
      </c>
      <c r="N23" s="23">
        <v>1.6</v>
      </c>
      <c r="O23" s="24">
        <v>3.0000000000000001E-3</v>
      </c>
    </row>
    <row r="24" spans="1:15" x14ac:dyDescent="0.25">
      <c r="A24" s="16" t="s">
        <v>18</v>
      </c>
      <c r="B24" s="22">
        <v>2.2400000000000002</v>
      </c>
      <c r="C24" s="23">
        <v>2.2400000000000002</v>
      </c>
      <c r="D24" s="23">
        <v>2.2400000000000002</v>
      </c>
      <c r="E24" s="23">
        <v>2.2400000000000002</v>
      </c>
      <c r="F24" s="23">
        <v>2.2400000000000002</v>
      </c>
      <c r="G24" s="23">
        <v>2.2400000000000002</v>
      </c>
      <c r="H24" s="23">
        <v>2.2400000000000002</v>
      </c>
      <c r="I24" s="23">
        <v>2.2400000000000002</v>
      </c>
      <c r="J24" s="23">
        <v>2.2400000000000002</v>
      </c>
      <c r="K24" s="23">
        <v>2.2400000000000002</v>
      </c>
      <c r="L24" s="23">
        <v>2.2400000000000002</v>
      </c>
      <c r="M24" s="23">
        <v>8</v>
      </c>
      <c r="N24" s="23">
        <v>0.8</v>
      </c>
      <c r="O24" s="24">
        <v>3.0000000000000001E-3</v>
      </c>
    </row>
    <row r="25" spans="1:15" x14ac:dyDescent="0.25">
      <c r="A25" s="16" t="s">
        <v>19</v>
      </c>
      <c r="B25" s="22">
        <v>4.76</v>
      </c>
      <c r="C25" s="23">
        <v>4.76</v>
      </c>
      <c r="D25" s="23">
        <v>4.76</v>
      </c>
      <c r="E25" s="23">
        <v>4.76</v>
      </c>
      <c r="F25" s="23">
        <v>4.76</v>
      </c>
      <c r="G25" s="23">
        <v>4.76</v>
      </c>
      <c r="H25" s="23">
        <v>4.76</v>
      </c>
      <c r="I25" s="23">
        <v>4.76</v>
      </c>
      <c r="J25" s="23">
        <v>4.76</v>
      </c>
      <c r="K25" s="23">
        <v>4.76</v>
      </c>
      <c r="L25" s="23">
        <v>4.76</v>
      </c>
      <c r="M25" s="23">
        <v>11</v>
      </c>
      <c r="N25" s="23">
        <v>3.2</v>
      </c>
      <c r="O25" s="24">
        <v>4.0000000000000001E-3</v>
      </c>
    </row>
    <row r="26" spans="1:15" x14ac:dyDescent="0.25">
      <c r="A26" s="16" t="s">
        <v>20</v>
      </c>
      <c r="B26" s="22">
        <v>5.2</v>
      </c>
      <c r="C26" s="23">
        <v>5.2</v>
      </c>
      <c r="D26" s="23">
        <v>5.2</v>
      </c>
      <c r="E26" s="23">
        <v>5.2</v>
      </c>
      <c r="F26" s="23">
        <v>5.2</v>
      </c>
      <c r="G26" s="23">
        <v>5.2</v>
      </c>
      <c r="H26" s="23">
        <v>5.2</v>
      </c>
      <c r="I26" s="23">
        <v>5.2</v>
      </c>
      <c r="J26" s="23">
        <v>5.2</v>
      </c>
      <c r="K26" s="23">
        <v>5.2</v>
      </c>
      <c r="L26" s="23">
        <v>5.2</v>
      </c>
      <c r="M26" s="23">
        <v>14</v>
      </c>
      <c r="N26" s="23">
        <v>3</v>
      </c>
      <c r="O26" s="24">
        <v>4.7000000000000002E-3</v>
      </c>
    </row>
    <row r="27" spans="1:15" x14ac:dyDescent="0.25">
      <c r="A27" s="16" t="s">
        <v>21</v>
      </c>
      <c r="B27" s="22">
        <v>3.32</v>
      </c>
      <c r="C27" s="23">
        <v>3.32</v>
      </c>
      <c r="D27" s="23">
        <v>3.32</v>
      </c>
      <c r="E27" s="23">
        <v>3.32</v>
      </c>
      <c r="F27" s="23">
        <v>3.32</v>
      </c>
      <c r="G27" s="23">
        <v>3.32</v>
      </c>
      <c r="H27" s="23">
        <v>3.32</v>
      </c>
      <c r="I27" s="23">
        <v>3.32</v>
      </c>
      <c r="J27" s="23">
        <v>3.32</v>
      </c>
      <c r="K27" s="23">
        <v>3.32</v>
      </c>
      <c r="L27" s="23">
        <v>3.32</v>
      </c>
      <c r="M27" s="23">
        <v>11</v>
      </c>
      <c r="N27" s="23">
        <v>1.4</v>
      </c>
      <c r="O27" s="24">
        <v>4.0000000000000001E-3</v>
      </c>
    </row>
    <row r="28" spans="1:15" x14ac:dyDescent="0.25">
      <c r="A28" s="16" t="s">
        <v>22</v>
      </c>
      <c r="B28" s="22">
        <v>6.36</v>
      </c>
      <c r="C28" s="23">
        <v>6.36</v>
      </c>
      <c r="D28" s="23">
        <v>6.36</v>
      </c>
      <c r="E28" s="23">
        <v>6.36</v>
      </c>
      <c r="F28" s="23">
        <v>6.36</v>
      </c>
      <c r="G28" s="23">
        <v>6.36</v>
      </c>
      <c r="H28" s="23">
        <v>6.36</v>
      </c>
      <c r="I28" s="23">
        <v>6.36</v>
      </c>
      <c r="J28" s="23">
        <v>6.36</v>
      </c>
      <c r="K28" s="23">
        <v>6.36</v>
      </c>
      <c r="L28" s="23">
        <v>6.36</v>
      </c>
      <c r="M28" s="23">
        <v>15</v>
      </c>
      <c r="N28" s="23">
        <v>4.2</v>
      </c>
      <c r="O28" s="24">
        <v>5.0000000000000001E-3</v>
      </c>
    </row>
    <row r="29" spans="1:15" x14ac:dyDescent="0.25">
      <c r="A29" s="16" t="s">
        <v>23</v>
      </c>
      <c r="B29" s="22">
        <v>4.24</v>
      </c>
      <c r="C29" s="23">
        <v>4.24</v>
      </c>
      <c r="D29" s="23">
        <v>4.24</v>
      </c>
      <c r="E29" s="23">
        <v>4.24</v>
      </c>
      <c r="F29" s="23">
        <v>4.24</v>
      </c>
      <c r="G29" s="23">
        <v>4.24</v>
      </c>
      <c r="H29" s="23">
        <v>4.24</v>
      </c>
      <c r="I29" s="23">
        <v>4.24</v>
      </c>
      <c r="J29" s="23">
        <v>4.24</v>
      </c>
      <c r="K29" s="23">
        <v>4.24</v>
      </c>
      <c r="L29" s="23">
        <v>4.24</v>
      </c>
      <c r="M29" s="23">
        <v>10</v>
      </c>
      <c r="N29" s="23">
        <v>2.8</v>
      </c>
      <c r="O29" s="24">
        <v>4.0000000000000001E-3</v>
      </c>
    </row>
    <row r="30" spans="1:15" x14ac:dyDescent="0.25">
      <c r="A30" s="16" t="s">
        <v>24</v>
      </c>
      <c r="B30" s="22">
        <v>4.4400000000000004</v>
      </c>
      <c r="C30" s="23">
        <v>4.4400000000000004</v>
      </c>
      <c r="D30" s="23">
        <v>4.4400000000000004</v>
      </c>
      <c r="E30" s="23">
        <v>4.4400000000000004</v>
      </c>
      <c r="F30" s="23">
        <v>4.4400000000000004</v>
      </c>
      <c r="G30" s="23">
        <v>4.4400000000000004</v>
      </c>
      <c r="H30" s="23">
        <v>4.4400000000000004</v>
      </c>
      <c r="I30" s="23">
        <v>4.4400000000000004</v>
      </c>
      <c r="J30" s="23">
        <v>4.4400000000000004</v>
      </c>
      <c r="K30" s="23">
        <v>4.4400000000000004</v>
      </c>
      <c r="L30" s="23">
        <v>4.4400000000000004</v>
      </c>
      <c r="M30" s="23">
        <v>11</v>
      </c>
      <c r="N30" s="23">
        <v>2.8</v>
      </c>
      <c r="O30" s="24">
        <v>4.0000000000000001E-3</v>
      </c>
    </row>
    <row r="31" spans="1:15" x14ac:dyDescent="0.25">
      <c r="A31" s="16" t="s">
        <v>25</v>
      </c>
      <c r="B31" s="22">
        <v>4.28</v>
      </c>
      <c r="C31" s="23">
        <v>4.28</v>
      </c>
      <c r="D31" s="23">
        <v>4.28</v>
      </c>
      <c r="E31" s="23">
        <v>4.28</v>
      </c>
      <c r="F31" s="23">
        <v>4.28</v>
      </c>
      <c r="G31" s="23">
        <v>4.28</v>
      </c>
      <c r="H31" s="23">
        <v>4.28</v>
      </c>
      <c r="I31" s="23">
        <v>4.28</v>
      </c>
      <c r="J31" s="23">
        <v>4.28</v>
      </c>
      <c r="K31" s="23">
        <v>4.28</v>
      </c>
      <c r="L31" s="23">
        <v>4.28</v>
      </c>
      <c r="M31" s="23">
        <v>11</v>
      </c>
      <c r="N31" s="23">
        <v>2.6</v>
      </c>
      <c r="O31" s="24">
        <v>4.3999999999999994E-3</v>
      </c>
    </row>
    <row r="32" spans="1:15" x14ac:dyDescent="0.25">
      <c r="A32" s="16" t="s">
        <v>26</v>
      </c>
      <c r="B32" s="22">
        <v>3.8</v>
      </c>
      <c r="C32" s="23">
        <v>3.8</v>
      </c>
      <c r="D32" s="23">
        <v>3.8</v>
      </c>
      <c r="E32" s="23">
        <v>3.8</v>
      </c>
      <c r="F32" s="23">
        <v>3.8</v>
      </c>
      <c r="G32" s="23">
        <v>3.8</v>
      </c>
      <c r="H32" s="23">
        <v>3.8</v>
      </c>
      <c r="I32" s="23">
        <v>3.8</v>
      </c>
      <c r="J32" s="23">
        <v>3.8</v>
      </c>
      <c r="K32" s="23">
        <v>3.8</v>
      </c>
      <c r="L32" s="23">
        <v>3.8</v>
      </c>
      <c r="M32" s="23">
        <v>11</v>
      </c>
      <c r="N32" s="23">
        <v>2</v>
      </c>
      <c r="O32" s="24">
        <v>4.0000000000000001E-3</v>
      </c>
    </row>
    <row r="33" spans="1:15" x14ac:dyDescent="0.25">
      <c r="A33" s="16" t="s">
        <v>27</v>
      </c>
      <c r="B33" s="22">
        <v>2.44</v>
      </c>
      <c r="C33" s="23">
        <v>2.44</v>
      </c>
      <c r="D33" s="23">
        <v>2.44</v>
      </c>
      <c r="E33" s="23">
        <v>2.44</v>
      </c>
      <c r="F33" s="23">
        <v>2.44</v>
      </c>
      <c r="G33" s="23">
        <v>2.44</v>
      </c>
      <c r="H33" s="23">
        <v>2.44</v>
      </c>
      <c r="I33" s="23">
        <v>2.44</v>
      </c>
      <c r="J33" s="23">
        <v>2.44</v>
      </c>
      <c r="K33" s="23">
        <v>2.44</v>
      </c>
      <c r="L33" s="23">
        <v>2.44</v>
      </c>
      <c r="M33" s="23">
        <v>9</v>
      </c>
      <c r="N33" s="23">
        <v>0.8</v>
      </c>
      <c r="O33" s="24">
        <v>3.2000000000000002E-3</v>
      </c>
    </row>
    <row r="34" spans="1:15" x14ac:dyDescent="0.25">
      <c r="A34" s="16" t="s">
        <v>28</v>
      </c>
      <c r="B34" s="22">
        <v>2.48</v>
      </c>
      <c r="C34" s="23">
        <v>2.48</v>
      </c>
      <c r="D34" s="23">
        <v>2.48</v>
      </c>
      <c r="E34" s="23">
        <v>2.48</v>
      </c>
      <c r="F34" s="23">
        <v>2.48</v>
      </c>
      <c r="G34" s="23">
        <v>2.48</v>
      </c>
      <c r="H34" s="23">
        <v>2.48</v>
      </c>
      <c r="I34" s="23">
        <v>2.48</v>
      </c>
      <c r="J34" s="23">
        <v>2.48</v>
      </c>
      <c r="K34" s="23">
        <v>2.48</v>
      </c>
      <c r="L34" s="23">
        <v>2.48</v>
      </c>
      <c r="M34" s="23">
        <v>10</v>
      </c>
      <c r="N34" s="23">
        <v>0.6</v>
      </c>
      <c r="O34" s="24">
        <v>4.0000000000000001E-3</v>
      </c>
    </row>
    <row r="35" spans="1:15" x14ac:dyDescent="0.25">
      <c r="A35" s="16" t="s">
        <v>29</v>
      </c>
      <c r="B35" s="22">
        <v>6.2</v>
      </c>
      <c r="C35" s="23">
        <v>6.2</v>
      </c>
      <c r="D35" s="23">
        <v>6.2</v>
      </c>
      <c r="E35" s="23">
        <v>6.2</v>
      </c>
      <c r="F35" s="23">
        <v>6.2</v>
      </c>
      <c r="G35" s="23">
        <v>6.2</v>
      </c>
      <c r="H35" s="23">
        <v>6.2</v>
      </c>
      <c r="I35" s="23">
        <v>6.2</v>
      </c>
      <c r="J35" s="23">
        <v>6.2</v>
      </c>
      <c r="K35" s="23">
        <v>6.2</v>
      </c>
      <c r="L35" s="23">
        <v>6.2</v>
      </c>
      <c r="M35" s="23">
        <v>11</v>
      </c>
      <c r="N35" s="23">
        <v>5</v>
      </c>
      <c r="O35" s="24">
        <v>4.0000000000000001E-3</v>
      </c>
    </row>
    <row r="36" spans="1:15" x14ac:dyDescent="0.25">
      <c r="A36" s="16" t="s">
        <v>30</v>
      </c>
      <c r="B36" s="22">
        <v>4.5199999999999996</v>
      </c>
      <c r="C36" s="23">
        <v>4.5199999999999996</v>
      </c>
      <c r="D36" s="23">
        <v>4.5199999999999996</v>
      </c>
      <c r="E36" s="23">
        <v>4.5199999999999996</v>
      </c>
      <c r="F36" s="23">
        <v>4.5199999999999996</v>
      </c>
      <c r="G36" s="23">
        <v>4.5199999999999996</v>
      </c>
      <c r="H36" s="23">
        <v>4.5199999999999996</v>
      </c>
      <c r="I36" s="23">
        <v>4.5199999999999996</v>
      </c>
      <c r="J36" s="23">
        <v>4.5199999999999996</v>
      </c>
      <c r="K36" s="23">
        <v>4.5199999999999996</v>
      </c>
      <c r="L36" s="23">
        <v>4.5199999999999996</v>
      </c>
      <c r="M36" s="23">
        <v>13</v>
      </c>
      <c r="N36" s="23">
        <v>2.4</v>
      </c>
      <c r="O36" s="24">
        <v>5.0000000000000001E-3</v>
      </c>
    </row>
    <row r="37" spans="1:15" x14ac:dyDescent="0.25">
      <c r="A37" s="16" t="s">
        <v>31</v>
      </c>
      <c r="B37" s="22">
        <v>6.24</v>
      </c>
      <c r="C37" s="23">
        <v>6.24</v>
      </c>
      <c r="D37" s="23">
        <v>6.24</v>
      </c>
      <c r="E37" s="23">
        <v>6.24</v>
      </c>
      <c r="F37" s="23">
        <v>6.24</v>
      </c>
      <c r="G37" s="23">
        <v>6.24</v>
      </c>
      <c r="H37" s="23">
        <v>6.24</v>
      </c>
      <c r="I37" s="23">
        <v>6.24</v>
      </c>
      <c r="J37" s="23">
        <v>6.24</v>
      </c>
      <c r="K37" s="23">
        <v>6.24</v>
      </c>
      <c r="L37" s="23">
        <v>6.24</v>
      </c>
      <c r="M37" s="23">
        <v>12</v>
      </c>
      <c r="N37" s="23">
        <v>4.8</v>
      </c>
      <c r="O37" s="24">
        <v>5.0000000000000001E-3</v>
      </c>
    </row>
    <row r="38" spans="1:15" x14ac:dyDescent="0.25">
      <c r="A38" s="16" t="s">
        <v>32</v>
      </c>
      <c r="B38" s="22">
        <v>2.6</v>
      </c>
      <c r="C38" s="23">
        <v>2.6</v>
      </c>
      <c r="D38" s="23">
        <v>2.6</v>
      </c>
      <c r="E38" s="23">
        <v>2.6</v>
      </c>
      <c r="F38" s="23">
        <v>2.6</v>
      </c>
      <c r="G38" s="23">
        <v>2.6</v>
      </c>
      <c r="H38" s="23">
        <v>2.6</v>
      </c>
      <c r="I38" s="23">
        <v>2.6</v>
      </c>
      <c r="J38" s="23">
        <v>2.6</v>
      </c>
      <c r="K38" s="23">
        <v>2.6</v>
      </c>
      <c r="L38" s="23">
        <v>2.6</v>
      </c>
      <c r="M38" s="23">
        <v>9</v>
      </c>
      <c r="N38" s="23">
        <v>1</v>
      </c>
      <c r="O38" s="24">
        <v>4.0000000000000001E-3</v>
      </c>
    </row>
    <row r="39" spans="1:15" x14ac:dyDescent="0.25">
      <c r="A39" s="16" t="s">
        <v>33</v>
      </c>
      <c r="B39" s="22">
        <v>3.36</v>
      </c>
      <c r="C39" s="23">
        <v>3.36</v>
      </c>
      <c r="D39" s="23">
        <v>3.36</v>
      </c>
      <c r="E39" s="23">
        <v>3.36</v>
      </c>
      <c r="F39" s="23">
        <v>3.36</v>
      </c>
      <c r="G39" s="23">
        <v>3.36</v>
      </c>
      <c r="H39" s="23">
        <v>3.36</v>
      </c>
      <c r="I39" s="23">
        <v>3.36</v>
      </c>
      <c r="J39" s="23">
        <v>3.36</v>
      </c>
      <c r="K39" s="23">
        <v>3.36</v>
      </c>
      <c r="L39" s="23">
        <v>3.36</v>
      </c>
      <c r="M39" s="23">
        <v>8</v>
      </c>
      <c r="N39" s="23">
        <v>2.2000000000000002</v>
      </c>
      <c r="O39" s="24">
        <v>3.2000000000000002E-3</v>
      </c>
    </row>
    <row r="40" spans="1:15" x14ac:dyDescent="0.25">
      <c r="A40" s="16" t="s">
        <v>34</v>
      </c>
      <c r="B40" s="22">
        <v>2.8</v>
      </c>
      <c r="C40" s="23">
        <v>2.8</v>
      </c>
      <c r="D40" s="23">
        <v>2.8</v>
      </c>
      <c r="E40" s="23">
        <v>2.8</v>
      </c>
      <c r="F40" s="23">
        <v>2.8</v>
      </c>
      <c r="G40" s="23">
        <v>2.8</v>
      </c>
      <c r="H40" s="23">
        <v>2.8</v>
      </c>
      <c r="I40" s="23">
        <v>2.8</v>
      </c>
      <c r="J40" s="23">
        <v>2.8</v>
      </c>
      <c r="K40" s="23">
        <v>2.8</v>
      </c>
      <c r="L40" s="23">
        <v>2.8</v>
      </c>
      <c r="M40" s="23">
        <v>10</v>
      </c>
      <c r="N40" s="23">
        <v>1</v>
      </c>
      <c r="O40" s="24">
        <v>4.0000000000000001E-3</v>
      </c>
    </row>
    <row r="41" spans="1:15" x14ac:dyDescent="0.25">
      <c r="A41" s="16" t="s">
        <v>35</v>
      </c>
      <c r="B41" s="22">
        <v>3.8</v>
      </c>
      <c r="C41" s="23">
        <v>3.8</v>
      </c>
      <c r="D41" s="23">
        <v>3.8</v>
      </c>
      <c r="E41" s="23">
        <v>3.8</v>
      </c>
      <c r="F41" s="23">
        <v>3.8</v>
      </c>
      <c r="G41" s="23">
        <v>3.8</v>
      </c>
      <c r="H41" s="23">
        <v>3.8</v>
      </c>
      <c r="I41" s="23">
        <v>3.8</v>
      </c>
      <c r="J41" s="23">
        <v>3.8</v>
      </c>
      <c r="K41" s="23">
        <v>3.8</v>
      </c>
      <c r="L41" s="23">
        <v>3.8</v>
      </c>
      <c r="M41" s="23">
        <v>11</v>
      </c>
      <c r="N41" s="23">
        <v>2</v>
      </c>
      <c r="O41" s="24">
        <v>4.0000000000000001E-3</v>
      </c>
    </row>
    <row r="42" spans="1:15" x14ac:dyDescent="0.25">
      <c r="A42" s="16" t="s">
        <v>36</v>
      </c>
      <c r="B42" s="22">
        <v>5.8</v>
      </c>
      <c r="C42" s="23">
        <v>5.8</v>
      </c>
      <c r="D42" s="23">
        <v>5.8</v>
      </c>
      <c r="E42" s="23">
        <v>5.8</v>
      </c>
      <c r="F42" s="23">
        <v>5.8</v>
      </c>
      <c r="G42" s="23">
        <v>5.8</v>
      </c>
      <c r="H42" s="23">
        <v>5.8</v>
      </c>
      <c r="I42" s="23">
        <v>5.8</v>
      </c>
      <c r="J42" s="23">
        <v>5.8</v>
      </c>
      <c r="K42" s="23">
        <v>5.8</v>
      </c>
      <c r="L42" s="23">
        <v>5.8</v>
      </c>
      <c r="M42" s="23">
        <v>13</v>
      </c>
      <c r="N42" s="23">
        <v>4</v>
      </c>
      <c r="O42" s="24">
        <v>5.0000000000000001E-3</v>
      </c>
    </row>
    <row r="43" spans="1:15" x14ac:dyDescent="0.25">
      <c r="A43" s="16" t="s">
        <v>37</v>
      </c>
      <c r="B43" s="22">
        <v>5.92</v>
      </c>
      <c r="C43" s="23">
        <v>5.92</v>
      </c>
      <c r="D43" s="23">
        <v>5.92</v>
      </c>
      <c r="E43" s="23">
        <v>5.92</v>
      </c>
      <c r="F43" s="23">
        <v>5.92</v>
      </c>
      <c r="G43" s="23">
        <v>5.92</v>
      </c>
      <c r="H43" s="23">
        <v>5.92</v>
      </c>
      <c r="I43" s="23">
        <v>5.92</v>
      </c>
      <c r="J43" s="23">
        <v>5.92</v>
      </c>
      <c r="K43" s="23">
        <v>5.92</v>
      </c>
      <c r="L43" s="23">
        <v>5.92</v>
      </c>
      <c r="M43" s="23">
        <v>12</v>
      </c>
      <c r="N43" s="23">
        <v>4.4000000000000004</v>
      </c>
      <c r="O43" s="24">
        <v>4.5999999999999999E-3</v>
      </c>
    </row>
    <row r="44" spans="1:15" x14ac:dyDescent="0.25">
      <c r="A44" s="16" t="s">
        <v>38</v>
      </c>
      <c r="B44" s="22">
        <v>5.4</v>
      </c>
      <c r="C44" s="23">
        <v>5.4</v>
      </c>
      <c r="D44" s="23">
        <v>5.4</v>
      </c>
      <c r="E44" s="23">
        <v>5.4</v>
      </c>
      <c r="F44" s="23">
        <v>5.4</v>
      </c>
      <c r="G44" s="23">
        <v>5.4</v>
      </c>
      <c r="H44" s="23">
        <v>5.4</v>
      </c>
      <c r="I44" s="23">
        <v>5.4</v>
      </c>
      <c r="J44" s="23">
        <v>5.4</v>
      </c>
      <c r="K44" s="23">
        <v>5.4</v>
      </c>
      <c r="L44" s="23">
        <v>5.4</v>
      </c>
      <c r="M44" s="23">
        <v>11</v>
      </c>
      <c r="N44" s="23">
        <v>4</v>
      </c>
      <c r="O44" s="24">
        <v>4.0000000000000001E-3</v>
      </c>
    </row>
    <row r="45" spans="1:15" x14ac:dyDescent="0.25">
      <c r="A45" s="16" t="s">
        <v>39</v>
      </c>
      <c r="B45" s="22">
        <v>4.72</v>
      </c>
      <c r="C45" s="23">
        <v>4.72</v>
      </c>
      <c r="D45" s="23">
        <v>4.72</v>
      </c>
      <c r="E45" s="23">
        <v>4.72</v>
      </c>
      <c r="F45" s="23">
        <v>4.72</v>
      </c>
      <c r="G45" s="23">
        <v>4.72</v>
      </c>
      <c r="H45" s="23">
        <v>4.72</v>
      </c>
      <c r="I45" s="23">
        <v>4.72</v>
      </c>
      <c r="J45" s="23">
        <v>4.72</v>
      </c>
      <c r="K45" s="23">
        <v>4.72</v>
      </c>
      <c r="L45" s="23">
        <v>4.72</v>
      </c>
      <c r="M45" s="23">
        <v>10</v>
      </c>
      <c r="N45" s="23">
        <v>3.4</v>
      </c>
      <c r="O45" s="24">
        <v>4.1000000000000003E-3</v>
      </c>
    </row>
    <row r="46" spans="1:15" x14ac:dyDescent="0.25">
      <c r="A46" s="16" t="s">
        <v>40</v>
      </c>
      <c r="B46" s="22">
        <v>2.96</v>
      </c>
      <c r="C46" s="23">
        <v>2.96</v>
      </c>
      <c r="D46" s="23">
        <v>2.96</v>
      </c>
      <c r="E46" s="23">
        <v>2.96</v>
      </c>
      <c r="F46" s="23">
        <v>2.96</v>
      </c>
      <c r="G46" s="23">
        <v>2.96</v>
      </c>
      <c r="H46" s="23">
        <v>2.96</v>
      </c>
      <c r="I46" s="23">
        <v>2.96</v>
      </c>
      <c r="J46" s="23">
        <v>2.96</v>
      </c>
      <c r="K46" s="23">
        <v>2.96</v>
      </c>
      <c r="L46" s="23">
        <v>2.96</v>
      </c>
      <c r="M46" s="23">
        <v>10</v>
      </c>
      <c r="N46" s="23">
        <v>1.2</v>
      </c>
      <c r="O46" s="24">
        <v>4.0000000000000001E-3</v>
      </c>
    </row>
    <row r="47" spans="1:15" x14ac:dyDescent="0.25">
      <c r="A47" s="16" t="s">
        <v>41</v>
      </c>
      <c r="B47" s="22">
        <v>1.96</v>
      </c>
      <c r="C47" s="23">
        <v>1.96</v>
      </c>
      <c r="D47" s="23">
        <v>1.96</v>
      </c>
      <c r="E47" s="23">
        <v>1.96</v>
      </c>
      <c r="F47" s="23">
        <v>1.96</v>
      </c>
      <c r="G47" s="23">
        <v>1.96</v>
      </c>
      <c r="H47" s="23">
        <v>1.96</v>
      </c>
      <c r="I47" s="23">
        <v>1.96</v>
      </c>
      <c r="J47" s="23">
        <v>1.96</v>
      </c>
      <c r="K47" s="23">
        <v>1.96</v>
      </c>
      <c r="L47" s="23">
        <v>1.96</v>
      </c>
      <c r="M47" s="23">
        <v>9</v>
      </c>
      <c r="N47" s="23">
        <v>0.2</v>
      </c>
      <c r="O47" s="24">
        <v>4.0000000000000001E-3</v>
      </c>
    </row>
    <row r="48" spans="1:15" x14ac:dyDescent="0.25">
      <c r="A48" s="16" t="s">
        <v>42</v>
      </c>
      <c r="B48" s="22">
        <v>3.44</v>
      </c>
      <c r="C48" s="23">
        <v>3.44</v>
      </c>
      <c r="D48" s="23">
        <v>3.44</v>
      </c>
      <c r="E48" s="23">
        <v>3.44</v>
      </c>
      <c r="F48" s="23">
        <v>3.44</v>
      </c>
      <c r="G48" s="23">
        <v>3.44</v>
      </c>
      <c r="H48" s="23">
        <v>3.44</v>
      </c>
      <c r="I48" s="23">
        <v>3.44</v>
      </c>
      <c r="J48" s="23">
        <v>3.44</v>
      </c>
      <c r="K48" s="23">
        <v>3.44</v>
      </c>
      <c r="L48" s="23">
        <v>3.44</v>
      </c>
      <c r="M48" s="23">
        <v>10</v>
      </c>
      <c r="N48" s="23">
        <v>1.8</v>
      </c>
      <c r="O48" s="24">
        <v>4.2000000000000006E-3</v>
      </c>
    </row>
    <row r="49" spans="1:15" x14ac:dyDescent="0.25">
      <c r="A49" s="16" t="s">
        <v>43</v>
      </c>
      <c r="B49" s="22">
        <v>3.12</v>
      </c>
      <c r="C49" s="23">
        <v>3.12</v>
      </c>
      <c r="D49" s="23">
        <v>3.12</v>
      </c>
      <c r="E49" s="23">
        <v>3.12</v>
      </c>
      <c r="F49" s="23">
        <v>3.12</v>
      </c>
      <c r="G49" s="23">
        <v>3.12</v>
      </c>
      <c r="H49" s="23">
        <v>3.12</v>
      </c>
      <c r="I49" s="23">
        <v>3.12</v>
      </c>
      <c r="J49" s="23">
        <v>3.12</v>
      </c>
      <c r="K49" s="23">
        <v>3.12</v>
      </c>
      <c r="L49" s="23">
        <v>3.12</v>
      </c>
      <c r="M49" s="23">
        <v>10</v>
      </c>
      <c r="N49" s="23">
        <v>1.4</v>
      </c>
      <c r="O49" s="24">
        <v>4.1000000000000003E-3</v>
      </c>
    </row>
    <row r="50" spans="1:15" x14ac:dyDescent="0.25">
      <c r="A50" s="16" t="s">
        <v>44</v>
      </c>
      <c r="B50" s="22">
        <v>4.4000000000000004</v>
      </c>
      <c r="C50" s="23">
        <v>4.4000000000000004</v>
      </c>
      <c r="D50" s="23">
        <v>4.4000000000000004</v>
      </c>
      <c r="E50" s="23">
        <v>4.4000000000000004</v>
      </c>
      <c r="F50" s="23">
        <v>4.4000000000000004</v>
      </c>
      <c r="G50" s="23">
        <v>4.4000000000000004</v>
      </c>
      <c r="H50" s="23">
        <v>4.4000000000000004</v>
      </c>
      <c r="I50" s="23">
        <v>4.4000000000000004</v>
      </c>
      <c r="J50" s="23">
        <v>4.4000000000000004</v>
      </c>
      <c r="K50" s="23">
        <v>4.4000000000000004</v>
      </c>
      <c r="L50" s="23">
        <v>4.4000000000000004</v>
      </c>
      <c r="M50" s="23">
        <v>10</v>
      </c>
      <c r="N50" s="23">
        <v>3</v>
      </c>
      <c r="O50" s="24">
        <v>4.7999999999999996E-3</v>
      </c>
    </row>
    <row r="51" spans="1:15" x14ac:dyDescent="0.25">
      <c r="A51" s="16" t="s">
        <v>45</v>
      </c>
      <c r="B51" s="22">
        <v>3.56</v>
      </c>
      <c r="C51" s="23">
        <v>3.56</v>
      </c>
      <c r="D51" s="23">
        <v>3.56</v>
      </c>
      <c r="E51" s="23">
        <v>3.56</v>
      </c>
      <c r="F51" s="23">
        <v>3.56</v>
      </c>
      <c r="G51" s="23">
        <v>3.56</v>
      </c>
      <c r="H51" s="23">
        <v>3.56</v>
      </c>
      <c r="I51" s="23">
        <v>3.56</v>
      </c>
      <c r="J51" s="23">
        <v>3.56</v>
      </c>
      <c r="K51" s="23">
        <v>3.56</v>
      </c>
      <c r="L51" s="23">
        <v>3.56</v>
      </c>
      <c r="M51" s="23">
        <v>9</v>
      </c>
      <c r="N51" s="23">
        <v>2.2000000000000002</v>
      </c>
      <c r="O51" s="24">
        <v>4.0000000000000001E-3</v>
      </c>
    </row>
    <row r="52" spans="1:15" x14ac:dyDescent="0.25">
      <c r="A52" s="16" t="s">
        <v>46</v>
      </c>
      <c r="B52" s="22">
        <v>3</v>
      </c>
      <c r="C52" s="23">
        <v>3</v>
      </c>
      <c r="D52" s="23">
        <v>3</v>
      </c>
      <c r="E52" s="23">
        <v>3</v>
      </c>
      <c r="F52" s="23">
        <v>3</v>
      </c>
      <c r="G52" s="23">
        <v>3</v>
      </c>
      <c r="H52" s="23">
        <v>3</v>
      </c>
      <c r="I52" s="23">
        <v>3</v>
      </c>
      <c r="J52" s="23">
        <v>3</v>
      </c>
      <c r="K52" s="23">
        <v>3</v>
      </c>
      <c r="L52" s="23">
        <v>3</v>
      </c>
      <c r="M52" s="23">
        <v>11</v>
      </c>
      <c r="N52" s="23">
        <v>1</v>
      </c>
      <c r="O52" s="24">
        <v>5.0000000000000001E-3</v>
      </c>
    </row>
    <row r="53" spans="1:15" x14ac:dyDescent="0.25">
      <c r="A53" s="16" t="s">
        <v>47</v>
      </c>
      <c r="B53" s="22">
        <v>5.24</v>
      </c>
      <c r="C53" s="23">
        <v>5.24</v>
      </c>
      <c r="D53" s="23">
        <v>5.24</v>
      </c>
      <c r="E53" s="23">
        <v>5.24</v>
      </c>
      <c r="F53" s="23">
        <v>5.24</v>
      </c>
      <c r="G53" s="23">
        <v>5.24</v>
      </c>
      <c r="H53" s="23">
        <v>5.24</v>
      </c>
      <c r="I53" s="23">
        <v>5.2</v>
      </c>
      <c r="J53" s="23">
        <v>5.24</v>
      </c>
      <c r="K53" s="23">
        <v>5.24</v>
      </c>
      <c r="L53" s="23">
        <v>5.2</v>
      </c>
      <c r="M53" s="23">
        <v>10</v>
      </c>
      <c r="N53" s="23">
        <v>4</v>
      </c>
      <c r="O53" s="24">
        <v>5.0000000000000001E-3</v>
      </c>
    </row>
    <row r="54" spans="1:15" x14ac:dyDescent="0.25">
      <c r="A54" s="16" t="s">
        <v>48</v>
      </c>
      <c r="B54" s="22">
        <v>4</v>
      </c>
      <c r="C54" s="23">
        <v>4</v>
      </c>
      <c r="D54" s="23">
        <v>4</v>
      </c>
      <c r="E54" s="23">
        <v>4</v>
      </c>
      <c r="F54" s="23">
        <v>4</v>
      </c>
      <c r="G54" s="23">
        <v>4</v>
      </c>
      <c r="H54" s="23">
        <v>4</v>
      </c>
      <c r="I54" s="23">
        <v>4</v>
      </c>
      <c r="J54" s="23">
        <v>4</v>
      </c>
      <c r="K54" s="23">
        <v>4</v>
      </c>
      <c r="L54" s="23">
        <v>4</v>
      </c>
      <c r="M54" s="23">
        <v>12</v>
      </c>
      <c r="N54" s="23">
        <v>2</v>
      </c>
      <c r="O54" s="24">
        <v>5.1000000000000004E-3</v>
      </c>
    </row>
    <row r="55" spans="1:15" x14ac:dyDescent="0.25">
      <c r="A55" s="16" t="s">
        <v>49</v>
      </c>
      <c r="B55" s="22">
        <v>4.16</v>
      </c>
      <c r="C55" s="23">
        <v>4.16</v>
      </c>
      <c r="D55" s="23">
        <v>4.16</v>
      </c>
      <c r="E55" s="23">
        <v>4.16</v>
      </c>
      <c r="F55" s="23">
        <v>4.16</v>
      </c>
      <c r="G55" s="23">
        <v>4.16</v>
      </c>
      <c r="H55" s="23">
        <v>4.16</v>
      </c>
      <c r="I55" s="23">
        <v>4.16</v>
      </c>
      <c r="J55" s="23">
        <v>4.16</v>
      </c>
      <c r="K55" s="23">
        <v>4.16</v>
      </c>
      <c r="L55" s="23">
        <v>4.16</v>
      </c>
      <c r="M55" s="23">
        <v>8</v>
      </c>
      <c r="N55" s="23">
        <v>3.2</v>
      </c>
      <c r="O55" s="24">
        <v>4.0000000000000001E-3</v>
      </c>
    </row>
    <row r="56" spans="1:15" x14ac:dyDescent="0.25">
      <c r="A56" s="16" t="s">
        <v>50</v>
      </c>
      <c r="B56" s="22">
        <v>5.2</v>
      </c>
      <c r="C56" s="23">
        <v>5.2</v>
      </c>
      <c r="D56" s="23">
        <v>5.2</v>
      </c>
      <c r="E56" s="23">
        <v>5.2</v>
      </c>
      <c r="F56" s="23">
        <v>5.2</v>
      </c>
      <c r="G56" s="23">
        <v>5.2</v>
      </c>
      <c r="H56" s="23">
        <v>5.2</v>
      </c>
      <c r="I56" s="23">
        <v>5.2</v>
      </c>
      <c r="J56" s="23">
        <v>5.2</v>
      </c>
      <c r="K56" s="23">
        <v>5.2</v>
      </c>
      <c r="L56" s="23">
        <v>5.2</v>
      </c>
      <c r="M56" s="23">
        <v>14</v>
      </c>
      <c r="N56" s="23">
        <v>3</v>
      </c>
      <c r="O56" s="24">
        <v>5.2000000000000006E-3</v>
      </c>
    </row>
    <row r="57" spans="1:15" x14ac:dyDescent="0.25">
      <c r="A57" s="16" t="s">
        <v>51</v>
      </c>
      <c r="B57" s="22">
        <v>3.84</v>
      </c>
      <c r="C57" s="23">
        <v>3.84</v>
      </c>
      <c r="D57" s="23">
        <v>3.84</v>
      </c>
      <c r="E57" s="23">
        <v>3.84</v>
      </c>
      <c r="F57" s="23">
        <v>3.84</v>
      </c>
      <c r="G57" s="23">
        <v>3.84</v>
      </c>
      <c r="H57" s="23">
        <v>3.84</v>
      </c>
      <c r="I57" s="23">
        <v>3.84</v>
      </c>
      <c r="J57" s="23">
        <v>3.84</v>
      </c>
      <c r="K57" s="23">
        <v>3.84</v>
      </c>
      <c r="L57" s="23">
        <v>3.84</v>
      </c>
      <c r="M57" s="23">
        <v>8</v>
      </c>
      <c r="N57" s="23">
        <v>2.8</v>
      </c>
      <c r="O57" s="24">
        <v>4.4999999999999997E-3</v>
      </c>
    </row>
    <row r="58" spans="1:15" x14ac:dyDescent="0.25">
      <c r="A58" s="16" t="s">
        <v>52</v>
      </c>
      <c r="B58" s="22">
        <v>6.4</v>
      </c>
      <c r="C58" s="23">
        <v>6.4</v>
      </c>
      <c r="D58" s="23">
        <v>6.4</v>
      </c>
      <c r="E58" s="23">
        <v>6.4</v>
      </c>
      <c r="F58" s="23">
        <v>6.4</v>
      </c>
      <c r="G58" s="23">
        <v>6.4</v>
      </c>
      <c r="H58" s="23">
        <v>6.4</v>
      </c>
      <c r="I58" s="23">
        <v>6.4</v>
      </c>
      <c r="J58" s="23">
        <v>6.4</v>
      </c>
      <c r="K58" s="23">
        <v>6.4</v>
      </c>
      <c r="L58" s="23">
        <v>6.4</v>
      </c>
      <c r="M58" s="23">
        <v>12</v>
      </c>
      <c r="N58" s="23">
        <v>5</v>
      </c>
      <c r="O58" s="24">
        <v>6.0000000000000001E-3</v>
      </c>
    </row>
    <row r="59" spans="1:15" x14ac:dyDescent="0.25">
      <c r="A59" s="16" t="s">
        <v>53</v>
      </c>
      <c r="B59" s="22">
        <v>6.24</v>
      </c>
      <c r="C59" s="23">
        <v>6.24</v>
      </c>
      <c r="D59" s="23">
        <v>6.24</v>
      </c>
      <c r="E59" s="23">
        <v>6.24</v>
      </c>
      <c r="F59" s="23">
        <v>6.24</v>
      </c>
      <c r="G59" s="23">
        <v>6.24</v>
      </c>
      <c r="H59" s="23">
        <v>6.24</v>
      </c>
      <c r="I59" s="23">
        <v>6.24</v>
      </c>
      <c r="J59" s="23">
        <v>6.24</v>
      </c>
      <c r="K59" s="23">
        <v>6.24</v>
      </c>
      <c r="L59" s="23">
        <v>6.24</v>
      </c>
      <c r="M59" s="23">
        <v>12</v>
      </c>
      <c r="N59" s="23">
        <v>4.8</v>
      </c>
      <c r="O59" s="24">
        <v>6.0000000000000001E-3</v>
      </c>
    </row>
    <row r="60" spans="1:15" x14ac:dyDescent="0.25">
      <c r="A60" s="16" t="s">
        <v>54</v>
      </c>
      <c r="B60" s="22">
        <v>4.2</v>
      </c>
      <c r="C60" s="23">
        <v>4.2</v>
      </c>
      <c r="D60" s="23">
        <v>4.2</v>
      </c>
      <c r="E60" s="23">
        <v>4.2</v>
      </c>
      <c r="F60" s="23">
        <v>4.2</v>
      </c>
      <c r="G60" s="23">
        <v>4.2</v>
      </c>
      <c r="H60" s="23">
        <v>4.2</v>
      </c>
      <c r="I60" s="23">
        <v>4.2</v>
      </c>
      <c r="J60" s="23">
        <v>4.2</v>
      </c>
      <c r="K60" s="23">
        <v>4.2</v>
      </c>
      <c r="L60" s="23">
        <v>4.2</v>
      </c>
      <c r="M60" s="23">
        <v>13</v>
      </c>
      <c r="N60" s="23">
        <v>2</v>
      </c>
      <c r="O60" s="24">
        <v>6.5000000000000006E-3</v>
      </c>
    </row>
    <row r="61" spans="1:15" x14ac:dyDescent="0.25">
      <c r="A61" s="16" t="s">
        <v>55</v>
      </c>
      <c r="B61" s="22">
        <v>5</v>
      </c>
      <c r="C61" s="23">
        <v>5</v>
      </c>
      <c r="D61" s="23">
        <v>5</v>
      </c>
      <c r="E61" s="23">
        <v>5</v>
      </c>
      <c r="F61" s="23">
        <v>5</v>
      </c>
      <c r="G61" s="23">
        <v>5</v>
      </c>
      <c r="H61" s="23">
        <v>5</v>
      </c>
      <c r="I61" s="23">
        <v>5</v>
      </c>
      <c r="J61" s="23">
        <v>5</v>
      </c>
      <c r="K61" s="23">
        <v>5</v>
      </c>
      <c r="L61" s="23">
        <v>5</v>
      </c>
      <c r="M61" s="23">
        <v>9</v>
      </c>
      <c r="N61" s="23">
        <v>4</v>
      </c>
      <c r="O61" s="24">
        <v>4.8999999999999998E-3</v>
      </c>
    </row>
    <row r="62" spans="1:15" x14ac:dyDescent="0.25">
      <c r="A62" s="16" t="s">
        <v>56</v>
      </c>
      <c r="B62" s="22">
        <v>5.4</v>
      </c>
      <c r="C62" s="23">
        <v>5.4</v>
      </c>
      <c r="D62" s="23">
        <v>5.4</v>
      </c>
      <c r="E62" s="23">
        <v>5.4</v>
      </c>
      <c r="F62" s="23">
        <v>5.4</v>
      </c>
      <c r="G62" s="23">
        <v>5.4</v>
      </c>
      <c r="H62" s="23">
        <v>5.4</v>
      </c>
      <c r="I62" s="23">
        <v>5.4</v>
      </c>
      <c r="J62" s="23">
        <v>5.4</v>
      </c>
      <c r="K62" s="23">
        <v>5.4</v>
      </c>
      <c r="L62" s="23">
        <v>5.4</v>
      </c>
      <c r="M62" s="23">
        <v>11</v>
      </c>
      <c r="N62" s="23">
        <v>4</v>
      </c>
      <c r="O62" s="24">
        <v>6.0000000000000001E-3</v>
      </c>
    </row>
    <row r="63" spans="1:15" x14ac:dyDescent="0.25">
      <c r="A63" s="16" t="s">
        <v>57</v>
      </c>
      <c r="B63" s="22">
        <v>4.32</v>
      </c>
      <c r="C63" s="23">
        <v>4.32</v>
      </c>
      <c r="D63" s="23">
        <v>4.32</v>
      </c>
      <c r="E63" s="23">
        <v>4.32</v>
      </c>
      <c r="F63" s="23">
        <v>4.32</v>
      </c>
      <c r="G63" s="23">
        <v>4.32</v>
      </c>
      <c r="H63" s="23">
        <v>4.32</v>
      </c>
      <c r="I63" s="23">
        <v>4.32</v>
      </c>
      <c r="J63" s="23">
        <v>4.32</v>
      </c>
      <c r="K63" s="23">
        <v>4.32</v>
      </c>
      <c r="L63" s="23">
        <v>4.32</v>
      </c>
      <c r="M63" s="23">
        <v>8</v>
      </c>
      <c r="N63" s="23">
        <v>3.4</v>
      </c>
      <c r="O63" s="24">
        <v>4.7000000000000002E-3</v>
      </c>
    </row>
    <row r="64" spans="1:15" x14ac:dyDescent="0.25">
      <c r="A64" s="16" t="s">
        <v>58</v>
      </c>
      <c r="B64" s="22">
        <v>5.12</v>
      </c>
      <c r="C64" s="23">
        <v>5.12</v>
      </c>
      <c r="D64" s="23">
        <v>5.12</v>
      </c>
      <c r="E64" s="23">
        <v>5.12</v>
      </c>
      <c r="F64" s="23">
        <v>5.12</v>
      </c>
      <c r="G64" s="23">
        <v>5.12</v>
      </c>
      <c r="H64" s="23">
        <v>5.12</v>
      </c>
      <c r="I64" s="23">
        <v>5.12</v>
      </c>
      <c r="J64" s="23">
        <v>5.12</v>
      </c>
      <c r="K64" s="23">
        <v>5.12</v>
      </c>
      <c r="L64" s="23">
        <v>5.12</v>
      </c>
      <c r="M64" s="23">
        <v>12</v>
      </c>
      <c r="N64" s="23">
        <v>3.4</v>
      </c>
      <c r="O64" s="24">
        <v>6.0000000000000001E-3</v>
      </c>
    </row>
    <row r="65" spans="1:15" x14ac:dyDescent="0.25">
      <c r="A65" s="16" t="s">
        <v>59</v>
      </c>
      <c r="B65" s="22">
        <v>4.28</v>
      </c>
      <c r="C65" s="23">
        <v>4.28</v>
      </c>
      <c r="D65" s="23">
        <v>4.28</v>
      </c>
      <c r="E65" s="23">
        <v>4.28</v>
      </c>
      <c r="F65" s="23">
        <v>4.28</v>
      </c>
      <c r="G65" s="23">
        <v>4.28</v>
      </c>
      <c r="H65" s="23">
        <v>4.28</v>
      </c>
      <c r="I65" s="23">
        <v>4.28</v>
      </c>
      <c r="J65" s="23">
        <v>4.28</v>
      </c>
      <c r="K65" s="23">
        <v>4.28</v>
      </c>
      <c r="L65" s="23">
        <v>4.28</v>
      </c>
      <c r="M65" s="23">
        <v>11</v>
      </c>
      <c r="N65" s="23">
        <v>2.6</v>
      </c>
      <c r="O65" s="24">
        <v>5.0000000000000001E-3</v>
      </c>
    </row>
    <row r="66" spans="1:15" x14ac:dyDescent="0.25">
      <c r="A66" s="16" t="s">
        <v>60</v>
      </c>
      <c r="B66" s="22">
        <v>2.76</v>
      </c>
      <c r="C66" s="23">
        <v>2.76</v>
      </c>
      <c r="D66" s="23">
        <v>2.76</v>
      </c>
      <c r="E66" s="23">
        <v>2.76</v>
      </c>
      <c r="F66" s="23">
        <v>2.76</v>
      </c>
      <c r="G66" s="23">
        <v>2.76</v>
      </c>
      <c r="H66" s="23">
        <v>2.76</v>
      </c>
      <c r="I66" s="23">
        <v>2.76</v>
      </c>
      <c r="J66" s="23">
        <v>2.76</v>
      </c>
      <c r="K66" s="23">
        <v>2.76</v>
      </c>
      <c r="L66" s="23">
        <v>2.76</v>
      </c>
      <c r="M66" s="23">
        <v>9</v>
      </c>
      <c r="N66" s="23">
        <v>1.2</v>
      </c>
      <c r="O66" s="24">
        <v>5.0000000000000001E-3</v>
      </c>
    </row>
    <row r="67" spans="1:15" x14ac:dyDescent="0.25">
      <c r="A67" s="16" t="s">
        <v>61</v>
      </c>
      <c r="B67" s="22">
        <v>3.2</v>
      </c>
      <c r="C67" s="23">
        <v>3.2</v>
      </c>
      <c r="D67" s="23">
        <v>3.2</v>
      </c>
      <c r="E67" s="23">
        <v>3.2</v>
      </c>
      <c r="F67" s="23">
        <v>3.2</v>
      </c>
      <c r="G67" s="23">
        <v>3.2</v>
      </c>
      <c r="H67" s="23">
        <v>3.2</v>
      </c>
      <c r="I67" s="23">
        <v>3.2</v>
      </c>
      <c r="J67" s="23">
        <v>3.2</v>
      </c>
      <c r="K67" s="23">
        <v>3.2</v>
      </c>
      <c r="L67" s="23">
        <v>3.2</v>
      </c>
      <c r="M67" s="23">
        <v>8</v>
      </c>
      <c r="N67" s="23">
        <v>2</v>
      </c>
      <c r="O67" s="24">
        <v>8.9999999999999993E-3</v>
      </c>
    </row>
    <row r="68" spans="1:15" x14ac:dyDescent="0.25">
      <c r="A68" s="16" t="s">
        <v>62</v>
      </c>
      <c r="B68" s="22">
        <v>4.4400000000000004</v>
      </c>
      <c r="C68" s="23">
        <v>4.4400000000000004</v>
      </c>
      <c r="D68" s="23">
        <v>4.4400000000000004</v>
      </c>
      <c r="E68" s="23">
        <v>4.4400000000000004</v>
      </c>
      <c r="F68" s="23">
        <v>4.4400000000000004</v>
      </c>
      <c r="G68" s="23">
        <v>4.4400000000000004</v>
      </c>
      <c r="H68" s="23">
        <v>4.4400000000000004</v>
      </c>
      <c r="I68" s="23">
        <v>4.4400000000000004</v>
      </c>
      <c r="J68" s="23">
        <v>4.4400000000000004</v>
      </c>
      <c r="K68" s="23">
        <v>4.4400000000000004</v>
      </c>
      <c r="L68" s="23">
        <v>4.4400000000000004</v>
      </c>
      <c r="M68" s="23">
        <v>11</v>
      </c>
      <c r="N68" s="23">
        <v>2.8</v>
      </c>
      <c r="O68" s="24">
        <v>1.17E-2</v>
      </c>
    </row>
    <row r="69" spans="1:15" x14ac:dyDescent="0.25">
      <c r="A69" s="16" t="s">
        <v>63</v>
      </c>
      <c r="B69" s="22">
        <v>3.76</v>
      </c>
      <c r="C69" s="23">
        <v>3.76</v>
      </c>
      <c r="D69" s="23">
        <v>3.76</v>
      </c>
      <c r="E69" s="23">
        <v>3.76</v>
      </c>
      <c r="F69" s="23">
        <v>3.76</v>
      </c>
      <c r="G69" s="23">
        <v>3.76</v>
      </c>
      <c r="H69" s="23">
        <v>3.76</v>
      </c>
      <c r="I69" s="23">
        <v>3.76</v>
      </c>
      <c r="J69" s="23">
        <v>3.76</v>
      </c>
      <c r="K69" s="23">
        <v>3.76</v>
      </c>
      <c r="L69" s="23">
        <v>3.76</v>
      </c>
      <c r="M69" s="23">
        <v>10</v>
      </c>
      <c r="N69" s="23">
        <v>2.2000000000000002</v>
      </c>
      <c r="O69" s="24">
        <v>1.0699999999999999E-2</v>
      </c>
    </row>
    <row r="70" spans="1:15" x14ac:dyDescent="0.25">
      <c r="A70" s="16" t="s">
        <v>64</v>
      </c>
      <c r="B70" s="22">
        <v>5.44</v>
      </c>
      <c r="C70" s="23">
        <v>5.44</v>
      </c>
      <c r="D70" s="23">
        <v>5.44</v>
      </c>
      <c r="E70" s="23">
        <v>5.44</v>
      </c>
      <c r="F70" s="23">
        <v>5.44</v>
      </c>
      <c r="G70" s="23">
        <v>5.44</v>
      </c>
      <c r="H70" s="23">
        <v>5.44</v>
      </c>
      <c r="I70" s="23">
        <v>5.44</v>
      </c>
      <c r="J70" s="23">
        <v>5.44</v>
      </c>
      <c r="K70" s="23">
        <v>5.44</v>
      </c>
      <c r="L70" s="23">
        <v>5.44</v>
      </c>
      <c r="M70" s="23">
        <v>12</v>
      </c>
      <c r="N70" s="23">
        <v>3.8</v>
      </c>
      <c r="O70" s="24">
        <v>1.24E-2</v>
      </c>
    </row>
    <row r="71" spans="1:15" x14ac:dyDescent="0.25">
      <c r="A71" s="16" t="s">
        <v>65</v>
      </c>
      <c r="B71" s="22">
        <v>2.96</v>
      </c>
      <c r="C71" s="23">
        <v>2.96</v>
      </c>
      <c r="D71" s="23">
        <v>2.96</v>
      </c>
      <c r="E71" s="23">
        <v>2.92</v>
      </c>
      <c r="F71" s="23">
        <v>2.96</v>
      </c>
      <c r="G71" s="23">
        <v>2.96</v>
      </c>
      <c r="H71" s="23">
        <v>2.96</v>
      </c>
      <c r="I71" s="23">
        <v>2.92</v>
      </c>
      <c r="J71" s="23">
        <v>2.92</v>
      </c>
      <c r="K71" s="23">
        <v>2.96</v>
      </c>
      <c r="L71" s="23">
        <v>2.92</v>
      </c>
      <c r="M71" s="23">
        <v>9</v>
      </c>
      <c r="N71" s="23">
        <v>1.4</v>
      </c>
      <c r="O71" s="24">
        <v>0.01</v>
      </c>
    </row>
    <row r="72" spans="1:15" x14ac:dyDescent="0.25">
      <c r="A72" s="16" t="s">
        <v>66</v>
      </c>
      <c r="B72" s="22">
        <v>3.24</v>
      </c>
      <c r="C72" s="23">
        <v>3.24</v>
      </c>
      <c r="D72" s="23">
        <v>3.24</v>
      </c>
      <c r="E72" s="23">
        <v>3.24</v>
      </c>
      <c r="F72" s="23">
        <v>3.24</v>
      </c>
      <c r="G72" s="23">
        <v>3.24</v>
      </c>
      <c r="H72" s="23">
        <v>3.24</v>
      </c>
      <c r="I72" s="23">
        <v>3.24</v>
      </c>
      <c r="J72" s="23">
        <v>3.24</v>
      </c>
      <c r="K72" s="23">
        <v>3.24</v>
      </c>
      <c r="L72" s="23">
        <v>3.24</v>
      </c>
      <c r="M72" s="23">
        <v>9</v>
      </c>
      <c r="N72" s="23">
        <v>1.8</v>
      </c>
      <c r="O72" s="24">
        <v>9.1000000000000004E-3</v>
      </c>
    </row>
    <row r="73" spans="1:15" x14ac:dyDescent="0.25">
      <c r="A73" s="16" t="s">
        <v>67</v>
      </c>
      <c r="B73" s="22">
        <v>4.4000000000000004</v>
      </c>
      <c r="C73" s="23">
        <v>4.4000000000000004</v>
      </c>
      <c r="D73" s="23">
        <v>4.4000000000000004</v>
      </c>
      <c r="E73" s="23">
        <v>4.4000000000000004</v>
      </c>
      <c r="F73" s="23">
        <v>4.4000000000000004</v>
      </c>
      <c r="G73" s="23">
        <v>4.4000000000000004</v>
      </c>
      <c r="H73" s="23">
        <v>4.4000000000000004</v>
      </c>
      <c r="I73" s="23">
        <v>4.4000000000000004</v>
      </c>
      <c r="J73" s="23">
        <v>4.4000000000000004</v>
      </c>
      <c r="K73" s="23">
        <v>4.4000000000000004</v>
      </c>
      <c r="L73" s="23">
        <v>4.4000000000000004</v>
      </c>
      <c r="M73" s="23">
        <v>10</v>
      </c>
      <c r="N73" s="23">
        <v>3</v>
      </c>
      <c r="O73" s="24">
        <v>1.01E-2</v>
      </c>
    </row>
    <row r="74" spans="1:15" x14ac:dyDescent="0.25">
      <c r="A74" s="16" t="s">
        <v>68</v>
      </c>
      <c r="B74" s="22">
        <v>4</v>
      </c>
      <c r="C74" s="23">
        <v>4</v>
      </c>
      <c r="D74" s="23">
        <v>4</v>
      </c>
      <c r="E74" s="23">
        <v>4</v>
      </c>
      <c r="F74" s="23">
        <v>4</v>
      </c>
      <c r="G74" s="23">
        <v>4</v>
      </c>
      <c r="H74" s="23">
        <v>4</v>
      </c>
      <c r="I74" s="23">
        <v>4</v>
      </c>
      <c r="J74" s="23">
        <v>4</v>
      </c>
      <c r="K74" s="23">
        <v>4</v>
      </c>
      <c r="L74" s="23">
        <v>4</v>
      </c>
      <c r="M74" s="23">
        <v>12</v>
      </c>
      <c r="N74" s="23">
        <v>2</v>
      </c>
      <c r="O74" s="24">
        <v>1.2E-2</v>
      </c>
    </row>
    <row r="75" spans="1:15" x14ac:dyDescent="0.25">
      <c r="A75" s="16" t="s">
        <v>69</v>
      </c>
      <c r="B75" s="22">
        <v>3.4</v>
      </c>
      <c r="C75" s="23">
        <v>3.4</v>
      </c>
      <c r="D75" s="23">
        <v>3.4</v>
      </c>
      <c r="E75" s="23">
        <v>3.4</v>
      </c>
      <c r="F75" s="23">
        <v>3.4</v>
      </c>
      <c r="G75" s="23">
        <v>3.4</v>
      </c>
      <c r="H75" s="23">
        <v>3.4</v>
      </c>
      <c r="I75" s="23">
        <v>3.4</v>
      </c>
      <c r="J75" s="23">
        <v>3.4</v>
      </c>
      <c r="K75" s="23">
        <v>3.4</v>
      </c>
      <c r="L75" s="23">
        <v>3.4</v>
      </c>
      <c r="M75" s="23">
        <v>9</v>
      </c>
      <c r="N75" s="23">
        <v>2</v>
      </c>
      <c r="O75" s="24">
        <v>1.03E-2</v>
      </c>
    </row>
    <row r="76" spans="1:15" x14ac:dyDescent="0.25">
      <c r="A76" s="16" t="s">
        <v>70</v>
      </c>
      <c r="B76" s="22">
        <v>4.04</v>
      </c>
      <c r="C76" s="23">
        <v>3.88</v>
      </c>
      <c r="D76" s="23">
        <v>4.04</v>
      </c>
      <c r="E76" s="23">
        <v>4.04</v>
      </c>
      <c r="F76" s="23">
        <v>4.04</v>
      </c>
      <c r="G76" s="23">
        <v>4.04</v>
      </c>
      <c r="H76" s="23">
        <v>3.88</v>
      </c>
      <c r="I76" s="23">
        <v>3.88</v>
      </c>
      <c r="J76" s="23">
        <v>4.04</v>
      </c>
      <c r="K76" s="23">
        <v>4.04</v>
      </c>
      <c r="L76" s="23">
        <v>3.88</v>
      </c>
      <c r="M76" s="23">
        <v>9</v>
      </c>
      <c r="N76" s="23">
        <v>2.6</v>
      </c>
      <c r="O76" s="24">
        <v>9.7999999999999997E-3</v>
      </c>
    </row>
    <row r="77" spans="1:15" x14ac:dyDescent="0.25">
      <c r="A77" s="16" t="s">
        <v>71</v>
      </c>
      <c r="B77" s="22">
        <v>4.28</v>
      </c>
      <c r="C77" s="23">
        <v>4.28</v>
      </c>
      <c r="D77" s="23">
        <v>4.28</v>
      </c>
      <c r="E77" s="23">
        <v>4.28</v>
      </c>
      <c r="F77" s="23">
        <v>4.28</v>
      </c>
      <c r="G77" s="23">
        <v>4.28</v>
      </c>
      <c r="H77" s="23">
        <v>4.28</v>
      </c>
      <c r="I77" s="23">
        <v>4.28</v>
      </c>
      <c r="J77" s="23">
        <v>4.28</v>
      </c>
      <c r="K77" s="23">
        <v>4.28</v>
      </c>
      <c r="L77" s="23">
        <v>4.28</v>
      </c>
      <c r="M77" s="23">
        <v>11</v>
      </c>
      <c r="N77" s="23">
        <v>2.6</v>
      </c>
      <c r="O77" s="24">
        <v>1.7999999999999999E-2</v>
      </c>
    </row>
    <row r="78" spans="1:15" x14ac:dyDescent="0.25">
      <c r="A78" s="16" t="s">
        <v>72</v>
      </c>
      <c r="B78" s="22">
        <v>3.96</v>
      </c>
      <c r="C78" s="23">
        <v>3.96</v>
      </c>
      <c r="D78" s="23">
        <v>3.96</v>
      </c>
      <c r="E78" s="23">
        <v>3.96</v>
      </c>
      <c r="F78" s="23">
        <v>3.96</v>
      </c>
      <c r="G78" s="23">
        <v>3.96</v>
      </c>
      <c r="H78" s="23">
        <v>3.96</v>
      </c>
      <c r="I78" s="23">
        <v>3.96</v>
      </c>
      <c r="J78" s="23">
        <v>3.96</v>
      </c>
      <c r="K78" s="23">
        <v>3.96</v>
      </c>
      <c r="L78" s="23">
        <v>3.96</v>
      </c>
      <c r="M78" s="23">
        <v>11</v>
      </c>
      <c r="N78" s="23">
        <v>2.2000000000000002</v>
      </c>
      <c r="O78" s="24">
        <v>1.9099999999999999E-2</v>
      </c>
    </row>
    <row r="79" spans="1:15" x14ac:dyDescent="0.25">
      <c r="A79" s="16" t="s">
        <v>73</v>
      </c>
      <c r="B79" s="22">
        <v>3.96</v>
      </c>
      <c r="C79" s="23">
        <v>3.96</v>
      </c>
      <c r="D79" s="23">
        <v>3.96</v>
      </c>
      <c r="E79" s="23">
        <v>3.96</v>
      </c>
      <c r="F79" s="23">
        <v>3.96</v>
      </c>
      <c r="G79" s="23">
        <v>3.96</v>
      </c>
      <c r="H79" s="23">
        <v>3.96</v>
      </c>
      <c r="I79" s="23">
        <v>3.96</v>
      </c>
      <c r="J79" s="23">
        <v>3.96</v>
      </c>
      <c r="K79" s="23">
        <v>3.96</v>
      </c>
      <c r="L79" s="23">
        <v>3.96</v>
      </c>
      <c r="M79" s="23">
        <v>11</v>
      </c>
      <c r="N79" s="23">
        <v>2.2000000000000002</v>
      </c>
      <c r="O79" s="24">
        <v>1.84E-2</v>
      </c>
    </row>
    <row r="80" spans="1:15" x14ac:dyDescent="0.25">
      <c r="A80" s="16" t="s">
        <v>74</v>
      </c>
      <c r="B80" s="22">
        <v>2.88</v>
      </c>
      <c r="C80" s="23">
        <v>2.88</v>
      </c>
      <c r="D80" s="23">
        <v>2.88</v>
      </c>
      <c r="E80" s="23">
        <v>2.88</v>
      </c>
      <c r="F80" s="23">
        <v>2.88</v>
      </c>
      <c r="G80" s="23">
        <v>2.88</v>
      </c>
      <c r="H80" s="23">
        <v>2.88</v>
      </c>
      <c r="I80" s="23">
        <v>2.88</v>
      </c>
      <c r="J80" s="23">
        <v>2.88</v>
      </c>
      <c r="K80" s="23">
        <v>2.88</v>
      </c>
      <c r="L80" s="23">
        <v>2.88</v>
      </c>
      <c r="M80" s="23">
        <v>8</v>
      </c>
      <c r="N80" s="23">
        <v>1.6</v>
      </c>
      <c r="O80" s="24">
        <v>1.5100000000000001E-2</v>
      </c>
    </row>
    <row r="81" spans="1:15" x14ac:dyDescent="0.25">
      <c r="A81" s="16" t="s">
        <v>75</v>
      </c>
      <c r="B81" s="22">
        <v>3.4</v>
      </c>
      <c r="C81" s="23">
        <v>3.4</v>
      </c>
      <c r="D81" s="23">
        <v>3.4</v>
      </c>
      <c r="E81" s="23">
        <v>3.4</v>
      </c>
      <c r="F81" s="23">
        <v>3.4</v>
      </c>
      <c r="G81" s="23">
        <v>3.4</v>
      </c>
      <c r="H81" s="23">
        <v>3.4</v>
      </c>
      <c r="I81" s="23">
        <v>3.4</v>
      </c>
      <c r="J81" s="23">
        <v>3.4</v>
      </c>
      <c r="K81" s="23">
        <v>3.4</v>
      </c>
      <c r="L81" s="23">
        <v>3.4</v>
      </c>
      <c r="M81" s="23">
        <v>9</v>
      </c>
      <c r="N81" s="23">
        <v>2</v>
      </c>
      <c r="O81" s="24">
        <v>1.6299999999999999E-2</v>
      </c>
    </row>
    <row r="82" spans="1:15" x14ac:dyDescent="0.25">
      <c r="A82" s="16" t="s">
        <v>76</v>
      </c>
      <c r="B82" s="22">
        <v>5.08</v>
      </c>
      <c r="C82" s="23">
        <v>5.08</v>
      </c>
      <c r="D82" s="23">
        <v>5.08</v>
      </c>
      <c r="E82" s="23">
        <v>5.08</v>
      </c>
      <c r="F82" s="23">
        <v>5.08</v>
      </c>
      <c r="G82" s="23">
        <v>5.08</v>
      </c>
      <c r="H82" s="23">
        <v>5.08</v>
      </c>
      <c r="I82" s="23">
        <v>5.08</v>
      </c>
      <c r="J82" s="23">
        <v>5.08</v>
      </c>
      <c r="K82" s="23">
        <v>5.08</v>
      </c>
      <c r="L82" s="23">
        <v>5.08</v>
      </c>
      <c r="M82" s="23">
        <v>11</v>
      </c>
      <c r="N82" s="23">
        <v>3.6</v>
      </c>
      <c r="O82" s="24">
        <v>1.9099999999999999E-2</v>
      </c>
    </row>
    <row r="83" spans="1:15" x14ac:dyDescent="0.25">
      <c r="A83" s="16" t="s">
        <v>77</v>
      </c>
      <c r="B83" s="22">
        <v>4.04</v>
      </c>
      <c r="C83" s="23">
        <v>4.04</v>
      </c>
      <c r="D83" s="23">
        <v>4.2</v>
      </c>
      <c r="E83" s="23">
        <v>4.04</v>
      </c>
      <c r="F83" s="23">
        <v>4.04</v>
      </c>
      <c r="G83" s="23">
        <v>4.04</v>
      </c>
      <c r="H83" s="23">
        <v>4.04</v>
      </c>
      <c r="I83" s="23">
        <v>4.04</v>
      </c>
      <c r="J83" s="23">
        <v>4.04</v>
      </c>
      <c r="K83" s="23">
        <v>4.2</v>
      </c>
      <c r="L83" s="23">
        <v>4.04</v>
      </c>
      <c r="M83" s="23">
        <v>9</v>
      </c>
      <c r="N83" s="23">
        <v>2.8</v>
      </c>
      <c r="O83" s="24">
        <v>1.7000000000000001E-2</v>
      </c>
    </row>
    <row r="84" spans="1:15" x14ac:dyDescent="0.25">
      <c r="A84" s="16" t="s">
        <v>78</v>
      </c>
      <c r="B84" s="22">
        <v>2.6</v>
      </c>
      <c r="C84" s="23">
        <v>2.6</v>
      </c>
      <c r="D84" s="23">
        <v>2.6</v>
      </c>
      <c r="E84" s="23">
        <v>2.6</v>
      </c>
      <c r="F84" s="23">
        <v>2.6</v>
      </c>
      <c r="G84" s="23">
        <v>2.6</v>
      </c>
      <c r="H84" s="23">
        <v>2.6</v>
      </c>
      <c r="I84" s="23">
        <v>2.6</v>
      </c>
      <c r="J84" s="23">
        <v>2.6</v>
      </c>
      <c r="K84" s="23">
        <v>2.6</v>
      </c>
      <c r="L84" s="23">
        <v>2.6</v>
      </c>
      <c r="M84" s="23">
        <v>9</v>
      </c>
      <c r="N84" s="23">
        <v>1</v>
      </c>
      <c r="O84" s="24">
        <v>1.4999999999999999E-2</v>
      </c>
    </row>
    <row r="85" spans="1:15" x14ac:dyDescent="0.25">
      <c r="A85" s="16" t="s">
        <v>79</v>
      </c>
      <c r="B85" s="68">
        <v>5.28</v>
      </c>
      <c r="C85" s="69">
        <v>5.28</v>
      </c>
      <c r="D85" s="69">
        <v>5.28</v>
      </c>
      <c r="E85" s="69">
        <v>5.08</v>
      </c>
      <c r="F85" s="69">
        <v>5.28</v>
      </c>
      <c r="G85" s="69">
        <v>5.28</v>
      </c>
      <c r="H85" s="69">
        <v>5.28</v>
      </c>
      <c r="I85" s="69">
        <v>5.28</v>
      </c>
      <c r="J85" s="69">
        <v>5.28</v>
      </c>
      <c r="K85" s="69">
        <v>5.28</v>
      </c>
      <c r="L85" s="69">
        <v>5.08</v>
      </c>
      <c r="M85" s="23">
        <v>11</v>
      </c>
      <c r="N85" s="23">
        <v>3.6</v>
      </c>
      <c r="O85" s="24">
        <v>1.9900000000000001E-2</v>
      </c>
    </row>
    <row r="86" spans="1:15" x14ac:dyDescent="0.25">
      <c r="A86" s="16" t="s">
        <v>80</v>
      </c>
      <c r="B86" s="68">
        <v>5.68</v>
      </c>
      <c r="C86" s="69">
        <v>5.84</v>
      </c>
      <c r="D86" s="69">
        <v>5.68</v>
      </c>
      <c r="E86" s="69">
        <v>5.84</v>
      </c>
      <c r="F86" s="69">
        <v>5.84</v>
      </c>
      <c r="G86" s="69">
        <v>5.68</v>
      </c>
      <c r="H86" s="69">
        <v>5.84</v>
      </c>
      <c r="I86" s="69">
        <v>5.84</v>
      </c>
      <c r="J86" s="69">
        <v>5.68</v>
      </c>
      <c r="K86" s="69">
        <v>5.84</v>
      </c>
      <c r="L86" s="69">
        <v>5.68</v>
      </c>
      <c r="M86" s="23">
        <v>10</v>
      </c>
      <c r="N86" s="23">
        <v>4.5999999999999996</v>
      </c>
      <c r="O86" s="24">
        <v>1.9300000000000001E-2</v>
      </c>
    </row>
    <row r="87" spans="1:15" x14ac:dyDescent="0.25">
      <c r="A87" s="16" t="s">
        <v>81</v>
      </c>
      <c r="B87" s="22">
        <v>2.6</v>
      </c>
      <c r="C87" s="23">
        <v>2.6</v>
      </c>
      <c r="D87" s="23">
        <v>2.6</v>
      </c>
      <c r="E87" s="23">
        <v>2.6</v>
      </c>
      <c r="F87" s="23">
        <v>2.6</v>
      </c>
      <c r="G87" s="23">
        <v>2.6</v>
      </c>
      <c r="H87" s="23">
        <v>2.6</v>
      </c>
      <c r="I87" s="23">
        <v>2.6</v>
      </c>
      <c r="J87" s="23">
        <v>2.6</v>
      </c>
      <c r="K87" s="23">
        <v>2.6</v>
      </c>
      <c r="L87" s="23">
        <v>2.6</v>
      </c>
      <c r="M87" s="23">
        <v>9</v>
      </c>
      <c r="N87" s="23">
        <v>1</v>
      </c>
      <c r="O87" s="24">
        <v>1.7899999999999999E-2</v>
      </c>
    </row>
    <row r="88" spans="1:15" x14ac:dyDescent="0.25">
      <c r="A88" s="16" t="s">
        <v>82</v>
      </c>
      <c r="B88" s="22">
        <v>2.52</v>
      </c>
      <c r="C88" s="23">
        <v>2.52</v>
      </c>
      <c r="D88" s="23">
        <v>2.52</v>
      </c>
      <c r="E88" s="23">
        <v>2.52</v>
      </c>
      <c r="F88" s="23">
        <v>2.52</v>
      </c>
      <c r="G88" s="23">
        <v>2.52</v>
      </c>
      <c r="H88" s="23">
        <v>2.52</v>
      </c>
      <c r="I88" s="23">
        <v>2.52</v>
      </c>
      <c r="J88" s="23">
        <v>2.52</v>
      </c>
      <c r="K88" s="23">
        <v>2.52</v>
      </c>
      <c r="L88" s="23">
        <v>2.52</v>
      </c>
      <c r="M88" s="23">
        <v>7</v>
      </c>
      <c r="N88" s="23">
        <v>1.4</v>
      </c>
      <c r="O88" s="24">
        <v>1.6400000000000001E-2</v>
      </c>
    </row>
    <row r="89" spans="1:15" x14ac:dyDescent="0.25">
      <c r="A89" s="16" t="s">
        <v>83</v>
      </c>
      <c r="B89" s="22">
        <v>3.24</v>
      </c>
      <c r="C89" s="23">
        <v>3.24</v>
      </c>
      <c r="D89" s="23">
        <v>3.24</v>
      </c>
      <c r="E89" s="23">
        <v>3.24</v>
      </c>
      <c r="F89" s="23">
        <v>3.24</v>
      </c>
      <c r="G89" s="23">
        <v>3.24</v>
      </c>
      <c r="H89" s="23">
        <v>3.24</v>
      </c>
      <c r="I89" s="23">
        <v>3.24</v>
      </c>
      <c r="J89" s="23">
        <v>3.24</v>
      </c>
      <c r="K89" s="23">
        <v>3.24</v>
      </c>
      <c r="L89" s="23">
        <v>3.24</v>
      </c>
      <c r="M89" s="23">
        <v>9</v>
      </c>
      <c r="N89" s="23">
        <v>1.8</v>
      </c>
      <c r="O89" s="24">
        <v>1.9E-2</v>
      </c>
    </row>
    <row r="90" spans="1:15" x14ac:dyDescent="0.25">
      <c r="A90" s="16" t="s">
        <v>84</v>
      </c>
      <c r="B90" s="22">
        <v>5.2</v>
      </c>
      <c r="C90" s="23">
        <v>5.2</v>
      </c>
      <c r="D90" s="23">
        <v>5.2</v>
      </c>
      <c r="E90" s="23">
        <v>5.2</v>
      </c>
      <c r="F90" s="23">
        <v>5.2</v>
      </c>
      <c r="G90" s="23">
        <v>5.2</v>
      </c>
      <c r="H90" s="23">
        <v>5.2</v>
      </c>
      <c r="I90" s="23">
        <v>5.2</v>
      </c>
      <c r="J90" s="23">
        <v>5.2</v>
      </c>
      <c r="K90" s="23">
        <v>5.2</v>
      </c>
      <c r="L90" s="23">
        <v>5.2</v>
      </c>
      <c r="M90" s="23">
        <v>10</v>
      </c>
      <c r="N90" s="23">
        <v>4</v>
      </c>
      <c r="O90" s="24">
        <v>2.23E-2</v>
      </c>
    </row>
    <row r="91" spans="1:15" x14ac:dyDescent="0.25">
      <c r="A91" s="16" t="s">
        <v>85</v>
      </c>
      <c r="B91" s="22">
        <v>4.12</v>
      </c>
      <c r="C91" s="23">
        <v>4.12</v>
      </c>
      <c r="D91" s="23">
        <v>4.12</v>
      </c>
      <c r="E91" s="23">
        <v>4.12</v>
      </c>
      <c r="F91" s="23">
        <v>4.12</v>
      </c>
      <c r="G91" s="23">
        <v>4.12</v>
      </c>
      <c r="H91" s="23">
        <v>4.12</v>
      </c>
      <c r="I91" s="23">
        <v>4.12</v>
      </c>
      <c r="J91" s="23">
        <v>4.12</v>
      </c>
      <c r="K91" s="23">
        <v>4.12</v>
      </c>
      <c r="L91" s="23">
        <v>4.12</v>
      </c>
      <c r="M91" s="23">
        <v>11</v>
      </c>
      <c r="N91" s="23">
        <v>2.4</v>
      </c>
      <c r="O91" s="24">
        <v>2.2200000000000001E-2</v>
      </c>
    </row>
    <row r="92" spans="1:15" x14ac:dyDescent="0.25">
      <c r="A92" s="16" t="s">
        <v>86</v>
      </c>
      <c r="B92" s="22">
        <v>1.6</v>
      </c>
      <c r="C92" s="23">
        <v>1.6</v>
      </c>
      <c r="D92" s="23">
        <v>1.6</v>
      </c>
      <c r="E92" s="23">
        <v>1.6</v>
      </c>
      <c r="F92" s="23">
        <v>1.6</v>
      </c>
      <c r="G92" s="23">
        <v>1.6</v>
      </c>
      <c r="H92" s="23">
        <v>1.6</v>
      </c>
      <c r="I92" s="23">
        <v>1.6</v>
      </c>
      <c r="J92" s="23">
        <v>1.6</v>
      </c>
      <c r="K92" s="23">
        <v>1.6</v>
      </c>
      <c r="L92" s="23">
        <v>1.6</v>
      </c>
      <c r="M92" s="23">
        <v>8</v>
      </c>
      <c r="N92" s="23">
        <v>0</v>
      </c>
      <c r="O92" s="24">
        <v>1.5599999999999999E-2</v>
      </c>
    </row>
    <row r="93" spans="1:15" x14ac:dyDescent="0.25">
      <c r="A93" s="16" t="s">
        <v>87</v>
      </c>
      <c r="B93" s="22">
        <v>3.6</v>
      </c>
      <c r="C93" s="23">
        <v>3.6</v>
      </c>
      <c r="D93" s="23">
        <v>3.6</v>
      </c>
      <c r="E93" s="23">
        <v>3.6</v>
      </c>
      <c r="F93" s="23">
        <v>3.6</v>
      </c>
      <c r="G93" s="23">
        <v>3.6</v>
      </c>
      <c r="H93" s="23">
        <v>3.6</v>
      </c>
      <c r="I93" s="23">
        <v>3.6</v>
      </c>
      <c r="J93" s="23">
        <v>3.6</v>
      </c>
      <c r="K93" s="23">
        <v>3.6</v>
      </c>
      <c r="L93" s="23">
        <v>3.6</v>
      </c>
      <c r="M93" s="23">
        <v>10</v>
      </c>
      <c r="N93" s="23">
        <v>2</v>
      </c>
      <c r="O93" s="24">
        <v>2.07E-2</v>
      </c>
    </row>
    <row r="94" spans="1:15" x14ac:dyDescent="0.25">
      <c r="A94" s="16" t="s">
        <v>88</v>
      </c>
      <c r="B94" s="22">
        <v>4.84</v>
      </c>
      <c r="C94" s="23">
        <v>4.84</v>
      </c>
      <c r="D94" s="23">
        <v>4.84</v>
      </c>
      <c r="E94" s="23">
        <v>4.84</v>
      </c>
      <c r="F94" s="23">
        <v>4.84</v>
      </c>
      <c r="G94" s="23">
        <v>4.84</v>
      </c>
      <c r="H94" s="23">
        <v>4.84</v>
      </c>
      <c r="I94" s="23">
        <v>4.84</v>
      </c>
      <c r="J94" s="23">
        <v>4.84</v>
      </c>
      <c r="K94" s="23">
        <v>4.84</v>
      </c>
      <c r="L94" s="23">
        <v>4.84</v>
      </c>
      <c r="M94" s="23">
        <v>13</v>
      </c>
      <c r="N94" s="23">
        <v>2.8</v>
      </c>
      <c r="O94" s="24">
        <v>2.4500000000000001E-2</v>
      </c>
    </row>
    <row r="95" spans="1:15" x14ac:dyDescent="0.25">
      <c r="A95" s="16" t="s">
        <v>89</v>
      </c>
      <c r="B95" s="22">
        <v>4.12</v>
      </c>
      <c r="C95" s="23">
        <v>4.12</v>
      </c>
      <c r="D95" s="23">
        <v>4.12</v>
      </c>
      <c r="E95" s="23">
        <v>4.16</v>
      </c>
      <c r="F95" s="23">
        <v>4.12</v>
      </c>
      <c r="G95" s="23">
        <v>4.12</v>
      </c>
      <c r="H95" s="23">
        <v>4.12</v>
      </c>
      <c r="I95" s="23">
        <v>4.12</v>
      </c>
      <c r="J95" s="23">
        <v>4.12</v>
      </c>
      <c r="K95" s="23">
        <v>4.12</v>
      </c>
      <c r="L95" s="23">
        <v>4.12</v>
      </c>
      <c r="M95" s="23">
        <v>11</v>
      </c>
      <c r="N95" s="23">
        <v>2.4</v>
      </c>
      <c r="O95" s="24">
        <v>2.4299999999999999E-2</v>
      </c>
    </row>
    <row r="96" spans="1:15" x14ac:dyDescent="0.25">
      <c r="A96" s="16" t="s">
        <v>90</v>
      </c>
      <c r="B96" s="22">
        <v>4.12</v>
      </c>
      <c r="C96" s="23">
        <v>4.12</v>
      </c>
      <c r="D96" s="23">
        <v>4.12</v>
      </c>
      <c r="E96" s="23">
        <v>4.12</v>
      </c>
      <c r="F96" s="23">
        <v>4.12</v>
      </c>
      <c r="G96" s="23">
        <v>4.12</v>
      </c>
      <c r="H96" s="23">
        <v>4.12</v>
      </c>
      <c r="I96" s="23">
        <v>4.12</v>
      </c>
      <c r="J96" s="23">
        <v>4.12</v>
      </c>
      <c r="K96" s="23">
        <v>4.12</v>
      </c>
      <c r="L96" s="23">
        <v>4.12</v>
      </c>
      <c r="M96" s="23">
        <v>11</v>
      </c>
      <c r="N96" s="23">
        <v>2.4</v>
      </c>
      <c r="O96" s="24">
        <v>2.3900000000000001E-2</v>
      </c>
    </row>
    <row r="97" spans="1:15" x14ac:dyDescent="0.25">
      <c r="A97" s="16" t="s">
        <v>91</v>
      </c>
      <c r="B97" s="22">
        <v>4.68</v>
      </c>
      <c r="C97" s="23">
        <v>4.68</v>
      </c>
      <c r="D97" s="23">
        <v>4.68</v>
      </c>
      <c r="E97" s="23">
        <v>4.68</v>
      </c>
      <c r="F97" s="23">
        <v>4.68</v>
      </c>
      <c r="G97" s="23">
        <v>4.68</v>
      </c>
      <c r="H97" s="23">
        <v>4.68</v>
      </c>
      <c r="I97" s="23">
        <v>4.68</v>
      </c>
      <c r="J97" s="23">
        <v>4.68</v>
      </c>
      <c r="K97" s="23">
        <v>4.68</v>
      </c>
      <c r="L97" s="23">
        <v>4.68</v>
      </c>
      <c r="M97" s="23">
        <v>13</v>
      </c>
      <c r="N97" s="23">
        <v>2.6</v>
      </c>
      <c r="O97" s="24">
        <v>3.8999999999999998E-3</v>
      </c>
    </row>
    <row r="98" spans="1:15" x14ac:dyDescent="0.25">
      <c r="A98" s="16" t="s">
        <v>92</v>
      </c>
      <c r="B98" s="22">
        <v>5</v>
      </c>
      <c r="C98" s="23">
        <v>5</v>
      </c>
      <c r="D98" s="23">
        <v>5</v>
      </c>
      <c r="E98" s="23">
        <v>5</v>
      </c>
      <c r="F98" s="23">
        <v>5</v>
      </c>
      <c r="G98" s="23">
        <v>5</v>
      </c>
      <c r="H98" s="23">
        <v>5</v>
      </c>
      <c r="I98" s="23">
        <v>5</v>
      </c>
      <c r="J98" s="23">
        <v>5</v>
      </c>
      <c r="K98" s="23">
        <v>5</v>
      </c>
      <c r="L98" s="23">
        <v>5</v>
      </c>
      <c r="M98" s="23">
        <v>13</v>
      </c>
      <c r="N98" s="23">
        <v>3</v>
      </c>
      <c r="O98" s="24">
        <v>3.0999999999999999E-3</v>
      </c>
    </row>
    <row r="99" spans="1:15" x14ac:dyDescent="0.25">
      <c r="A99" s="16" t="s">
        <v>93</v>
      </c>
      <c r="B99" s="22">
        <v>3.76</v>
      </c>
      <c r="C99" s="23">
        <v>3.76</v>
      </c>
      <c r="D99" s="23">
        <v>3.76</v>
      </c>
      <c r="E99" s="23">
        <v>3.76</v>
      </c>
      <c r="F99" s="23">
        <v>3.76</v>
      </c>
      <c r="G99" s="23">
        <v>3.76</v>
      </c>
      <c r="H99" s="23">
        <v>3.76</v>
      </c>
      <c r="I99" s="23">
        <v>3.76</v>
      </c>
      <c r="J99" s="23">
        <v>3.76</v>
      </c>
      <c r="K99" s="23">
        <v>3.76</v>
      </c>
      <c r="L99" s="23">
        <v>3.76</v>
      </c>
      <c r="M99" s="23">
        <v>10</v>
      </c>
      <c r="N99" s="23">
        <v>2.2000000000000002</v>
      </c>
      <c r="O99" s="24">
        <v>3.0000000000000001E-3</v>
      </c>
    </row>
    <row r="100" spans="1:15" x14ac:dyDescent="0.25">
      <c r="A100" s="16" t="s">
        <v>94</v>
      </c>
      <c r="B100" s="22">
        <v>4.68</v>
      </c>
      <c r="C100" s="23">
        <v>4.68</v>
      </c>
      <c r="D100" s="23">
        <v>4.68</v>
      </c>
      <c r="E100" s="23">
        <v>4.68</v>
      </c>
      <c r="F100" s="23">
        <v>4.68</v>
      </c>
      <c r="G100" s="23">
        <v>4.68</v>
      </c>
      <c r="H100" s="23">
        <v>4.68</v>
      </c>
      <c r="I100" s="23">
        <v>4.68</v>
      </c>
      <c r="J100" s="23">
        <v>4.68</v>
      </c>
      <c r="K100" s="23">
        <v>4.68</v>
      </c>
      <c r="L100" s="23">
        <v>4.68</v>
      </c>
      <c r="M100" s="23">
        <v>9</v>
      </c>
      <c r="N100" s="23">
        <v>3.6</v>
      </c>
      <c r="O100" s="24">
        <v>3.0000000000000001E-3</v>
      </c>
    </row>
    <row r="101" spans="1:15" x14ac:dyDescent="0.25">
      <c r="A101" s="16" t="s">
        <v>95</v>
      </c>
      <c r="B101" s="22">
        <v>5.52</v>
      </c>
      <c r="C101" s="23">
        <v>5.52</v>
      </c>
      <c r="D101" s="23">
        <v>5.52</v>
      </c>
      <c r="E101" s="23">
        <v>5.52</v>
      </c>
      <c r="F101" s="23">
        <v>5.52</v>
      </c>
      <c r="G101" s="23">
        <v>5.52</v>
      </c>
      <c r="H101" s="23">
        <v>5.52</v>
      </c>
      <c r="I101" s="23">
        <v>5.52</v>
      </c>
      <c r="J101" s="23">
        <v>5.52</v>
      </c>
      <c r="K101" s="23">
        <v>5.52</v>
      </c>
      <c r="L101" s="23">
        <v>5.52</v>
      </c>
      <c r="M101" s="23">
        <v>14</v>
      </c>
      <c r="N101" s="23">
        <v>3.4</v>
      </c>
      <c r="O101" s="24">
        <v>4.0000000000000001E-3</v>
      </c>
    </row>
    <row r="102" spans="1:15" x14ac:dyDescent="0.25">
      <c r="A102" s="16" t="s">
        <v>96</v>
      </c>
      <c r="B102" s="22">
        <v>3.24</v>
      </c>
      <c r="C102" s="23">
        <v>3.24</v>
      </c>
      <c r="D102" s="23">
        <v>3.24</v>
      </c>
      <c r="E102" s="23">
        <v>3.24</v>
      </c>
      <c r="F102" s="23">
        <v>3.24</v>
      </c>
      <c r="G102" s="23">
        <v>3.24</v>
      </c>
      <c r="H102" s="23">
        <v>3.24</v>
      </c>
      <c r="I102" s="23">
        <v>3.24</v>
      </c>
      <c r="J102" s="23">
        <v>3.24</v>
      </c>
      <c r="K102" s="23">
        <v>3.24</v>
      </c>
      <c r="L102" s="23">
        <v>3.24</v>
      </c>
      <c r="M102" s="23">
        <v>9</v>
      </c>
      <c r="N102" s="23">
        <v>1.8</v>
      </c>
      <c r="O102" s="24">
        <v>3.0000000000000001E-3</v>
      </c>
    </row>
    <row r="103" spans="1:15" x14ac:dyDescent="0.25">
      <c r="A103" s="16" t="s">
        <v>97</v>
      </c>
      <c r="B103" s="22">
        <v>4.2</v>
      </c>
      <c r="C103" s="23">
        <v>4.2</v>
      </c>
      <c r="D103" s="23">
        <v>4.2</v>
      </c>
      <c r="E103" s="23">
        <v>4.2</v>
      </c>
      <c r="F103" s="23">
        <v>4.2</v>
      </c>
      <c r="G103" s="23">
        <v>4.2</v>
      </c>
      <c r="H103" s="23">
        <v>4.2</v>
      </c>
      <c r="I103" s="23">
        <v>4.2</v>
      </c>
      <c r="J103" s="23">
        <v>4.2</v>
      </c>
      <c r="K103" s="23">
        <v>4.2</v>
      </c>
      <c r="L103" s="23">
        <v>4.2</v>
      </c>
      <c r="M103" s="23">
        <v>9</v>
      </c>
      <c r="N103" s="23">
        <v>3</v>
      </c>
      <c r="O103" s="24">
        <v>3.0000000000000001E-3</v>
      </c>
    </row>
    <row r="104" spans="1:15" x14ac:dyDescent="0.25">
      <c r="A104" s="16" t="s">
        <v>98</v>
      </c>
      <c r="B104" s="22">
        <v>4.4400000000000004</v>
      </c>
      <c r="C104" s="23">
        <v>4.4400000000000004</v>
      </c>
      <c r="D104" s="23">
        <v>4.4400000000000004</v>
      </c>
      <c r="E104" s="23">
        <v>4.4400000000000004</v>
      </c>
      <c r="F104" s="23">
        <v>4.4400000000000004</v>
      </c>
      <c r="G104" s="23">
        <v>4.4400000000000004</v>
      </c>
      <c r="H104" s="23">
        <v>4.4400000000000004</v>
      </c>
      <c r="I104" s="23">
        <v>4.4400000000000004</v>
      </c>
      <c r="J104" s="23">
        <v>4.4400000000000004</v>
      </c>
      <c r="K104" s="23">
        <v>4.4400000000000004</v>
      </c>
      <c r="L104" s="23">
        <v>4.4400000000000004</v>
      </c>
      <c r="M104" s="23">
        <v>11</v>
      </c>
      <c r="N104" s="23">
        <v>2.8</v>
      </c>
      <c r="O104" s="24">
        <v>3.0000000000000001E-3</v>
      </c>
    </row>
    <row r="105" spans="1:15" x14ac:dyDescent="0.25">
      <c r="A105" s="16" t="s">
        <v>99</v>
      </c>
      <c r="B105" s="22">
        <v>3.2</v>
      </c>
      <c r="C105" s="23">
        <v>3.2</v>
      </c>
      <c r="D105" s="23">
        <v>3.2</v>
      </c>
      <c r="E105" s="23">
        <v>3.2</v>
      </c>
      <c r="F105" s="23">
        <v>3.2</v>
      </c>
      <c r="G105" s="23">
        <v>3.2</v>
      </c>
      <c r="H105" s="23">
        <v>3.2</v>
      </c>
      <c r="I105" s="23">
        <v>3.2</v>
      </c>
      <c r="J105" s="23">
        <v>3.2</v>
      </c>
      <c r="K105" s="23">
        <v>3.2</v>
      </c>
      <c r="L105" s="23">
        <v>3.2</v>
      </c>
      <c r="M105" s="23">
        <v>12</v>
      </c>
      <c r="N105" s="23">
        <v>1</v>
      </c>
      <c r="O105" s="24">
        <v>3.0000000000000001E-3</v>
      </c>
    </row>
    <row r="106" spans="1:15" x14ac:dyDescent="0.25">
      <c r="A106" s="16" t="s">
        <v>100</v>
      </c>
      <c r="B106" s="22">
        <v>4.2</v>
      </c>
      <c r="C106" s="23">
        <v>4.2</v>
      </c>
      <c r="D106" s="23">
        <v>4.2</v>
      </c>
      <c r="E106" s="23">
        <v>4.2</v>
      </c>
      <c r="F106" s="23">
        <v>4.2</v>
      </c>
      <c r="G106" s="23">
        <v>4.2</v>
      </c>
      <c r="H106" s="23">
        <v>4.2</v>
      </c>
      <c r="I106" s="23">
        <v>4.2</v>
      </c>
      <c r="J106" s="23">
        <v>4.2</v>
      </c>
      <c r="K106" s="23">
        <v>4.3600000000000003</v>
      </c>
      <c r="L106" s="23">
        <v>4.2</v>
      </c>
      <c r="M106" s="23">
        <v>9</v>
      </c>
      <c r="N106" s="23">
        <v>3</v>
      </c>
      <c r="O106" s="24">
        <v>3.0000000000000001E-3</v>
      </c>
    </row>
    <row r="107" spans="1:15" x14ac:dyDescent="0.25">
      <c r="A107" s="16" t="s">
        <v>101</v>
      </c>
      <c r="B107" s="22">
        <v>3.12</v>
      </c>
      <c r="C107" s="23">
        <v>3.12</v>
      </c>
      <c r="D107" s="23">
        <v>3.12</v>
      </c>
      <c r="E107" s="23">
        <v>3.12</v>
      </c>
      <c r="F107" s="23">
        <v>3.12</v>
      </c>
      <c r="G107" s="23">
        <v>3.12</v>
      </c>
      <c r="H107" s="23">
        <v>3.12</v>
      </c>
      <c r="I107" s="23">
        <v>3.12</v>
      </c>
      <c r="J107" s="23">
        <v>3.12</v>
      </c>
      <c r="K107" s="23">
        <v>3.12</v>
      </c>
      <c r="L107" s="23">
        <v>3.12</v>
      </c>
      <c r="M107" s="23">
        <v>10</v>
      </c>
      <c r="N107" s="23">
        <v>1.4</v>
      </c>
      <c r="O107" s="24">
        <v>2.98E-2</v>
      </c>
    </row>
    <row r="108" spans="1:15" x14ac:dyDescent="0.25">
      <c r="A108" s="16" t="s">
        <v>102</v>
      </c>
      <c r="B108" s="22">
        <v>6.2</v>
      </c>
      <c r="C108" s="23">
        <v>6.2</v>
      </c>
      <c r="D108" s="23">
        <v>6.2</v>
      </c>
      <c r="E108" s="23">
        <v>6.2</v>
      </c>
      <c r="F108" s="23">
        <v>6.2</v>
      </c>
      <c r="G108" s="23">
        <v>6.2</v>
      </c>
      <c r="H108" s="23">
        <v>6.2</v>
      </c>
      <c r="I108" s="23">
        <v>6.2</v>
      </c>
      <c r="J108" s="23">
        <v>6.2</v>
      </c>
      <c r="K108" s="23">
        <v>6.2</v>
      </c>
      <c r="L108" s="23">
        <v>6.2</v>
      </c>
      <c r="M108" s="23">
        <v>11</v>
      </c>
      <c r="N108" s="23">
        <v>5</v>
      </c>
      <c r="O108" s="24">
        <v>3.4100000000000012E-2</v>
      </c>
    </row>
    <row r="109" spans="1:15" x14ac:dyDescent="0.25">
      <c r="A109" s="16" t="s">
        <v>103</v>
      </c>
      <c r="B109" s="22">
        <v>3.24</v>
      </c>
      <c r="C109" s="23">
        <v>3.24</v>
      </c>
      <c r="D109" s="23">
        <v>3.24</v>
      </c>
      <c r="E109" s="23">
        <v>3.24</v>
      </c>
      <c r="F109" s="23">
        <v>3.24</v>
      </c>
      <c r="G109" s="23">
        <v>3.24</v>
      </c>
      <c r="H109" s="23">
        <v>3.24</v>
      </c>
      <c r="I109" s="23">
        <v>3.24</v>
      </c>
      <c r="J109" s="23">
        <v>3.24</v>
      </c>
      <c r="K109" s="23">
        <v>3.24</v>
      </c>
      <c r="L109" s="23">
        <v>3.24</v>
      </c>
      <c r="M109" s="23">
        <v>9</v>
      </c>
      <c r="N109" s="23">
        <v>1.8</v>
      </c>
      <c r="O109" s="24">
        <v>2.69E-2</v>
      </c>
    </row>
    <row r="110" spans="1:15" x14ac:dyDescent="0.25">
      <c r="A110" s="16" t="s">
        <v>104</v>
      </c>
      <c r="B110" s="22">
        <v>2.8</v>
      </c>
      <c r="C110" s="23">
        <v>2.8</v>
      </c>
      <c r="D110" s="23">
        <v>2.8</v>
      </c>
      <c r="E110" s="23">
        <v>2.8</v>
      </c>
      <c r="F110" s="23">
        <v>2.8</v>
      </c>
      <c r="G110" s="23">
        <v>2.8</v>
      </c>
      <c r="H110" s="23">
        <v>2.8</v>
      </c>
      <c r="I110" s="23">
        <v>2.8</v>
      </c>
      <c r="J110" s="23">
        <v>2.8</v>
      </c>
      <c r="K110" s="23">
        <v>2.8</v>
      </c>
      <c r="L110" s="23">
        <v>2.8</v>
      </c>
      <c r="M110" s="23">
        <v>10</v>
      </c>
      <c r="N110" s="23">
        <v>1</v>
      </c>
      <c r="O110" s="24">
        <v>2.87E-2</v>
      </c>
    </row>
    <row r="111" spans="1:15" x14ac:dyDescent="0.25">
      <c r="A111" s="16" t="s">
        <v>105</v>
      </c>
      <c r="B111" s="22">
        <v>2.76</v>
      </c>
      <c r="C111" s="23">
        <v>2.76</v>
      </c>
      <c r="D111" s="23">
        <v>2.76</v>
      </c>
      <c r="E111" s="23">
        <v>2.76</v>
      </c>
      <c r="F111" s="23">
        <v>2.76</v>
      </c>
      <c r="G111" s="23">
        <v>2.76</v>
      </c>
      <c r="H111" s="23">
        <v>2.76</v>
      </c>
      <c r="I111" s="23">
        <v>2.76</v>
      </c>
      <c r="J111" s="23">
        <v>2.76</v>
      </c>
      <c r="K111" s="23">
        <v>2.76</v>
      </c>
      <c r="L111" s="23">
        <v>2.76</v>
      </c>
      <c r="M111" s="23">
        <v>9</v>
      </c>
      <c r="N111" s="23">
        <v>1.2</v>
      </c>
      <c r="O111" s="24">
        <v>2.69E-2</v>
      </c>
    </row>
    <row r="112" spans="1:15" x14ac:dyDescent="0.25">
      <c r="A112" s="16" t="s">
        <v>106</v>
      </c>
      <c r="B112" s="22">
        <v>6.08</v>
      </c>
      <c r="C112" s="23">
        <v>6.08</v>
      </c>
      <c r="D112" s="23">
        <v>6.08</v>
      </c>
      <c r="E112" s="23">
        <v>6.08</v>
      </c>
      <c r="F112" s="23">
        <v>6.08</v>
      </c>
      <c r="G112" s="23">
        <v>6.08</v>
      </c>
      <c r="H112" s="23">
        <v>6.08</v>
      </c>
      <c r="I112" s="23">
        <v>6.08</v>
      </c>
      <c r="J112" s="23">
        <v>6.08</v>
      </c>
      <c r="K112" s="23">
        <v>6.08</v>
      </c>
      <c r="L112" s="23">
        <v>6.08</v>
      </c>
      <c r="M112" s="23">
        <v>12</v>
      </c>
      <c r="N112" s="23">
        <v>4.5999999999999996</v>
      </c>
      <c r="O112" s="24">
        <v>3.73E-2</v>
      </c>
    </row>
    <row r="113" spans="1:15" x14ac:dyDescent="0.25">
      <c r="A113" s="16" t="s">
        <v>107</v>
      </c>
      <c r="B113" s="22">
        <v>2</v>
      </c>
      <c r="C113" s="23">
        <v>2</v>
      </c>
      <c r="D113" s="23">
        <v>2</v>
      </c>
      <c r="E113" s="23">
        <v>2</v>
      </c>
      <c r="F113" s="23">
        <v>2</v>
      </c>
      <c r="G113" s="23">
        <v>2</v>
      </c>
      <c r="H113" s="23">
        <v>2</v>
      </c>
      <c r="I113" s="23">
        <v>2</v>
      </c>
      <c r="J113" s="23">
        <v>2</v>
      </c>
      <c r="K113" s="23">
        <v>2</v>
      </c>
      <c r="L113" s="23">
        <v>2</v>
      </c>
      <c r="M113" s="23">
        <v>10</v>
      </c>
      <c r="N113" s="23">
        <v>0</v>
      </c>
      <c r="O113" s="24">
        <v>3.0200000000000001E-2</v>
      </c>
    </row>
    <row r="114" spans="1:15" x14ac:dyDescent="0.25">
      <c r="A114" s="16" t="s">
        <v>108</v>
      </c>
      <c r="B114" s="22">
        <v>3.64</v>
      </c>
      <c r="C114" s="23">
        <v>3.64</v>
      </c>
      <c r="D114" s="23">
        <v>3.64</v>
      </c>
      <c r="E114" s="23">
        <v>3.64</v>
      </c>
      <c r="F114" s="23">
        <v>3.64</v>
      </c>
      <c r="G114" s="23">
        <v>3.64</v>
      </c>
      <c r="H114" s="23">
        <v>3.64</v>
      </c>
      <c r="I114" s="23">
        <v>3.64</v>
      </c>
      <c r="J114" s="23">
        <v>3.64</v>
      </c>
      <c r="K114" s="23">
        <v>3.64</v>
      </c>
      <c r="L114" s="23">
        <v>3.64</v>
      </c>
      <c r="M114" s="23">
        <v>11</v>
      </c>
      <c r="N114" s="23">
        <v>1.8</v>
      </c>
      <c r="O114" s="24">
        <v>3.3799999999999997E-2</v>
      </c>
    </row>
    <row r="115" spans="1:15" x14ac:dyDescent="0.25">
      <c r="A115" s="16" t="s">
        <v>109</v>
      </c>
      <c r="B115" s="22">
        <v>2.76</v>
      </c>
      <c r="C115" s="23">
        <v>2.76</v>
      </c>
      <c r="D115" s="23">
        <v>2.76</v>
      </c>
      <c r="E115" s="23">
        <v>2.76</v>
      </c>
      <c r="F115" s="23">
        <v>2.76</v>
      </c>
      <c r="G115" s="23">
        <v>2.76</v>
      </c>
      <c r="H115" s="23">
        <v>2.76</v>
      </c>
      <c r="I115" s="23">
        <v>2.76</v>
      </c>
      <c r="J115" s="23">
        <v>2.76</v>
      </c>
      <c r="K115" s="23">
        <v>2.76</v>
      </c>
      <c r="L115" s="23">
        <v>2.76</v>
      </c>
      <c r="M115" s="23">
        <v>9</v>
      </c>
      <c r="N115" s="23">
        <v>1.2</v>
      </c>
      <c r="O115" s="24">
        <v>2.7099999999999999E-2</v>
      </c>
    </row>
    <row r="116" spans="1:15" x14ac:dyDescent="0.25">
      <c r="A116" s="16" t="s">
        <v>110</v>
      </c>
      <c r="B116" s="22">
        <v>4.88</v>
      </c>
      <c r="C116" s="23">
        <v>4.88</v>
      </c>
      <c r="D116" s="23">
        <v>4.88</v>
      </c>
      <c r="E116" s="23">
        <v>4.88</v>
      </c>
      <c r="F116" s="23">
        <v>4.88</v>
      </c>
      <c r="G116" s="23">
        <v>4.88</v>
      </c>
      <c r="H116" s="23">
        <v>4.88</v>
      </c>
      <c r="I116" s="23">
        <v>4.88</v>
      </c>
      <c r="J116" s="23">
        <v>4.88</v>
      </c>
      <c r="K116" s="23">
        <v>4.88</v>
      </c>
      <c r="L116" s="23">
        <v>4.88</v>
      </c>
      <c r="M116" s="23">
        <v>10</v>
      </c>
      <c r="N116" s="23">
        <v>3.6</v>
      </c>
      <c r="O116" s="24">
        <v>3.5299999999999998E-2</v>
      </c>
    </row>
    <row r="117" spans="1:15" x14ac:dyDescent="0.25">
      <c r="A117" s="16" t="s">
        <v>111</v>
      </c>
      <c r="B117" s="22">
        <v>3.16</v>
      </c>
      <c r="C117" s="23">
        <v>3.16</v>
      </c>
      <c r="D117" s="23">
        <v>3.16</v>
      </c>
      <c r="E117" s="23">
        <v>3.16</v>
      </c>
      <c r="F117" s="23">
        <v>3.16</v>
      </c>
      <c r="G117" s="23">
        <v>3.16</v>
      </c>
      <c r="H117" s="23">
        <v>3.16</v>
      </c>
      <c r="I117" s="23">
        <v>3.16</v>
      </c>
      <c r="J117" s="23">
        <v>3.16</v>
      </c>
      <c r="K117" s="23">
        <v>3.16</v>
      </c>
      <c r="L117" s="23">
        <v>3.16</v>
      </c>
      <c r="M117" s="23">
        <v>11</v>
      </c>
      <c r="N117" s="23">
        <v>1.2</v>
      </c>
      <c r="O117" s="24">
        <v>3.8E-3</v>
      </c>
    </row>
    <row r="118" spans="1:15" x14ac:dyDescent="0.25">
      <c r="A118" s="16" t="s">
        <v>112</v>
      </c>
      <c r="B118" s="22">
        <v>5.48</v>
      </c>
      <c r="C118" s="23">
        <v>5.48</v>
      </c>
      <c r="D118" s="23">
        <v>5.48</v>
      </c>
      <c r="E118" s="23">
        <v>5.48</v>
      </c>
      <c r="F118" s="23">
        <v>5.48</v>
      </c>
      <c r="G118" s="23">
        <v>5.48</v>
      </c>
      <c r="H118" s="23">
        <v>5.48</v>
      </c>
      <c r="I118" s="23">
        <v>5.48</v>
      </c>
      <c r="J118" s="23">
        <v>5.48</v>
      </c>
      <c r="K118" s="23">
        <v>5.48</v>
      </c>
      <c r="L118" s="23">
        <v>5.48</v>
      </c>
      <c r="M118" s="23">
        <v>9</v>
      </c>
      <c r="N118" s="23">
        <v>4.5999999999999996</v>
      </c>
      <c r="O118" s="24">
        <v>3.0000000000000001E-3</v>
      </c>
    </row>
    <row r="119" spans="1:15" x14ac:dyDescent="0.25">
      <c r="A119" s="16" t="s">
        <v>113</v>
      </c>
      <c r="B119" s="22">
        <v>4.8</v>
      </c>
      <c r="C119" s="23">
        <v>4.8</v>
      </c>
      <c r="D119" s="23">
        <v>4.8</v>
      </c>
      <c r="E119" s="23">
        <v>4.8</v>
      </c>
      <c r="F119" s="23">
        <v>4.8</v>
      </c>
      <c r="G119" s="23">
        <v>4.8</v>
      </c>
      <c r="H119" s="23">
        <v>4.8</v>
      </c>
      <c r="I119" s="23">
        <v>4.8</v>
      </c>
      <c r="J119" s="23">
        <v>4.8</v>
      </c>
      <c r="K119" s="23">
        <v>4.8</v>
      </c>
      <c r="L119" s="23">
        <v>4.8</v>
      </c>
      <c r="M119" s="23">
        <v>12</v>
      </c>
      <c r="N119" s="23">
        <v>3</v>
      </c>
      <c r="O119" s="24">
        <v>4.0000000000000001E-3</v>
      </c>
    </row>
    <row r="120" spans="1:15" x14ac:dyDescent="0.25">
      <c r="A120" s="16" t="s">
        <v>114</v>
      </c>
      <c r="B120" s="22">
        <v>3.76</v>
      </c>
      <c r="C120" s="23">
        <v>3.92</v>
      </c>
      <c r="D120" s="23">
        <v>3.76</v>
      </c>
      <c r="E120" s="23">
        <v>3.76</v>
      </c>
      <c r="F120" s="23">
        <v>3.76</v>
      </c>
      <c r="G120" s="23">
        <v>3.76</v>
      </c>
      <c r="H120" s="23">
        <v>3.76</v>
      </c>
      <c r="I120" s="23">
        <v>3.76</v>
      </c>
      <c r="J120" s="23">
        <v>3.76</v>
      </c>
      <c r="K120" s="23">
        <v>3.76</v>
      </c>
      <c r="L120" s="23">
        <v>3.76</v>
      </c>
      <c r="M120" s="23">
        <v>10</v>
      </c>
      <c r="N120" s="23">
        <v>2.2000000000000002</v>
      </c>
      <c r="O120" s="24">
        <v>3.5999999999999999E-3</v>
      </c>
    </row>
    <row r="121" spans="1:15" x14ac:dyDescent="0.25">
      <c r="A121" s="16" t="s">
        <v>115</v>
      </c>
      <c r="B121" s="22">
        <v>5.24</v>
      </c>
      <c r="C121" s="23">
        <v>5.24</v>
      </c>
      <c r="D121" s="23">
        <v>5.24</v>
      </c>
      <c r="E121" s="23">
        <v>5.24</v>
      </c>
      <c r="F121" s="23">
        <v>5.24</v>
      </c>
      <c r="G121" s="23">
        <v>5.24</v>
      </c>
      <c r="H121" s="23">
        <v>5.24</v>
      </c>
      <c r="I121" s="23">
        <v>5.24</v>
      </c>
      <c r="J121" s="23">
        <v>5.24</v>
      </c>
      <c r="K121" s="23">
        <v>5.24</v>
      </c>
      <c r="L121" s="23">
        <v>5.24</v>
      </c>
      <c r="M121" s="23">
        <v>11</v>
      </c>
      <c r="N121" s="23">
        <v>3.8</v>
      </c>
      <c r="O121" s="24">
        <v>3.8999999999999998E-3</v>
      </c>
    </row>
    <row r="122" spans="1:15" x14ac:dyDescent="0.25">
      <c r="A122" s="16" t="s">
        <v>116</v>
      </c>
      <c r="B122" s="22">
        <v>6.2</v>
      </c>
      <c r="C122" s="23">
        <v>6.16</v>
      </c>
      <c r="D122" s="23">
        <v>6.16</v>
      </c>
      <c r="E122" s="23">
        <v>6.2</v>
      </c>
      <c r="F122" s="23">
        <v>6.2</v>
      </c>
      <c r="G122" s="23">
        <v>6.16</v>
      </c>
      <c r="H122" s="23">
        <v>6.2</v>
      </c>
      <c r="I122" s="23">
        <v>6.2</v>
      </c>
      <c r="J122" s="23">
        <v>6.2</v>
      </c>
      <c r="K122" s="23">
        <v>6.16</v>
      </c>
      <c r="L122" s="23">
        <v>6.16</v>
      </c>
      <c r="M122" s="23">
        <v>10</v>
      </c>
      <c r="N122" s="23">
        <v>5.2</v>
      </c>
      <c r="O122" s="24">
        <v>3.5999999999999999E-3</v>
      </c>
    </row>
    <row r="123" spans="1:15" x14ac:dyDescent="0.25">
      <c r="A123" s="16" t="s">
        <v>117</v>
      </c>
      <c r="B123" s="22">
        <v>3.28</v>
      </c>
      <c r="C123" s="23">
        <v>3.28</v>
      </c>
      <c r="D123" s="23">
        <v>3.28</v>
      </c>
      <c r="E123" s="23">
        <v>3.28</v>
      </c>
      <c r="F123" s="23">
        <v>3.28</v>
      </c>
      <c r="G123" s="23">
        <v>3.28</v>
      </c>
      <c r="H123" s="23">
        <v>3.28</v>
      </c>
      <c r="I123" s="23">
        <v>3.28</v>
      </c>
      <c r="J123" s="23">
        <v>3.28</v>
      </c>
      <c r="K123" s="23">
        <v>3.28</v>
      </c>
      <c r="L123" s="23">
        <v>3.28</v>
      </c>
      <c r="M123" s="23">
        <v>6</v>
      </c>
      <c r="N123" s="23">
        <v>2.6</v>
      </c>
      <c r="O123" s="24">
        <v>3.0000000000000001E-3</v>
      </c>
    </row>
    <row r="124" spans="1:15" x14ac:dyDescent="0.25">
      <c r="A124" s="16" t="s">
        <v>118</v>
      </c>
      <c r="B124" s="22">
        <v>3.24</v>
      </c>
      <c r="C124" s="23">
        <v>3.24</v>
      </c>
      <c r="D124" s="23">
        <v>3.24</v>
      </c>
      <c r="E124" s="23">
        <v>3.24</v>
      </c>
      <c r="F124" s="23">
        <v>3.24</v>
      </c>
      <c r="G124" s="23">
        <v>3.24</v>
      </c>
      <c r="H124" s="23">
        <v>3.24</v>
      </c>
      <c r="I124" s="23">
        <v>3.24</v>
      </c>
      <c r="J124" s="23">
        <v>3.24</v>
      </c>
      <c r="K124" s="23">
        <v>3.24</v>
      </c>
      <c r="L124" s="23">
        <v>3.24</v>
      </c>
      <c r="M124" s="23">
        <v>9</v>
      </c>
      <c r="N124" s="23">
        <v>1.8</v>
      </c>
      <c r="O124" s="24">
        <v>3.0000000000000001E-3</v>
      </c>
    </row>
    <row r="125" spans="1:15" x14ac:dyDescent="0.25">
      <c r="A125" s="16" t="s">
        <v>119</v>
      </c>
      <c r="B125" s="22">
        <v>3.68</v>
      </c>
      <c r="C125" s="23">
        <v>3.68</v>
      </c>
      <c r="D125" s="23">
        <v>3.68</v>
      </c>
      <c r="E125" s="23">
        <v>3.68</v>
      </c>
      <c r="F125" s="23">
        <v>3.68</v>
      </c>
      <c r="G125" s="23">
        <v>3.68</v>
      </c>
      <c r="H125" s="23">
        <v>3.68</v>
      </c>
      <c r="I125" s="23">
        <v>3.68</v>
      </c>
      <c r="J125" s="23">
        <v>3.68</v>
      </c>
      <c r="K125" s="23">
        <v>3.68</v>
      </c>
      <c r="L125" s="23">
        <v>3.68</v>
      </c>
      <c r="M125" s="23">
        <v>8</v>
      </c>
      <c r="N125" s="23">
        <v>2.6</v>
      </c>
      <c r="O125" s="24">
        <v>3.0000000000000001E-3</v>
      </c>
    </row>
    <row r="126" spans="1:15" x14ac:dyDescent="0.25">
      <c r="A126" s="16" t="s">
        <v>120</v>
      </c>
      <c r="B126" s="22">
        <v>5.52</v>
      </c>
      <c r="C126" s="23">
        <v>5.52</v>
      </c>
      <c r="D126" s="23">
        <v>5.52</v>
      </c>
      <c r="E126" s="23">
        <v>5.52</v>
      </c>
      <c r="F126" s="23">
        <v>5.52</v>
      </c>
      <c r="G126" s="23">
        <v>5.52</v>
      </c>
      <c r="H126" s="23">
        <v>5.52</v>
      </c>
      <c r="I126" s="23">
        <v>5.52</v>
      </c>
      <c r="J126" s="23">
        <v>5.52</v>
      </c>
      <c r="K126" s="23">
        <v>5.52</v>
      </c>
      <c r="L126" s="23">
        <v>5.52</v>
      </c>
      <c r="M126" s="23">
        <v>10</v>
      </c>
      <c r="N126" s="23">
        <v>4.4000000000000004</v>
      </c>
      <c r="O126" s="24">
        <v>3.5000000000000009E-3</v>
      </c>
    </row>
    <row r="127" spans="1:15" x14ac:dyDescent="0.25">
      <c r="A127" s="17" t="s">
        <v>121</v>
      </c>
      <c r="B127" s="22">
        <v>2.8</v>
      </c>
      <c r="C127" s="23">
        <v>2.8</v>
      </c>
      <c r="D127" s="23">
        <v>2.8</v>
      </c>
      <c r="E127" s="23">
        <v>2.8</v>
      </c>
      <c r="F127" s="23">
        <v>2.8</v>
      </c>
      <c r="G127" s="23">
        <v>2.8</v>
      </c>
      <c r="H127" s="23">
        <v>2.8</v>
      </c>
      <c r="I127" s="23">
        <v>2.8</v>
      </c>
      <c r="J127" s="23">
        <v>2.8</v>
      </c>
      <c r="K127" s="23">
        <v>2.8</v>
      </c>
      <c r="L127" s="23">
        <v>2.8</v>
      </c>
      <c r="M127" s="23">
        <v>10</v>
      </c>
      <c r="N127" s="23">
        <v>1</v>
      </c>
      <c r="O127" s="24">
        <v>3.85E-2</v>
      </c>
    </row>
    <row r="128" spans="1:15" x14ac:dyDescent="0.25">
      <c r="A128" s="17" t="s">
        <v>122</v>
      </c>
      <c r="B128" s="22">
        <v>5.28</v>
      </c>
      <c r="C128" s="23">
        <v>5.28</v>
      </c>
      <c r="D128" s="23">
        <v>5.12</v>
      </c>
      <c r="E128" s="23">
        <v>5.44</v>
      </c>
      <c r="F128" s="23">
        <v>5.28</v>
      </c>
      <c r="G128" s="23">
        <v>5.28</v>
      </c>
      <c r="H128" s="23">
        <v>4.96</v>
      </c>
      <c r="I128" s="23">
        <v>5.6</v>
      </c>
      <c r="J128" s="23">
        <v>5.28</v>
      </c>
      <c r="K128" s="23">
        <v>5.28</v>
      </c>
      <c r="L128" s="23">
        <v>4.96</v>
      </c>
      <c r="M128" s="23">
        <v>16</v>
      </c>
      <c r="N128" s="23">
        <v>2.2000000000000002</v>
      </c>
      <c r="O128" s="24">
        <v>0.1173</v>
      </c>
    </row>
    <row r="129" spans="1:15" x14ac:dyDescent="0.25">
      <c r="A129" s="17" t="s">
        <v>123</v>
      </c>
      <c r="B129" s="22">
        <v>4.96</v>
      </c>
      <c r="C129" s="23">
        <v>4.96</v>
      </c>
      <c r="D129" s="23">
        <v>4.96</v>
      </c>
      <c r="E129" s="23">
        <v>4.96</v>
      </c>
      <c r="F129" s="23">
        <v>4.96</v>
      </c>
      <c r="G129" s="23">
        <v>4.96</v>
      </c>
      <c r="H129" s="23">
        <v>4.96</v>
      </c>
      <c r="I129" s="23">
        <v>4.96</v>
      </c>
      <c r="J129" s="23">
        <v>4.96</v>
      </c>
      <c r="K129" s="23">
        <v>4.96</v>
      </c>
      <c r="L129" s="23">
        <v>4.96</v>
      </c>
      <c r="M129" s="23">
        <v>16</v>
      </c>
      <c r="N129" s="23">
        <v>2.2000000000000002</v>
      </c>
      <c r="O129" s="24">
        <v>0.1148</v>
      </c>
    </row>
    <row r="130" spans="1:15" x14ac:dyDescent="0.25">
      <c r="A130" s="17" t="s">
        <v>124</v>
      </c>
      <c r="B130" s="22">
        <v>6.08</v>
      </c>
      <c r="C130" s="23">
        <v>6.08</v>
      </c>
      <c r="D130" s="23">
        <v>6.08</v>
      </c>
      <c r="E130" s="23">
        <v>6.08</v>
      </c>
      <c r="F130" s="23">
        <v>6.08</v>
      </c>
      <c r="G130" s="23">
        <v>6.08</v>
      </c>
      <c r="H130" s="23">
        <v>6.08</v>
      </c>
      <c r="I130" s="23">
        <v>6.08</v>
      </c>
      <c r="J130" s="23">
        <v>6.08</v>
      </c>
      <c r="K130" s="23">
        <v>6.08</v>
      </c>
      <c r="L130" s="23">
        <v>6.08</v>
      </c>
      <c r="M130" s="23">
        <v>20</v>
      </c>
      <c r="N130" s="23">
        <v>2.6</v>
      </c>
      <c r="O130" s="24">
        <v>0.15040000000000001</v>
      </c>
    </row>
    <row r="131" spans="1:15" x14ac:dyDescent="0.25">
      <c r="A131" s="17" t="s">
        <v>125</v>
      </c>
      <c r="B131" s="22">
        <v>6.44</v>
      </c>
      <c r="C131" s="23">
        <v>6.44</v>
      </c>
      <c r="D131" s="23">
        <v>6.44</v>
      </c>
      <c r="E131" s="23">
        <v>5.96</v>
      </c>
      <c r="F131" s="23">
        <v>6.44</v>
      </c>
      <c r="G131" s="23">
        <v>6.44</v>
      </c>
      <c r="H131" s="23">
        <v>6.44</v>
      </c>
      <c r="I131" s="23">
        <v>6.44</v>
      </c>
      <c r="J131" s="23">
        <v>6.44</v>
      </c>
      <c r="K131" s="23">
        <v>6.28</v>
      </c>
      <c r="L131" s="23">
        <v>5.96</v>
      </c>
      <c r="M131" s="23">
        <v>21</v>
      </c>
      <c r="N131" s="23">
        <v>2.2000000000000002</v>
      </c>
      <c r="O131" s="24">
        <v>0.2286</v>
      </c>
    </row>
    <row r="132" spans="1:15" x14ac:dyDescent="0.25">
      <c r="A132" s="17" t="s">
        <v>126</v>
      </c>
      <c r="B132" s="22">
        <v>7.8</v>
      </c>
      <c r="C132" s="23">
        <v>7.8</v>
      </c>
      <c r="D132" s="23">
        <v>7.8</v>
      </c>
      <c r="E132" s="23">
        <v>7.8</v>
      </c>
      <c r="F132" s="23">
        <v>7.8</v>
      </c>
      <c r="G132" s="23">
        <v>7.8</v>
      </c>
      <c r="H132" s="23">
        <v>7.8</v>
      </c>
      <c r="I132" s="23">
        <v>7.8</v>
      </c>
      <c r="J132" s="23">
        <v>7.8</v>
      </c>
      <c r="K132" s="23">
        <v>7.8</v>
      </c>
      <c r="L132" s="23">
        <v>7.8</v>
      </c>
      <c r="M132" s="23">
        <v>27</v>
      </c>
      <c r="N132" s="23">
        <v>3</v>
      </c>
      <c r="O132" s="24">
        <v>0.28160000000000002</v>
      </c>
    </row>
    <row r="133" spans="1:15" x14ac:dyDescent="0.25">
      <c r="A133" s="17" t="s">
        <v>127</v>
      </c>
      <c r="B133" s="22">
        <v>7.64</v>
      </c>
      <c r="C133" s="23">
        <v>7.8</v>
      </c>
      <c r="D133" s="23">
        <v>7.8</v>
      </c>
      <c r="E133" s="23">
        <v>7.64</v>
      </c>
      <c r="F133" s="23">
        <v>7.8</v>
      </c>
      <c r="G133" s="23">
        <v>7.8</v>
      </c>
      <c r="H133" s="23">
        <v>7.8</v>
      </c>
      <c r="I133" s="23">
        <v>7.8</v>
      </c>
      <c r="J133" s="23">
        <v>7.64</v>
      </c>
      <c r="K133" s="23">
        <v>7.64</v>
      </c>
      <c r="L133" s="23">
        <v>7.64</v>
      </c>
      <c r="M133" s="23">
        <v>23</v>
      </c>
      <c r="N133" s="23">
        <v>3.8</v>
      </c>
      <c r="O133" s="24">
        <v>0.2462</v>
      </c>
    </row>
    <row r="134" spans="1:15" x14ac:dyDescent="0.25">
      <c r="A134" s="17" t="s">
        <v>128</v>
      </c>
      <c r="B134" s="22">
        <v>5.52</v>
      </c>
      <c r="C134" s="23">
        <v>5.68</v>
      </c>
      <c r="D134" s="23">
        <v>5.52</v>
      </c>
      <c r="E134" s="23">
        <v>5.52</v>
      </c>
      <c r="F134" s="23">
        <v>5.52</v>
      </c>
      <c r="G134" s="23">
        <v>5.52</v>
      </c>
      <c r="H134" s="23">
        <v>5.52</v>
      </c>
      <c r="I134" s="23">
        <v>5.68</v>
      </c>
      <c r="J134" s="23">
        <v>5.52</v>
      </c>
      <c r="K134" s="23">
        <v>5.52</v>
      </c>
      <c r="L134" s="23">
        <v>5.52</v>
      </c>
      <c r="M134" s="23">
        <v>22</v>
      </c>
      <c r="N134" s="23">
        <v>1.4</v>
      </c>
      <c r="O134" s="24">
        <v>0.23980000000000001</v>
      </c>
    </row>
    <row r="135" spans="1:15" x14ac:dyDescent="0.25">
      <c r="A135" s="17" t="s">
        <v>129</v>
      </c>
      <c r="B135" s="22">
        <v>7.36</v>
      </c>
      <c r="C135" s="23">
        <v>7.52</v>
      </c>
      <c r="D135" s="23">
        <v>7.52</v>
      </c>
      <c r="E135" s="23">
        <v>7.36</v>
      </c>
      <c r="F135" s="23">
        <v>7.52</v>
      </c>
      <c r="G135" s="23">
        <v>7.36</v>
      </c>
      <c r="H135" s="23">
        <v>7.52</v>
      </c>
      <c r="I135" s="23">
        <v>7.52</v>
      </c>
      <c r="J135" s="23">
        <v>7.52</v>
      </c>
      <c r="K135" s="23">
        <v>7.52</v>
      </c>
      <c r="L135" s="23">
        <v>7.36</v>
      </c>
      <c r="M135" s="23">
        <v>24</v>
      </c>
      <c r="N135" s="23">
        <v>3.2</v>
      </c>
      <c r="O135" s="24">
        <v>0.28849999999999998</v>
      </c>
    </row>
    <row r="136" spans="1:15" x14ac:dyDescent="0.25">
      <c r="A136" s="17" t="s">
        <v>130</v>
      </c>
      <c r="B136" s="22">
        <v>6.28</v>
      </c>
      <c r="C136" s="23">
        <v>6.8</v>
      </c>
      <c r="D136" s="23">
        <v>6.8</v>
      </c>
      <c r="E136" s="23">
        <v>6.6</v>
      </c>
      <c r="F136" s="23">
        <v>6.44</v>
      </c>
      <c r="G136" s="23">
        <v>6.28</v>
      </c>
      <c r="H136" s="23">
        <v>6.28</v>
      </c>
      <c r="I136" s="23">
        <v>6.6</v>
      </c>
      <c r="J136" s="23">
        <v>6.28</v>
      </c>
      <c r="K136" s="23">
        <v>6.8</v>
      </c>
      <c r="L136" s="23">
        <v>6.28</v>
      </c>
      <c r="M136" s="23">
        <v>25</v>
      </c>
      <c r="N136" s="23">
        <v>1.6</v>
      </c>
      <c r="O136" s="24">
        <v>0.3332</v>
      </c>
    </row>
    <row r="137" spans="1:15" x14ac:dyDescent="0.25">
      <c r="A137" s="17" t="s">
        <v>131</v>
      </c>
      <c r="B137" s="22">
        <v>10.08</v>
      </c>
      <c r="C137" s="23">
        <v>10.08</v>
      </c>
      <c r="D137" s="23">
        <v>10.08</v>
      </c>
      <c r="E137" s="23">
        <v>10.08</v>
      </c>
      <c r="F137" s="23">
        <v>10.08</v>
      </c>
      <c r="G137" s="23">
        <v>10.24</v>
      </c>
      <c r="H137" s="23">
        <v>10.08</v>
      </c>
      <c r="I137" s="23">
        <v>10.08</v>
      </c>
      <c r="J137" s="23">
        <v>10.08</v>
      </c>
      <c r="K137" s="23">
        <v>10.24</v>
      </c>
      <c r="L137" s="23">
        <v>10.08</v>
      </c>
      <c r="M137" s="23">
        <v>32</v>
      </c>
      <c r="N137" s="23">
        <v>4.5999999999999996</v>
      </c>
      <c r="O137" s="24">
        <v>0.33470000000000011</v>
      </c>
    </row>
    <row r="138" spans="1:15" x14ac:dyDescent="0.25">
      <c r="A138" s="17" t="s">
        <v>132</v>
      </c>
      <c r="B138" s="22">
        <v>8.8800000000000008</v>
      </c>
      <c r="C138" s="23">
        <v>8.8800000000000008</v>
      </c>
      <c r="D138" s="23">
        <v>8.7200000000000006</v>
      </c>
      <c r="E138" s="23">
        <v>8.56</v>
      </c>
      <c r="F138" s="23">
        <v>8.8800000000000008</v>
      </c>
      <c r="G138" s="23">
        <v>8.7200000000000006</v>
      </c>
      <c r="H138" s="23">
        <v>8.8800000000000008</v>
      </c>
      <c r="I138" s="23">
        <v>8.8800000000000008</v>
      </c>
      <c r="J138" s="23">
        <v>8.7200000000000006</v>
      </c>
      <c r="K138" s="23">
        <v>8.8800000000000008</v>
      </c>
      <c r="L138" s="23">
        <v>8.56</v>
      </c>
      <c r="M138" s="23">
        <v>34</v>
      </c>
      <c r="N138" s="23">
        <v>2.2000000000000002</v>
      </c>
      <c r="O138" s="24">
        <v>0.39389999999999997</v>
      </c>
    </row>
    <row r="139" spans="1:15" x14ac:dyDescent="0.25">
      <c r="A139" s="17" t="s">
        <v>133</v>
      </c>
      <c r="B139" s="22">
        <v>9</v>
      </c>
      <c r="C139" s="23">
        <v>8.8000000000000007</v>
      </c>
      <c r="D139" s="23">
        <v>9</v>
      </c>
      <c r="E139" s="23">
        <v>9.1199999999999992</v>
      </c>
      <c r="F139" s="23">
        <v>9</v>
      </c>
      <c r="G139" s="23">
        <v>9</v>
      </c>
      <c r="H139" s="23">
        <v>9</v>
      </c>
      <c r="I139" s="23">
        <v>9.1199999999999992</v>
      </c>
      <c r="J139" s="23">
        <v>8.8000000000000007</v>
      </c>
      <c r="K139" s="23">
        <v>8.8000000000000007</v>
      </c>
      <c r="L139" s="23">
        <v>8.8000000000000007</v>
      </c>
      <c r="M139" s="23">
        <v>24</v>
      </c>
      <c r="N139" s="23">
        <v>5</v>
      </c>
      <c r="O139" s="24">
        <v>0.27389999999999998</v>
      </c>
    </row>
    <row r="140" spans="1:15" x14ac:dyDescent="0.25">
      <c r="A140" s="17" t="s">
        <v>134</v>
      </c>
      <c r="B140" s="22">
        <v>10.24</v>
      </c>
      <c r="C140" s="23">
        <v>10.119999999999999</v>
      </c>
      <c r="D140" s="23">
        <v>10.119999999999999</v>
      </c>
      <c r="E140" s="23">
        <v>10.24</v>
      </c>
      <c r="F140" s="23">
        <v>10.119999999999999</v>
      </c>
      <c r="G140" s="23">
        <v>10.08</v>
      </c>
      <c r="H140" s="23">
        <v>10.119999999999999</v>
      </c>
      <c r="I140" s="23">
        <v>10.08</v>
      </c>
      <c r="J140" s="23">
        <v>10.08</v>
      </c>
      <c r="K140" s="23">
        <v>10.119999999999999</v>
      </c>
      <c r="L140" s="23">
        <v>10.08</v>
      </c>
      <c r="M140" s="23">
        <v>28</v>
      </c>
      <c r="N140" s="23">
        <v>5.6</v>
      </c>
      <c r="O140" s="24">
        <v>0.54270000000000007</v>
      </c>
    </row>
    <row r="141" spans="1:15" x14ac:dyDescent="0.25">
      <c r="A141" s="17" t="s">
        <v>135</v>
      </c>
      <c r="B141" s="22">
        <v>9.92</v>
      </c>
      <c r="C141" s="23">
        <v>9.92</v>
      </c>
      <c r="D141" s="23">
        <v>9.92</v>
      </c>
      <c r="E141" s="23">
        <v>9.92</v>
      </c>
      <c r="F141" s="23">
        <v>9.76</v>
      </c>
      <c r="G141" s="23">
        <v>9.9600000000000009</v>
      </c>
      <c r="H141" s="23">
        <v>9.76</v>
      </c>
      <c r="I141" s="23">
        <v>9.92</v>
      </c>
      <c r="J141" s="23">
        <v>9.76</v>
      </c>
      <c r="K141" s="23">
        <v>9.76</v>
      </c>
      <c r="L141" s="23">
        <v>9.76</v>
      </c>
      <c r="M141" s="23">
        <v>28</v>
      </c>
      <c r="N141" s="23">
        <v>5.2</v>
      </c>
      <c r="O141" s="24">
        <v>0.39889999999999998</v>
      </c>
    </row>
    <row r="142" spans="1:15" x14ac:dyDescent="0.25">
      <c r="A142" s="17" t="s">
        <v>136</v>
      </c>
      <c r="B142" s="22">
        <v>10.119999999999999</v>
      </c>
      <c r="C142" s="23">
        <v>9.9600000000000009</v>
      </c>
      <c r="D142" s="23">
        <v>10.119999999999999</v>
      </c>
      <c r="E142" s="23">
        <v>10.119999999999999</v>
      </c>
      <c r="F142" s="23">
        <v>10.119999999999999</v>
      </c>
      <c r="G142" s="23">
        <v>9.9600000000000009</v>
      </c>
      <c r="H142" s="23">
        <v>10.119999999999999</v>
      </c>
      <c r="I142" s="23">
        <v>10.119999999999999</v>
      </c>
      <c r="J142" s="23">
        <v>10.119999999999999</v>
      </c>
      <c r="K142" s="23">
        <v>10.119999999999999</v>
      </c>
      <c r="L142" s="23">
        <v>9.9600000000000009</v>
      </c>
      <c r="M142" s="23">
        <v>29</v>
      </c>
      <c r="N142" s="23">
        <v>5.2</v>
      </c>
      <c r="O142" s="24">
        <v>0.5151</v>
      </c>
    </row>
    <row r="143" spans="1:15" x14ac:dyDescent="0.25">
      <c r="A143" s="17" t="s">
        <v>137</v>
      </c>
      <c r="B143" s="22">
        <v>11.28</v>
      </c>
      <c r="C143" s="23">
        <v>11.6</v>
      </c>
      <c r="D143" s="23">
        <v>11.28</v>
      </c>
      <c r="E143" s="23">
        <v>11.6</v>
      </c>
      <c r="F143" s="23">
        <v>11.6</v>
      </c>
      <c r="G143" s="23">
        <v>11.6</v>
      </c>
      <c r="H143" s="23">
        <v>11.44</v>
      </c>
      <c r="I143" s="23">
        <v>11.6</v>
      </c>
      <c r="J143" s="23">
        <v>11.28</v>
      </c>
      <c r="K143" s="23">
        <v>11.28</v>
      </c>
      <c r="L143" s="23">
        <v>11.28</v>
      </c>
      <c r="M143" s="23">
        <v>38</v>
      </c>
      <c r="N143" s="23">
        <v>4.5999999999999996</v>
      </c>
      <c r="O143" s="24">
        <v>0.73120000000000007</v>
      </c>
    </row>
    <row r="144" spans="1:15" x14ac:dyDescent="0.25">
      <c r="A144" s="17" t="s">
        <v>138</v>
      </c>
      <c r="B144" s="22">
        <v>10.08</v>
      </c>
      <c r="C144" s="23">
        <v>10.24</v>
      </c>
      <c r="D144" s="23">
        <v>10.24</v>
      </c>
      <c r="E144" s="23">
        <v>10.24</v>
      </c>
      <c r="F144" s="23">
        <v>10.08</v>
      </c>
      <c r="G144" s="23">
        <v>10.24</v>
      </c>
      <c r="H144" s="23">
        <v>10.08</v>
      </c>
      <c r="I144" s="23">
        <v>10.08</v>
      </c>
      <c r="J144" s="23">
        <v>10.08</v>
      </c>
      <c r="K144" s="23">
        <v>10.08</v>
      </c>
      <c r="L144" s="23">
        <v>10.08</v>
      </c>
      <c r="M144" s="23">
        <v>36</v>
      </c>
      <c r="N144" s="23">
        <v>3.6</v>
      </c>
      <c r="O144" s="24">
        <v>0.66410000000000002</v>
      </c>
    </row>
    <row r="145" spans="1:15" x14ac:dyDescent="0.25">
      <c r="A145" s="17" t="s">
        <v>139</v>
      </c>
      <c r="B145" s="22">
        <v>11.16</v>
      </c>
      <c r="C145" s="23">
        <v>11.16</v>
      </c>
      <c r="D145" s="23">
        <v>11.16</v>
      </c>
      <c r="E145" s="23">
        <v>11.16</v>
      </c>
      <c r="F145" s="23">
        <v>11.16</v>
      </c>
      <c r="G145" s="23">
        <v>10.68</v>
      </c>
      <c r="H145" s="23">
        <v>11.16</v>
      </c>
      <c r="I145" s="23">
        <v>11.16</v>
      </c>
      <c r="J145" s="23">
        <v>11.16</v>
      </c>
      <c r="K145" s="23">
        <v>11.16</v>
      </c>
      <c r="L145" s="23">
        <v>10.68</v>
      </c>
      <c r="M145" s="23">
        <v>39</v>
      </c>
      <c r="N145" s="23">
        <v>3.6</v>
      </c>
      <c r="O145" s="24">
        <v>0.72110000000000007</v>
      </c>
    </row>
    <row r="146" spans="1:15" x14ac:dyDescent="0.25">
      <c r="A146" s="17" t="s">
        <v>140</v>
      </c>
      <c r="B146" s="22">
        <v>12.24</v>
      </c>
      <c r="C146" s="23">
        <v>12.4</v>
      </c>
      <c r="D146" s="23">
        <v>12.08</v>
      </c>
      <c r="E146" s="23">
        <v>12.08</v>
      </c>
      <c r="F146" s="23">
        <v>12.08</v>
      </c>
      <c r="G146" s="23">
        <v>12.24</v>
      </c>
      <c r="H146" s="23">
        <v>12.08</v>
      </c>
      <c r="I146" s="23">
        <v>12.24</v>
      </c>
      <c r="J146" s="23">
        <v>12.24</v>
      </c>
      <c r="K146" s="23">
        <v>12.08</v>
      </c>
      <c r="L146" s="23">
        <v>12.08</v>
      </c>
      <c r="M146" s="23">
        <v>46</v>
      </c>
      <c r="N146" s="23">
        <v>3.6</v>
      </c>
      <c r="O146" s="24">
        <v>0.81910000000000005</v>
      </c>
    </row>
    <row r="147" spans="1:15" x14ac:dyDescent="0.25">
      <c r="A147" s="17" t="s">
        <v>141</v>
      </c>
      <c r="B147" s="22">
        <v>13.88</v>
      </c>
      <c r="C147" s="23">
        <v>13.88</v>
      </c>
      <c r="D147" s="23">
        <v>13.88</v>
      </c>
      <c r="E147" s="23">
        <v>13.88</v>
      </c>
      <c r="F147" s="23">
        <v>13.88</v>
      </c>
      <c r="G147" s="23">
        <v>13.88</v>
      </c>
      <c r="H147" s="23">
        <v>13.88</v>
      </c>
      <c r="I147" s="23">
        <v>13.88</v>
      </c>
      <c r="J147" s="23">
        <v>13.88</v>
      </c>
      <c r="K147" s="23">
        <v>13.88</v>
      </c>
      <c r="L147" s="23">
        <v>13.88</v>
      </c>
      <c r="M147" s="23">
        <v>47</v>
      </c>
      <c r="N147" s="23">
        <v>5.6</v>
      </c>
      <c r="O147" s="24">
        <v>0.93440000000000012</v>
      </c>
    </row>
    <row r="148" spans="1:15" x14ac:dyDescent="0.25">
      <c r="A148" s="17" t="s">
        <v>142</v>
      </c>
      <c r="B148" s="22">
        <v>10.28</v>
      </c>
      <c r="C148" s="23">
        <v>10.28</v>
      </c>
      <c r="D148" s="23">
        <v>10.28</v>
      </c>
      <c r="E148" s="23">
        <v>10.28</v>
      </c>
      <c r="F148" s="23">
        <v>10.28</v>
      </c>
      <c r="G148" s="23">
        <v>10.119999999999999</v>
      </c>
      <c r="H148" s="23">
        <v>10.92</v>
      </c>
      <c r="I148" s="23">
        <v>10.6</v>
      </c>
      <c r="J148" s="23">
        <v>10.8</v>
      </c>
      <c r="K148" s="23">
        <v>10.28</v>
      </c>
      <c r="L148" s="23">
        <v>10.119999999999999</v>
      </c>
      <c r="M148" s="23">
        <v>45</v>
      </c>
      <c r="N148" s="23">
        <v>1.4</v>
      </c>
      <c r="O148" s="24">
        <v>1.1054999999999999</v>
      </c>
    </row>
    <row r="149" spans="1:15" x14ac:dyDescent="0.25">
      <c r="A149" s="17" t="s">
        <v>143</v>
      </c>
      <c r="B149" s="22">
        <v>14.2</v>
      </c>
      <c r="C149" s="23">
        <v>14.2</v>
      </c>
      <c r="D149" s="23">
        <v>14.36</v>
      </c>
      <c r="E149" s="23">
        <v>13.36</v>
      </c>
      <c r="F149" s="23">
        <v>14.2</v>
      </c>
      <c r="G149" s="23">
        <v>14.2</v>
      </c>
      <c r="H149" s="23">
        <v>14.2</v>
      </c>
      <c r="I149" s="23">
        <v>14.36</v>
      </c>
      <c r="J149" s="23">
        <v>13.36</v>
      </c>
      <c r="K149" s="23">
        <v>14.2</v>
      </c>
      <c r="L149" s="23">
        <v>13.36</v>
      </c>
      <c r="M149" s="23">
        <v>58</v>
      </c>
      <c r="N149" s="23">
        <v>2.2000000000000002</v>
      </c>
      <c r="O149" s="24">
        <v>1.4794</v>
      </c>
    </row>
    <row r="150" spans="1:15" x14ac:dyDescent="0.25">
      <c r="A150" s="17" t="s">
        <v>144</v>
      </c>
      <c r="B150" s="22">
        <v>15.44</v>
      </c>
      <c r="C150" s="23">
        <v>15.44</v>
      </c>
      <c r="D150" s="23">
        <v>15.44</v>
      </c>
      <c r="E150" s="23">
        <v>15.44</v>
      </c>
      <c r="F150" s="23">
        <v>15.6</v>
      </c>
      <c r="G150" s="23">
        <v>15.44</v>
      </c>
      <c r="H150" s="23">
        <v>15.44</v>
      </c>
      <c r="I150" s="23">
        <v>15.44</v>
      </c>
      <c r="J150" s="23">
        <v>15.44</v>
      </c>
      <c r="K150" s="23">
        <v>15.6</v>
      </c>
      <c r="L150" s="23">
        <v>15.44</v>
      </c>
      <c r="M150" s="23">
        <v>62</v>
      </c>
      <c r="N150" s="23">
        <v>3.8</v>
      </c>
      <c r="O150" s="24">
        <v>1.4146000000000001</v>
      </c>
    </row>
    <row r="151" spans="1:15" x14ac:dyDescent="0.25">
      <c r="A151" s="17" t="s">
        <v>145</v>
      </c>
      <c r="B151" s="22">
        <v>13</v>
      </c>
      <c r="C151" s="23">
        <v>12.32</v>
      </c>
      <c r="D151" s="23">
        <v>13</v>
      </c>
      <c r="E151" s="23">
        <v>13</v>
      </c>
      <c r="F151" s="23">
        <v>13</v>
      </c>
      <c r="G151" s="23">
        <v>13</v>
      </c>
      <c r="H151" s="23">
        <v>13</v>
      </c>
      <c r="I151" s="23">
        <v>13</v>
      </c>
      <c r="J151" s="23">
        <v>13</v>
      </c>
      <c r="K151" s="23">
        <v>13</v>
      </c>
      <c r="L151" s="23">
        <v>12.32</v>
      </c>
      <c r="M151" s="23">
        <v>52</v>
      </c>
      <c r="N151" s="23">
        <v>2.4</v>
      </c>
      <c r="O151" s="24">
        <v>1.5699000000000001</v>
      </c>
    </row>
    <row r="152" spans="1:15" x14ac:dyDescent="0.25">
      <c r="A152" s="17" t="s">
        <v>146</v>
      </c>
      <c r="B152" s="22">
        <v>12.52</v>
      </c>
      <c r="C152" s="23">
        <v>12.84</v>
      </c>
      <c r="D152" s="23">
        <v>13.16</v>
      </c>
      <c r="E152" s="23">
        <v>12.52</v>
      </c>
      <c r="F152" s="23">
        <v>13</v>
      </c>
      <c r="G152" s="23">
        <v>12.84</v>
      </c>
      <c r="H152" s="23">
        <v>12.68</v>
      </c>
      <c r="I152" s="23">
        <v>12.84</v>
      </c>
      <c r="J152" s="23">
        <v>13.16</v>
      </c>
      <c r="K152" s="23">
        <v>12.84</v>
      </c>
      <c r="L152" s="23">
        <v>12.52</v>
      </c>
      <c r="M152" s="23">
        <v>45</v>
      </c>
      <c r="N152" s="23">
        <v>4.4000000000000004</v>
      </c>
      <c r="O152" s="24">
        <v>1.0003</v>
      </c>
    </row>
    <row r="153" spans="1:15" x14ac:dyDescent="0.25">
      <c r="A153" s="17" t="s">
        <v>147</v>
      </c>
      <c r="B153" s="22">
        <v>12.16</v>
      </c>
      <c r="C153" s="23">
        <v>12</v>
      </c>
      <c r="D153" s="23">
        <v>11.84</v>
      </c>
      <c r="E153" s="23">
        <v>11.84</v>
      </c>
      <c r="F153" s="23">
        <v>12</v>
      </c>
      <c r="G153" s="23">
        <v>12</v>
      </c>
      <c r="H153" s="23">
        <v>12</v>
      </c>
      <c r="I153" s="23">
        <v>12.16</v>
      </c>
      <c r="J153" s="23">
        <v>12</v>
      </c>
      <c r="K153" s="23">
        <v>12.16</v>
      </c>
      <c r="L153" s="23">
        <v>11.84</v>
      </c>
      <c r="M153" s="23">
        <v>44</v>
      </c>
      <c r="N153" s="23">
        <v>3.8</v>
      </c>
      <c r="O153" s="24">
        <v>0.99979999999999991</v>
      </c>
    </row>
    <row r="154" spans="1:15" x14ac:dyDescent="0.25">
      <c r="A154" s="17" t="s">
        <v>148</v>
      </c>
      <c r="B154" s="22">
        <v>15.48</v>
      </c>
      <c r="C154" s="23">
        <v>15.52</v>
      </c>
      <c r="D154" s="23">
        <v>15.64</v>
      </c>
      <c r="E154" s="23">
        <v>15.64</v>
      </c>
      <c r="F154" s="23">
        <v>15.48</v>
      </c>
      <c r="G154" s="23">
        <v>15.64</v>
      </c>
      <c r="H154" s="23">
        <v>15.52</v>
      </c>
      <c r="I154" s="23">
        <v>15.64</v>
      </c>
      <c r="J154" s="23">
        <v>15.52</v>
      </c>
      <c r="K154" s="23">
        <v>15.68</v>
      </c>
      <c r="L154" s="23">
        <v>15.48</v>
      </c>
      <c r="M154" s="23">
        <v>55</v>
      </c>
      <c r="N154" s="23">
        <v>5.6</v>
      </c>
      <c r="O154" s="24">
        <v>1.1445000000000001</v>
      </c>
    </row>
    <row r="155" spans="1:15" x14ac:dyDescent="0.25">
      <c r="A155" s="17" t="s">
        <v>149</v>
      </c>
      <c r="B155" s="22">
        <v>15.16</v>
      </c>
      <c r="C155" s="23">
        <v>15.2</v>
      </c>
      <c r="D155" s="23">
        <v>15.04</v>
      </c>
      <c r="E155" s="23">
        <v>15</v>
      </c>
      <c r="F155" s="23">
        <v>15.16</v>
      </c>
      <c r="G155" s="23">
        <v>15.2</v>
      </c>
      <c r="H155" s="23">
        <v>15.16</v>
      </c>
      <c r="I155" s="23">
        <v>15.16</v>
      </c>
      <c r="J155" s="23">
        <v>15</v>
      </c>
      <c r="K155" s="23">
        <v>15</v>
      </c>
      <c r="L155" s="23">
        <v>15</v>
      </c>
      <c r="M155" s="23">
        <v>55</v>
      </c>
      <c r="N155" s="23">
        <v>5</v>
      </c>
      <c r="O155" s="24">
        <v>1.2009000000000001</v>
      </c>
    </row>
    <row r="156" spans="1:15" x14ac:dyDescent="0.25">
      <c r="A156" s="17" t="s">
        <v>150</v>
      </c>
      <c r="B156" s="22">
        <v>18.52</v>
      </c>
      <c r="C156" s="23">
        <v>18.36</v>
      </c>
      <c r="D156" s="23">
        <v>19</v>
      </c>
      <c r="E156" s="23">
        <v>18.52</v>
      </c>
      <c r="F156" s="23">
        <v>18.52</v>
      </c>
      <c r="G156" s="23">
        <v>18.52</v>
      </c>
      <c r="H156" s="23">
        <v>18.52</v>
      </c>
      <c r="I156" s="23">
        <v>19</v>
      </c>
      <c r="J156" s="23">
        <v>18.52</v>
      </c>
      <c r="K156" s="23">
        <v>19</v>
      </c>
      <c r="L156" s="23">
        <v>18.36</v>
      </c>
      <c r="M156" s="23">
        <v>63</v>
      </c>
      <c r="N156" s="23">
        <v>7.2</v>
      </c>
      <c r="O156" s="24">
        <v>1.4696</v>
      </c>
    </row>
    <row r="157" spans="1:15" x14ac:dyDescent="0.25">
      <c r="A157" s="17" t="s">
        <v>151</v>
      </c>
      <c r="B157" s="22">
        <v>24.24</v>
      </c>
      <c r="C157" s="23">
        <v>24.08</v>
      </c>
      <c r="D157" s="23">
        <v>24.56</v>
      </c>
      <c r="E157" s="23">
        <v>24.24</v>
      </c>
      <c r="F157" s="23">
        <v>24.08</v>
      </c>
      <c r="G157" s="23">
        <v>24.08</v>
      </c>
      <c r="H157" s="23">
        <v>24.04</v>
      </c>
      <c r="I157" s="23">
        <v>24.56</v>
      </c>
      <c r="J157" s="23">
        <v>24.4</v>
      </c>
      <c r="K157" s="23">
        <v>24.08</v>
      </c>
      <c r="L157" s="23">
        <v>24.04</v>
      </c>
      <c r="M157" s="23">
        <v>81</v>
      </c>
      <c r="N157" s="23">
        <v>9.8000000000000007</v>
      </c>
      <c r="O157" s="24">
        <v>2.3702999999999999</v>
      </c>
    </row>
    <row r="158" spans="1:15" x14ac:dyDescent="0.25">
      <c r="A158" s="17" t="s">
        <v>152</v>
      </c>
      <c r="B158" s="22">
        <v>17.64</v>
      </c>
      <c r="C158" s="23">
        <v>17.48</v>
      </c>
      <c r="D158" s="23">
        <v>17.64</v>
      </c>
      <c r="E158" s="23">
        <v>17.600000000000001</v>
      </c>
      <c r="F158" s="23">
        <v>17.64</v>
      </c>
      <c r="G158" s="23">
        <v>17.64</v>
      </c>
      <c r="H158" s="23">
        <v>17.64</v>
      </c>
      <c r="I158" s="23">
        <v>17.64</v>
      </c>
      <c r="J158" s="23">
        <v>17.64</v>
      </c>
      <c r="K158" s="23">
        <v>17.64</v>
      </c>
      <c r="L158" s="23">
        <v>17.48</v>
      </c>
      <c r="M158" s="23">
        <v>65</v>
      </c>
      <c r="N158" s="23">
        <v>5.6</v>
      </c>
      <c r="O158" s="24">
        <v>2.4622000000000002</v>
      </c>
    </row>
    <row r="159" spans="1:15" x14ac:dyDescent="0.25">
      <c r="A159" s="17" t="s">
        <v>153</v>
      </c>
      <c r="B159" s="22">
        <v>17.600000000000001</v>
      </c>
      <c r="C159" s="23">
        <v>17.399999999999999</v>
      </c>
      <c r="D159" s="23">
        <v>17.239999999999998</v>
      </c>
      <c r="E159" s="23">
        <v>17.239999999999998</v>
      </c>
      <c r="F159" s="23">
        <v>17.72</v>
      </c>
      <c r="G159" s="23">
        <v>17.600000000000001</v>
      </c>
      <c r="H159" s="23">
        <v>18.2</v>
      </c>
      <c r="I159" s="23">
        <v>17.600000000000001</v>
      </c>
      <c r="J159" s="23">
        <v>17.239999999999998</v>
      </c>
      <c r="K159" s="23">
        <v>17.600000000000001</v>
      </c>
      <c r="L159" s="23">
        <v>17.239999999999998</v>
      </c>
      <c r="M159" s="23">
        <v>67</v>
      </c>
      <c r="N159" s="23">
        <v>4.8</v>
      </c>
      <c r="O159" s="24">
        <v>2.5162</v>
      </c>
    </row>
    <row r="160" spans="1:15" x14ac:dyDescent="0.25">
      <c r="A160" s="17" t="s">
        <v>154</v>
      </c>
      <c r="B160" s="22">
        <v>22.84</v>
      </c>
      <c r="C160" s="23">
        <v>22.84</v>
      </c>
      <c r="D160" s="23">
        <v>22.96</v>
      </c>
      <c r="E160" s="23">
        <v>22.84</v>
      </c>
      <c r="F160" s="23">
        <v>22.68</v>
      </c>
      <c r="G160" s="23">
        <v>22.84</v>
      </c>
      <c r="H160" s="23">
        <v>22.96</v>
      </c>
      <c r="I160" s="23">
        <v>22.84</v>
      </c>
      <c r="J160" s="23">
        <v>22.84</v>
      </c>
      <c r="K160" s="23">
        <v>22.84</v>
      </c>
      <c r="L160" s="23">
        <v>22.68</v>
      </c>
      <c r="M160" s="23">
        <v>63</v>
      </c>
      <c r="N160" s="23">
        <v>12.6</v>
      </c>
      <c r="O160" s="24">
        <v>2.5571000000000002</v>
      </c>
    </row>
    <row r="161" spans="1:15" x14ac:dyDescent="0.25">
      <c r="A161" s="17" t="s">
        <v>155</v>
      </c>
      <c r="B161" s="22">
        <v>23</v>
      </c>
      <c r="C161" s="23">
        <v>23.36</v>
      </c>
      <c r="D161" s="23">
        <v>23</v>
      </c>
      <c r="E161" s="23">
        <v>23</v>
      </c>
      <c r="F161" s="23">
        <v>22.84</v>
      </c>
      <c r="G161" s="23">
        <v>22.84</v>
      </c>
      <c r="H161" s="23">
        <v>23</v>
      </c>
      <c r="I161" s="23">
        <v>23.16</v>
      </c>
      <c r="J161" s="23">
        <v>23</v>
      </c>
      <c r="K161" s="23">
        <v>23.16</v>
      </c>
      <c r="L161" s="23">
        <v>22.84</v>
      </c>
      <c r="M161" s="23">
        <v>67</v>
      </c>
      <c r="N161" s="23">
        <v>11.8</v>
      </c>
      <c r="O161" s="24">
        <v>1.9060999999999999</v>
      </c>
    </row>
    <row r="162" spans="1:15" x14ac:dyDescent="0.25">
      <c r="A162" s="17" t="s">
        <v>156</v>
      </c>
      <c r="B162" s="22">
        <v>28.36</v>
      </c>
      <c r="C162" s="23">
        <v>28.68</v>
      </c>
      <c r="D162" s="23">
        <v>29.36</v>
      </c>
      <c r="E162" s="23">
        <v>28.88</v>
      </c>
      <c r="F162" s="23">
        <v>28.36</v>
      </c>
      <c r="G162" s="23">
        <v>28.72</v>
      </c>
      <c r="H162" s="23">
        <v>28.72</v>
      </c>
      <c r="I162" s="23">
        <v>28.88</v>
      </c>
      <c r="J162" s="23">
        <v>29.04</v>
      </c>
      <c r="K162" s="23">
        <v>28.52</v>
      </c>
      <c r="L162" s="23">
        <v>28.36</v>
      </c>
      <c r="M162" s="23">
        <v>85</v>
      </c>
      <c r="N162" s="23">
        <v>14.2</v>
      </c>
      <c r="O162" s="24">
        <v>2.6225999999999998</v>
      </c>
    </row>
    <row r="163" spans="1:15" x14ac:dyDescent="0.25">
      <c r="A163" s="17" t="s">
        <v>157</v>
      </c>
      <c r="B163" s="22">
        <v>25.92</v>
      </c>
      <c r="C163" s="23">
        <v>25.76</v>
      </c>
      <c r="D163" s="23">
        <v>26.12</v>
      </c>
      <c r="E163" s="23">
        <v>25.6</v>
      </c>
      <c r="F163" s="23">
        <v>25.76</v>
      </c>
      <c r="G163" s="23">
        <v>26.4</v>
      </c>
      <c r="H163" s="23">
        <v>26.28</v>
      </c>
      <c r="I163" s="23">
        <v>25.76</v>
      </c>
      <c r="J163" s="23">
        <v>25.6</v>
      </c>
      <c r="K163" s="23">
        <v>25.6</v>
      </c>
      <c r="L163" s="23">
        <v>25.6</v>
      </c>
      <c r="M163" s="23">
        <v>80</v>
      </c>
      <c r="N163" s="23">
        <v>12</v>
      </c>
      <c r="O163" s="24">
        <v>2.4979</v>
      </c>
    </row>
    <row r="164" spans="1:15" x14ac:dyDescent="0.25">
      <c r="A164" s="17" t="s">
        <v>158</v>
      </c>
      <c r="B164" s="22">
        <v>24.48</v>
      </c>
      <c r="C164" s="23">
        <v>24.8</v>
      </c>
      <c r="D164" s="23">
        <v>24.96</v>
      </c>
      <c r="E164" s="23">
        <v>24.8</v>
      </c>
      <c r="F164" s="23">
        <v>24.96</v>
      </c>
      <c r="G164" s="23">
        <v>24.64</v>
      </c>
      <c r="H164" s="23">
        <v>24.48</v>
      </c>
      <c r="I164" s="23">
        <v>24.32</v>
      </c>
      <c r="J164" s="23">
        <v>24.8</v>
      </c>
      <c r="K164" s="23">
        <v>24.8</v>
      </c>
      <c r="L164" s="23">
        <v>24.32</v>
      </c>
      <c r="M164" s="23">
        <v>80</v>
      </c>
      <c r="N164" s="23">
        <v>10.4</v>
      </c>
      <c r="O164" s="24">
        <v>2.2784</v>
      </c>
    </row>
    <row r="165" spans="1:15" x14ac:dyDescent="0.25">
      <c r="A165" s="17" t="s">
        <v>159</v>
      </c>
      <c r="B165" s="22">
        <v>21.24</v>
      </c>
      <c r="C165" s="23">
        <v>21.24</v>
      </c>
      <c r="D165" s="23">
        <v>22.2</v>
      </c>
      <c r="E165" s="23">
        <v>22.2</v>
      </c>
      <c r="F165" s="23">
        <v>21.4</v>
      </c>
      <c r="G165" s="23">
        <v>22.2</v>
      </c>
      <c r="H165" s="23">
        <v>22.04</v>
      </c>
      <c r="I165" s="23">
        <v>21.24</v>
      </c>
      <c r="J165" s="23">
        <v>21.24</v>
      </c>
      <c r="K165" s="23">
        <v>22.2</v>
      </c>
      <c r="L165" s="23">
        <v>21.24</v>
      </c>
      <c r="M165" s="23">
        <v>75</v>
      </c>
      <c r="N165" s="23">
        <v>7.8</v>
      </c>
      <c r="O165" s="24">
        <v>2.1408999999999998</v>
      </c>
    </row>
    <row r="166" spans="1:15" x14ac:dyDescent="0.25">
      <c r="A166" s="17" t="s">
        <v>160</v>
      </c>
      <c r="B166" s="22">
        <v>26.68</v>
      </c>
      <c r="C166" s="23">
        <v>27</v>
      </c>
      <c r="D166" s="23">
        <v>27</v>
      </c>
      <c r="E166" s="23">
        <v>27</v>
      </c>
      <c r="F166" s="23">
        <v>25.68</v>
      </c>
      <c r="G166" s="23">
        <v>27</v>
      </c>
      <c r="H166" s="23">
        <v>26.84</v>
      </c>
      <c r="I166" s="23">
        <v>27</v>
      </c>
      <c r="J166" s="23">
        <v>26.84</v>
      </c>
      <c r="K166" s="23">
        <v>27</v>
      </c>
      <c r="L166" s="23">
        <v>25.68</v>
      </c>
      <c r="M166" s="23">
        <v>86</v>
      </c>
      <c r="N166" s="23">
        <v>10.6</v>
      </c>
      <c r="O166" s="24">
        <v>2.6791999999999998</v>
      </c>
    </row>
    <row r="167" spans="1:15" x14ac:dyDescent="0.25">
      <c r="A167" s="17" t="s">
        <v>161</v>
      </c>
      <c r="B167" s="22">
        <v>22.28</v>
      </c>
      <c r="C167" s="23">
        <v>21.96</v>
      </c>
      <c r="D167" s="23">
        <v>22.12</v>
      </c>
      <c r="E167" s="23">
        <v>22.48</v>
      </c>
      <c r="F167" s="23">
        <v>23.4</v>
      </c>
      <c r="G167" s="23">
        <v>23.08</v>
      </c>
      <c r="H167" s="23">
        <v>22.44</v>
      </c>
      <c r="I167" s="23">
        <v>22.12</v>
      </c>
      <c r="J167" s="23">
        <v>22.44</v>
      </c>
      <c r="K167" s="23">
        <v>22.12</v>
      </c>
      <c r="L167" s="23">
        <v>21.96</v>
      </c>
      <c r="M167" s="23">
        <v>77</v>
      </c>
      <c r="N167" s="23">
        <v>8.1999999999999993</v>
      </c>
      <c r="O167" s="24">
        <v>2.8826999999999998</v>
      </c>
    </row>
    <row r="168" spans="1:15" x14ac:dyDescent="0.25">
      <c r="A168" s="17" t="s">
        <v>162</v>
      </c>
      <c r="B168" s="22">
        <v>22.52</v>
      </c>
      <c r="C168" s="23">
        <v>22.2</v>
      </c>
      <c r="D168" s="23">
        <v>22.36</v>
      </c>
      <c r="E168" s="23">
        <v>22.36</v>
      </c>
      <c r="F168" s="23">
        <v>22.2</v>
      </c>
      <c r="G168" s="23">
        <v>22.36</v>
      </c>
      <c r="H168" s="23">
        <v>21.72</v>
      </c>
      <c r="I168" s="23">
        <v>22.2</v>
      </c>
      <c r="J168" s="23">
        <v>22.68</v>
      </c>
      <c r="K168" s="23">
        <v>21.56</v>
      </c>
      <c r="L168" s="23">
        <v>21.56</v>
      </c>
      <c r="M168" s="23">
        <v>79</v>
      </c>
      <c r="N168" s="23">
        <v>7.2</v>
      </c>
      <c r="O168" s="24">
        <v>2.9864999999999999</v>
      </c>
    </row>
    <row r="169" spans="1:15" x14ac:dyDescent="0.25">
      <c r="A169" s="17" t="s">
        <v>163</v>
      </c>
      <c r="B169" s="22">
        <v>24.72</v>
      </c>
      <c r="C169" s="23">
        <v>23.6</v>
      </c>
      <c r="D169" s="23">
        <v>23.76</v>
      </c>
      <c r="E169" s="23">
        <v>23.6</v>
      </c>
      <c r="F169" s="23">
        <v>24.88</v>
      </c>
      <c r="G169" s="23">
        <v>23.6</v>
      </c>
      <c r="H169" s="23">
        <v>24.72</v>
      </c>
      <c r="I169" s="23">
        <v>23.76</v>
      </c>
      <c r="J169" s="23">
        <v>24.24</v>
      </c>
      <c r="K169" s="23">
        <v>24.56</v>
      </c>
      <c r="L169" s="23">
        <v>23.6</v>
      </c>
      <c r="M169" s="23">
        <v>90</v>
      </c>
      <c r="N169" s="23">
        <v>7</v>
      </c>
      <c r="O169" s="24">
        <v>4.8377999999999997</v>
      </c>
    </row>
    <row r="170" spans="1:15" x14ac:dyDescent="0.25">
      <c r="A170" s="17" t="s">
        <v>164</v>
      </c>
      <c r="B170" s="22">
        <v>29.96</v>
      </c>
      <c r="C170" s="23">
        <v>30.12</v>
      </c>
      <c r="D170" s="23">
        <v>29.96</v>
      </c>
      <c r="E170" s="23">
        <v>30.12</v>
      </c>
      <c r="F170" s="23">
        <v>29.96</v>
      </c>
      <c r="G170" s="23">
        <v>30.12</v>
      </c>
      <c r="H170" s="23">
        <v>29.96</v>
      </c>
      <c r="I170" s="23">
        <v>30.12</v>
      </c>
      <c r="J170" s="23">
        <v>29.96</v>
      </c>
      <c r="K170" s="23">
        <v>30.12</v>
      </c>
      <c r="L170" s="23">
        <v>29.96</v>
      </c>
      <c r="M170" s="23">
        <v>89</v>
      </c>
      <c r="N170" s="23">
        <v>15.2</v>
      </c>
      <c r="O170" s="24">
        <v>3.2808000000000002</v>
      </c>
    </row>
    <row r="171" spans="1:15" x14ac:dyDescent="0.25">
      <c r="A171" s="17" t="s">
        <v>165</v>
      </c>
      <c r="B171" s="22">
        <v>29.16</v>
      </c>
      <c r="C171" s="23">
        <v>28.68</v>
      </c>
      <c r="D171" s="23">
        <v>28.68</v>
      </c>
      <c r="E171" s="23">
        <v>28.52</v>
      </c>
      <c r="F171" s="23">
        <v>28.68</v>
      </c>
      <c r="G171" s="23">
        <v>28.52</v>
      </c>
      <c r="H171" s="23">
        <v>28.68</v>
      </c>
      <c r="I171" s="23">
        <v>29.32</v>
      </c>
      <c r="J171" s="23">
        <v>29.16</v>
      </c>
      <c r="K171" s="23">
        <v>28.68</v>
      </c>
      <c r="L171" s="23">
        <v>28.52</v>
      </c>
      <c r="M171" s="23">
        <v>109</v>
      </c>
      <c r="N171" s="23">
        <v>8.4</v>
      </c>
      <c r="O171" s="24">
        <v>4.5877999999999997</v>
      </c>
    </row>
    <row r="172" spans="1:15" x14ac:dyDescent="0.25">
      <c r="A172" s="17" t="s">
        <v>166</v>
      </c>
      <c r="B172" s="22">
        <v>18.64</v>
      </c>
      <c r="C172" s="23">
        <v>17.84</v>
      </c>
      <c r="D172" s="23">
        <v>17.36</v>
      </c>
      <c r="E172" s="23">
        <v>18.48</v>
      </c>
      <c r="F172" s="23">
        <v>18.64</v>
      </c>
      <c r="G172" s="23">
        <v>18.32</v>
      </c>
      <c r="H172" s="23">
        <v>18.64</v>
      </c>
      <c r="I172" s="23">
        <v>18.48</v>
      </c>
      <c r="J172" s="23">
        <v>18.64</v>
      </c>
      <c r="K172" s="23">
        <v>18.48</v>
      </c>
      <c r="L172" s="23">
        <v>17.36</v>
      </c>
      <c r="M172" s="23">
        <v>78</v>
      </c>
      <c r="N172" s="23">
        <v>2.2000000000000002</v>
      </c>
      <c r="O172" s="24">
        <v>4.2156000000000002</v>
      </c>
    </row>
    <row r="173" spans="1:15" x14ac:dyDescent="0.25">
      <c r="A173" s="17" t="s">
        <v>167</v>
      </c>
      <c r="B173" s="22">
        <v>24.12</v>
      </c>
      <c r="C173" s="23">
        <v>24.12</v>
      </c>
      <c r="D173" s="23">
        <v>24.12</v>
      </c>
      <c r="E173" s="23">
        <v>24.12</v>
      </c>
      <c r="F173" s="23">
        <v>24.12</v>
      </c>
      <c r="G173" s="23">
        <v>23.96</v>
      </c>
      <c r="H173" s="23">
        <v>23.96</v>
      </c>
      <c r="I173" s="23">
        <v>23.96</v>
      </c>
      <c r="J173" s="23">
        <v>24.12</v>
      </c>
      <c r="K173" s="23">
        <v>24.4</v>
      </c>
      <c r="L173" s="23">
        <v>23.96</v>
      </c>
      <c r="M173" s="23">
        <v>79</v>
      </c>
      <c r="N173" s="23">
        <v>10.199999999999999</v>
      </c>
      <c r="O173" s="24">
        <v>3.5878999999999999</v>
      </c>
    </row>
    <row r="174" spans="1:15" x14ac:dyDescent="0.25">
      <c r="A174" s="17" t="s">
        <v>168</v>
      </c>
      <c r="B174" s="22">
        <v>27.36</v>
      </c>
      <c r="C174" s="23">
        <v>27.36</v>
      </c>
      <c r="D174" s="23">
        <v>27.16</v>
      </c>
      <c r="E174" s="23">
        <v>27.36</v>
      </c>
      <c r="F174" s="23">
        <v>27.36</v>
      </c>
      <c r="G174" s="23">
        <v>26.4</v>
      </c>
      <c r="H174" s="23">
        <v>27.36</v>
      </c>
      <c r="I174" s="23">
        <v>26.56</v>
      </c>
      <c r="J174" s="23">
        <v>26.72</v>
      </c>
      <c r="K174" s="23">
        <v>27.04</v>
      </c>
      <c r="L174" s="23">
        <v>26.4</v>
      </c>
      <c r="M174" s="23">
        <v>88</v>
      </c>
      <c r="N174" s="23">
        <v>11</v>
      </c>
      <c r="O174" s="24">
        <v>4.5334000000000003</v>
      </c>
    </row>
    <row r="175" spans="1:15" x14ac:dyDescent="0.25">
      <c r="A175" s="17" t="s">
        <v>169</v>
      </c>
      <c r="B175" s="22">
        <v>24.16</v>
      </c>
      <c r="C175" s="23">
        <v>23.84</v>
      </c>
      <c r="D175" s="23">
        <v>24.16</v>
      </c>
      <c r="E175" s="23">
        <v>24</v>
      </c>
      <c r="F175" s="23">
        <v>24.32</v>
      </c>
      <c r="G175" s="23">
        <v>23.84</v>
      </c>
      <c r="H175" s="23">
        <v>23.84</v>
      </c>
      <c r="I175" s="23">
        <v>23.52</v>
      </c>
      <c r="J175" s="23">
        <v>24.48</v>
      </c>
      <c r="K175" s="23">
        <v>24.16</v>
      </c>
      <c r="L175" s="23">
        <v>23.52</v>
      </c>
      <c r="M175" s="23">
        <v>88</v>
      </c>
      <c r="N175" s="23">
        <v>7.4</v>
      </c>
      <c r="O175" s="24">
        <v>5.2690999999999999</v>
      </c>
    </row>
    <row r="176" spans="1:15" x14ac:dyDescent="0.25">
      <c r="A176" s="17" t="s">
        <v>170</v>
      </c>
      <c r="B176" s="22">
        <v>27.68</v>
      </c>
      <c r="C176" s="23">
        <v>26.08</v>
      </c>
      <c r="D176" s="23">
        <v>26.4</v>
      </c>
      <c r="E176" s="23">
        <v>27.04</v>
      </c>
      <c r="F176" s="23">
        <v>26.24</v>
      </c>
      <c r="G176" s="23">
        <v>26.88</v>
      </c>
      <c r="H176" s="23">
        <v>26.56</v>
      </c>
      <c r="I176" s="23">
        <v>26.72</v>
      </c>
      <c r="J176" s="23">
        <v>26.6</v>
      </c>
      <c r="K176" s="23">
        <v>26.08</v>
      </c>
      <c r="L176" s="23">
        <v>26.08</v>
      </c>
      <c r="M176" s="23">
        <v>96</v>
      </c>
      <c r="N176" s="23">
        <v>8.6</v>
      </c>
      <c r="O176" s="24">
        <v>6.133</v>
      </c>
    </row>
    <row r="177" spans="1:15" x14ac:dyDescent="0.25">
      <c r="A177" s="17" t="s">
        <v>171</v>
      </c>
      <c r="B177" s="22">
        <v>27.4</v>
      </c>
      <c r="C177" s="23">
        <v>27.92</v>
      </c>
      <c r="D177" s="23">
        <v>28.36</v>
      </c>
      <c r="E177" s="23">
        <v>28.36</v>
      </c>
      <c r="F177" s="23">
        <v>29</v>
      </c>
      <c r="G177" s="23">
        <v>28.36</v>
      </c>
      <c r="H177" s="23">
        <v>28.52</v>
      </c>
      <c r="I177" s="23">
        <v>28.36</v>
      </c>
      <c r="J177" s="23">
        <v>27.12</v>
      </c>
      <c r="K177" s="23">
        <v>28.36</v>
      </c>
      <c r="L177" s="23">
        <v>27.12</v>
      </c>
      <c r="M177" s="23">
        <v>106</v>
      </c>
      <c r="N177" s="23">
        <v>7.4</v>
      </c>
      <c r="O177" s="24">
        <v>4.7980999999999998</v>
      </c>
    </row>
    <row r="178" spans="1:15" x14ac:dyDescent="0.25">
      <c r="A178" s="17" t="s">
        <v>172</v>
      </c>
      <c r="B178" s="22">
        <v>24.72</v>
      </c>
      <c r="C178" s="23">
        <v>24.72</v>
      </c>
      <c r="D178" s="23">
        <v>25.04</v>
      </c>
      <c r="E178" s="23">
        <v>24.88</v>
      </c>
      <c r="F178" s="23">
        <v>23.76</v>
      </c>
      <c r="G178" s="23">
        <v>24.72</v>
      </c>
      <c r="H178" s="23">
        <v>24.72</v>
      </c>
      <c r="I178" s="23">
        <v>24.12</v>
      </c>
      <c r="J178" s="23">
        <v>23.96</v>
      </c>
      <c r="K178" s="23">
        <v>24.88</v>
      </c>
      <c r="L178" s="23">
        <v>23.76</v>
      </c>
      <c r="M178" s="23">
        <v>86</v>
      </c>
      <c r="N178" s="23">
        <v>8.1999999999999993</v>
      </c>
      <c r="O178" s="24">
        <v>5.5862999999999996</v>
      </c>
    </row>
    <row r="179" spans="1:15" x14ac:dyDescent="0.25">
      <c r="A179" s="17" t="s">
        <v>173</v>
      </c>
      <c r="B179" s="68">
        <v>35.6</v>
      </c>
      <c r="C179" s="69">
        <v>35.799999999999997</v>
      </c>
      <c r="D179" s="69">
        <v>35.799999999999997</v>
      </c>
      <c r="E179" s="69">
        <v>35.799999999999997</v>
      </c>
      <c r="F179" s="69">
        <v>35.64</v>
      </c>
      <c r="G179" s="69">
        <v>35.799999999999997</v>
      </c>
      <c r="H179" s="69">
        <v>35.799999999999997</v>
      </c>
      <c r="I179" s="69">
        <v>36.6</v>
      </c>
      <c r="J179" s="69">
        <v>35.799999999999997</v>
      </c>
      <c r="K179" s="69">
        <v>35.799999999999997</v>
      </c>
      <c r="L179" s="69">
        <v>35.6</v>
      </c>
      <c r="M179" s="23">
        <v>114</v>
      </c>
      <c r="N179" s="23">
        <v>16</v>
      </c>
      <c r="O179" s="24">
        <v>6.5615000000000014</v>
      </c>
    </row>
    <row r="180" spans="1:15" x14ac:dyDescent="0.25">
      <c r="A180" s="18" t="s">
        <v>174</v>
      </c>
      <c r="B180" s="22">
        <v>10.039999999999999</v>
      </c>
      <c r="C180" s="23">
        <v>10.039999999999999</v>
      </c>
      <c r="D180" s="23">
        <v>9.84</v>
      </c>
      <c r="E180" s="23">
        <v>9.84</v>
      </c>
      <c r="F180" s="23">
        <v>9.84</v>
      </c>
      <c r="G180" s="23">
        <v>9.84</v>
      </c>
      <c r="H180" s="23">
        <v>9.84</v>
      </c>
      <c r="I180" s="23">
        <v>9.84</v>
      </c>
      <c r="J180" s="23">
        <v>10.039999999999999</v>
      </c>
      <c r="K180" s="23">
        <v>9.84</v>
      </c>
      <c r="L180" s="23">
        <v>9.84</v>
      </c>
      <c r="M180" s="23">
        <v>46</v>
      </c>
      <c r="N180" s="23">
        <v>0.8</v>
      </c>
      <c r="O180" s="24">
        <v>0.83800000000000008</v>
      </c>
    </row>
    <row r="181" spans="1:15" x14ac:dyDescent="0.25">
      <c r="A181" s="18" t="s">
        <v>175</v>
      </c>
      <c r="B181" s="22">
        <v>9.4</v>
      </c>
      <c r="C181" s="23">
        <v>9.4</v>
      </c>
      <c r="D181" s="23">
        <v>9.4</v>
      </c>
      <c r="E181" s="23">
        <v>9.4</v>
      </c>
      <c r="F181" s="23">
        <v>9.4</v>
      </c>
      <c r="G181" s="23">
        <v>9.4</v>
      </c>
      <c r="H181" s="23">
        <v>9.4</v>
      </c>
      <c r="I181" s="23">
        <v>9.4</v>
      </c>
      <c r="J181" s="23">
        <v>9.4</v>
      </c>
      <c r="K181" s="23">
        <v>9.4</v>
      </c>
      <c r="L181" s="23">
        <v>9.4</v>
      </c>
      <c r="M181" s="23">
        <v>47</v>
      </c>
      <c r="N181" s="23">
        <v>0</v>
      </c>
      <c r="O181" s="24">
        <v>0.81530000000000002</v>
      </c>
    </row>
    <row r="182" spans="1:15" x14ac:dyDescent="0.25">
      <c r="A182" s="18" t="s">
        <v>176</v>
      </c>
      <c r="B182" s="22">
        <v>10.28</v>
      </c>
      <c r="C182" s="23">
        <v>10.119999999999999</v>
      </c>
      <c r="D182" s="23">
        <v>10.28</v>
      </c>
      <c r="E182" s="23">
        <v>10.119999999999999</v>
      </c>
      <c r="F182" s="23">
        <v>10.119999999999999</v>
      </c>
      <c r="G182" s="23">
        <v>10.119999999999999</v>
      </c>
      <c r="H182" s="23">
        <v>10.28</v>
      </c>
      <c r="I182" s="23">
        <v>10.119999999999999</v>
      </c>
      <c r="J182" s="23">
        <v>10.28</v>
      </c>
      <c r="K182" s="23">
        <v>10.119999999999999</v>
      </c>
      <c r="L182" s="23">
        <v>10.119999999999999</v>
      </c>
      <c r="M182" s="23">
        <v>45</v>
      </c>
      <c r="N182" s="23">
        <v>1.4</v>
      </c>
      <c r="O182" s="24">
        <v>0.81430000000000002</v>
      </c>
    </row>
    <row r="183" spans="1:15" x14ac:dyDescent="0.25">
      <c r="A183" s="18" t="s">
        <v>177</v>
      </c>
      <c r="B183" s="22">
        <v>9.8000000000000007</v>
      </c>
      <c r="C183" s="23">
        <v>9.8000000000000007</v>
      </c>
      <c r="D183" s="23">
        <v>9.8000000000000007</v>
      </c>
      <c r="E183" s="23">
        <v>9.8000000000000007</v>
      </c>
      <c r="F183" s="23">
        <v>9.8000000000000007</v>
      </c>
      <c r="G183" s="23">
        <v>9.8000000000000007</v>
      </c>
      <c r="H183" s="23">
        <v>9.8000000000000007</v>
      </c>
      <c r="I183" s="23">
        <v>9.8000000000000007</v>
      </c>
      <c r="J183" s="23">
        <v>9.8000000000000007</v>
      </c>
      <c r="K183" s="23">
        <v>9.8000000000000007</v>
      </c>
      <c r="L183" s="23">
        <v>9.8000000000000007</v>
      </c>
      <c r="M183" s="23">
        <v>45</v>
      </c>
      <c r="N183" s="23">
        <v>1</v>
      </c>
      <c r="O183" s="24">
        <v>0.82130000000000014</v>
      </c>
    </row>
    <row r="184" spans="1:15" x14ac:dyDescent="0.25">
      <c r="A184" s="18" t="s">
        <v>178</v>
      </c>
      <c r="B184" s="22">
        <v>9.8000000000000007</v>
      </c>
      <c r="C184" s="23">
        <v>9.8000000000000007</v>
      </c>
      <c r="D184" s="23">
        <v>9.8000000000000007</v>
      </c>
      <c r="E184" s="23">
        <v>9.8000000000000007</v>
      </c>
      <c r="F184" s="23">
        <v>9.8000000000000007</v>
      </c>
      <c r="G184" s="23">
        <v>9.8000000000000007</v>
      </c>
      <c r="H184" s="23">
        <v>9.8000000000000007</v>
      </c>
      <c r="I184" s="23">
        <v>9.8000000000000007</v>
      </c>
      <c r="J184" s="23">
        <v>9.8000000000000007</v>
      </c>
      <c r="K184" s="23">
        <v>9.8000000000000007</v>
      </c>
      <c r="L184" s="23">
        <v>9.8000000000000007</v>
      </c>
      <c r="M184" s="23">
        <v>45</v>
      </c>
      <c r="N184" s="23">
        <v>1</v>
      </c>
      <c r="O184" s="24">
        <v>0.90950000000000009</v>
      </c>
    </row>
    <row r="185" spans="1:15" x14ac:dyDescent="0.25">
      <c r="A185" s="18" t="s">
        <v>179</v>
      </c>
      <c r="B185" s="22">
        <v>12.64</v>
      </c>
      <c r="C185" s="23">
        <v>12.76</v>
      </c>
      <c r="D185" s="23">
        <v>12.64</v>
      </c>
      <c r="E185" s="23">
        <v>12.76</v>
      </c>
      <c r="F185" s="23">
        <v>12.8</v>
      </c>
      <c r="G185" s="23">
        <v>12.6</v>
      </c>
      <c r="H185" s="23">
        <v>12.64</v>
      </c>
      <c r="I185" s="23">
        <v>12.64</v>
      </c>
      <c r="J185" s="23">
        <v>12.64</v>
      </c>
      <c r="K185" s="23">
        <v>12.64</v>
      </c>
      <c r="L185" s="23">
        <v>12.6</v>
      </c>
      <c r="M185" s="23">
        <v>47</v>
      </c>
      <c r="N185" s="23">
        <v>4</v>
      </c>
      <c r="O185" s="24">
        <v>0.83019999999999994</v>
      </c>
    </row>
    <row r="186" spans="1:15" x14ac:dyDescent="0.25">
      <c r="A186" s="18" t="s">
        <v>180</v>
      </c>
      <c r="B186" s="22">
        <v>11.72</v>
      </c>
      <c r="C186" s="23">
        <v>11.72</v>
      </c>
      <c r="D186" s="23">
        <v>11.72</v>
      </c>
      <c r="E186" s="23">
        <v>11.72</v>
      </c>
      <c r="F186" s="23">
        <v>11.72</v>
      </c>
      <c r="G186" s="23">
        <v>11.8</v>
      </c>
      <c r="H186" s="23">
        <v>11.8</v>
      </c>
      <c r="I186" s="23">
        <v>11.8</v>
      </c>
      <c r="J186" s="23">
        <v>11.8</v>
      </c>
      <c r="K186" s="23">
        <v>11.8</v>
      </c>
      <c r="L186" s="23">
        <v>11.72</v>
      </c>
      <c r="M186" s="23">
        <v>45</v>
      </c>
      <c r="N186" s="23">
        <v>3.4</v>
      </c>
      <c r="O186" s="24">
        <v>0.85450000000000004</v>
      </c>
    </row>
    <row r="187" spans="1:15" x14ac:dyDescent="0.25">
      <c r="A187" s="18" t="s">
        <v>181</v>
      </c>
      <c r="B187" s="22">
        <v>11.04</v>
      </c>
      <c r="C187" s="23">
        <v>10.88</v>
      </c>
      <c r="D187" s="23">
        <v>10.68</v>
      </c>
      <c r="E187" s="23">
        <v>11.04</v>
      </c>
      <c r="F187" s="23">
        <v>10.88</v>
      </c>
      <c r="G187" s="23">
        <v>10.88</v>
      </c>
      <c r="H187" s="23">
        <v>10.88</v>
      </c>
      <c r="I187" s="23">
        <v>10.88</v>
      </c>
      <c r="J187" s="23">
        <v>10.68</v>
      </c>
      <c r="K187" s="23">
        <v>11.16</v>
      </c>
      <c r="L187" s="23">
        <v>10.68</v>
      </c>
      <c r="M187" s="23">
        <v>47</v>
      </c>
      <c r="N187" s="23">
        <v>1.6</v>
      </c>
      <c r="O187" s="24">
        <v>1.0209999999999999</v>
      </c>
    </row>
    <row r="188" spans="1:15" x14ac:dyDescent="0.25">
      <c r="A188" s="18" t="s">
        <v>182</v>
      </c>
      <c r="B188" s="22">
        <v>11.32</v>
      </c>
      <c r="C188" s="23">
        <v>11.32</v>
      </c>
      <c r="D188" s="23">
        <v>11.32</v>
      </c>
      <c r="E188" s="23">
        <v>11.32</v>
      </c>
      <c r="F188" s="23">
        <v>11.32</v>
      </c>
      <c r="G188" s="23">
        <v>11.32</v>
      </c>
      <c r="H188" s="23">
        <v>11.32</v>
      </c>
      <c r="I188" s="23">
        <v>11.32</v>
      </c>
      <c r="J188" s="23">
        <v>11.32</v>
      </c>
      <c r="K188" s="23">
        <v>11.32</v>
      </c>
      <c r="L188" s="23">
        <v>11.32</v>
      </c>
      <c r="M188" s="23">
        <v>51</v>
      </c>
      <c r="N188" s="23">
        <v>1.4</v>
      </c>
      <c r="O188" s="24">
        <v>1.0353000000000001</v>
      </c>
    </row>
    <row r="189" spans="1:15" x14ac:dyDescent="0.25">
      <c r="A189" s="18" t="s">
        <v>183</v>
      </c>
      <c r="B189" s="22">
        <v>11.08</v>
      </c>
      <c r="C189" s="23">
        <v>11.08</v>
      </c>
      <c r="D189" s="23">
        <v>10.88</v>
      </c>
      <c r="E189" s="23">
        <v>11.04</v>
      </c>
      <c r="F189" s="23">
        <v>11.04</v>
      </c>
      <c r="G189" s="23">
        <v>11.08</v>
      </c>
      <c r="H189" s="23">
        <v>10.88</v>
      </c>
      <c r="I189" s="23">
        <v>11.04</v>
      </c>
      <c r="J189" s="23">
        <v>10.88</v>
      </c>
      <c r="K189" s="23">
        <v>10.88</v>
      </c>
      <c r="L189" s="23">
        <v>10.88</v>
      </c>
      <c r="M189" s="23">
        <v>44</v>
      </c>
      <c r="N189" s="23">
        <v>2.6</v>
      </c>
      <c r="O189" s="24">
        <v>0.77010000000000001</v>
      </c>
    </row>
    <row r="190" spans="1:15" x14ac:dyDescent="0.25">
      <c r="A190" s="18" t="s">
        <v>184</v>
      </c>
      <c r="B190" s="22">
        <v>12.48</v>
      </c>
      <c r="C190" s="23">
        <v>12.16</v>
      </c>
      <c r="D190" s="23">
        <v>13.12</v>
      </c>
      <c r="E190" s="23">
        <v>12.48</v>
      </c>
      <c r="F190" s="23">
        <v>12.32</v>
      </c>
      <c r="G190" s="23">
        <v>12.16</v>
      </c>
      <c r="H190" s="23">
        <v>12.48</v>
      </c>
      <c r="I190" s="23">
        <v>12.16</v>
      </c>
      <c r="J190" s="23">
        <v>12.32</v>
      </c>
      <c r="K190" s="23">
        <v>12.32</v>
      </c>
      <c r="L190" s="23">
        <v>12.16</v>
      </c>
      <c r="M190" s="23">
        <v>48</v>
      </c>
      <c r="N190" s="23">
        <v>3.2</v>
      </c>
      <c r="O190" s="24">
        <v>0.10440000000000001</v>
      </c>
    </row>
    <row r="191" spans="1:15" x14ac:dyDescent="0.25">
      <c r="A191" s="18" t="s">
        <v>185</v>
      </c>
      <c r="B191" s="22">
        <v>11.08</v>
      </c>
      <c r="C191" s="23">
        <v>11.4</v>
      </c>
      <c r="D191" s="23">
        <v>11.24</v>
      </c>
      <c r="E191" s="23">
        <v>11.24</v>
      </c>
      <c r="F191" s="23">
        <v>11.24</v>
      </c>
      <c r="G191" s="23">
        <v>11.24</v>
      </c>
      <c r="H191" s="23">
        <v>11.08</v>
      </c>
      <c r="I191" s="23">
        <v>11.24</v>
      </c>
      <c r="J191" s="23">
        <v>11.4</v>
      </c>
      <c r="K191" s="23">
        <v>11.4</v>
      </c>
      <c r="L191" s="23">
        <v>11.08</v>
      </c>
      <c r="M191" s="23">
        <v>49</v>
      </c>
      <c r="N191" s="23">
        <v>1.6</v>
      </c>
      <c r="O191" s="24">
        <v>0.10150000000000001</v>
      </c>
    </row>
    <row r="192" spans="1:15" x14ac:dyDescent="0.25">
      <c r="A192" s="18" t="s">
        <v>186</v>
      </c>
      <c r="B192" s="22">
        <v>10.68</v>
      </c>
      <c r="C192" s="23">
        <v>10.68</v>
      </c>
      <c r="D192" s="23">
        <v>10.68</v>
      </c>
      <c r="E192" s="23">
        <v>10.68</v>
      </c>
      <c r="F192" s="23">
        <v>10.72</v>
      </c>
      <c r="G192" s="23">
        <v>10.68</v>
      </c>
      <c r="H192" s="23">
        <v>10.84</v>
      </c>
      <c r="I192" s="23">
        <v>10.68</v>
      </c>
      <c r="J192" s="23">
        <v>10.68</v>
      </c>
      <c r="K192" s="23">
        <v>10.84</v>
      </c>
      <c r="L192" s="23">
        <v>10.68</v>
      </c>
      <c r="M192" s="23">
        <v>43</v>
      </c>
      <c r="N192" s="23">
        <v>2.6</v>
      </c>
      <c r="O192" s="24">
        <v>9.0999999999999998E-2</v>
      </c>
    </row>
    <row r="193" spans="1:15" x14ac:dyDescent="0.25">
      <c r="A193" s="18" t="s">
        <v>187</v>
      </c>
      <c r="B193" s="22">
        <v>12.04</v>
      </c>
      <c r="C193" s="23">
        <v>12</v>
      </c>
      <c r="D193" s="23">
        <v>12.04</v>
      </c>
      <c r="E193" s="23">
        <v>12.04</v>
      </c>
      <c r="F193" s="23">
        <v>11.88</v>
      </c>
      <c r="G193" s="23">
        <v>12.04</v>
      </c>
      <c r="H193" s="23">
        <v>11.84</v>
      </c>
      <c r="I193" s="23">
        <v>12.04</v>
      </c>
      <c r="J193" s="23">
        <v>12.36</v>
      </c>
      <c r="K193" s="23">
        <v>12.04</v>
      </c>
      <c r="L193" s="23">
        <v>11.84</v>
      </c>
      <c r="M193" s="23">
        <v>48</v>
      </c>
      <c r="N193" s="23">
        <v>2.8</v>
      </c>
      <c r="O193" s="24">
        <v>9.9400000000000002E-2</v>
      </c>
    </row>
    <row r="194" spans="1:15" x14ac:dyDescent="0.25">
      <c r="A194" s="18" t="s">
        <v>188</v>
      </c>
      <c r="B194" s="22">
        <v>12.24</v>
      </c>
      <c r="C194" s="23">
        <v>12.24</v>
      </c>
      <c r="D194" s="23">
        <v>12.24</v>
      </c>
      <c r="E194" s="23">
        <v>12.24</v>
      </c>
      <c r="F194" s="23">
        <v>12.24</v>
      </c>
      <c r="G194" s="23">
        <v>12.24</v>
      </c>
      <c r="H194" s="23">
        <v>12.24</v>
      </c>
      <c r="I194" s="23">
        <v>12.24</v>
      </c>
      <c r="J194" s="23">
        <v>12.24</v>
      </c>
      <c r="K194" s="23">
        <v>12.24</v>
      </c>
      <c r="L194" s="23">
        <v>12.24</v>
      </c>
      <c r="M194" s="23">
        <v>58</v>
      </c>
      <c r="N194" s="23">
        <v>0.8</v>
      </c>
      <c r="O194" s="24">
        <v>0.112</v>
      </c>
    </row>
    <row r="195" spans="1:15" x14ac:dyDescent="0.25">
      <c r="A195" s="18" t="s">
        <v>189</v>
      </c>
      <c r="B195" s="22">
        <v>11.84</v>
      </c>
      <c r="C195" s="23">
        <v>11.68</v>
      </c>
      <c r="D195" s="23">
        <v>11.84</v>
      </c>
      <c r="E195" s="23">
        <v>11.84</v>
      </c>
      <c r="F195" s="23">
        <v>11.84</v>
      </c>
      <c r="G195" s="23">
        <v>11.64</v>
      </c>
      <c r="H195" s="23">
        <v>11.64</v>
      </c>
      <c r="I195" s="23">
        <v>11.84</v>
      </c>
      <c r="J195" s="23">
        <v>11.84</v>
      </c>
      <c r="K195" s="23">
        <v>11.84</v>
      </c>
      <c r="L195" s="23">
        <v>11.64</v>
      </c>
      <c r="M195" s="23">
        <v>51</v>
      </c>
      <c r="N195" s="23">
        <v>1.8</v>
      </c>
      <c r="O195" s="24">
        <v>0.1021</v>
      </c>
    </row>
    <row r="196" spans="1:15" x14ac:dyDescent="0.25">
      <c r="A196" s="18" t="s">
        <v>190</v>
      </c>
      <c r="B196" s="22">
        <v>9.56</v>
      </c>
      <c r="C196" s="23">
        <v>9.56</v>
      </c>
      <c r="D196" s="23">
        <v>9.56</v>
      </c>
      <c r="E196" s="23">
        <v>9.56</v>
      </c>
      <c r="F196" s="23">
        <v>9.56</v>
      </c>
      <c r="G196" s="23">
        <v>9.56</v>
      </c>
      <c r="H196" s="23">
        <v>9.56</v>
      </c>
      <c r="I196" s="23">
        <v>9.56</v>
      </c>
      <c r="J196" s="23">
        <v>10.039999999999999</v>
      </c>
      <c r="K196" s="23">
        <v>9.56</v>
      </c>
      <c r="L196" s="23">
        <v>9.56</v>
      </c>
      <c r="M196" s="23">
        <v>47</v>
      </c>
      <c r="N196" s="23">
        <v>0.2</v>
      </c>
      <c r="O196" s="24">
        <v>9.459999999999999E-2</v>
      </c>
    </row>
    <row r="197" spans="1:15" x14ac:dyDescent="0.25">
      <c r="A197" s="18" t="s">
        <v>191</v>
      </c>
      <c r="B197" s="22">
        <v>9.76</v>
      </c>
      <c r="C197" s="23">
        <v>9.76</v>
      </c>
      <c r="D197" s="23">
        <v>9.76</v>
      </c>
      <c r="E197" s="23">
        <v>9.8000000000000007</v>
      </c>
      <c r="F197" s="23">
        <v>9.76</v>
      </c>
      <c r="G197" s="23">
        <v>9.76</v>
      </c>
      <c r="H197" s="23">
        <v>9.76</v>
      </c>
      <c r="I197" s="23">
        <v>9.76</v>
      </c>
      <c r="J197" s="23">
        <v>9.8000000000000007</v>
      </c>
      <c r="K197" s="23">
        <v>9.76</v>
      </c>
      <c r="L197" s="23">
        <v>9.76</v>
      </c>
      <c r="M197" s="23">
        <v>48</v>
      </c>
      <c r="N197" s="23">
        <v>0.2</v>
      </c>
      <c r="O197" s="24">
        <v>9.7300000000000011E-2</v>
      </c>
    </row>
    <row r="198" spans="1:15" x14ac:dyDescent="0.25">
      <c r="A198" s="18" t="s">
        <v>192</v>
      </c>
      <c r="B198" s="22">
        <v>9.1999999999999993</v>
      </c>
      <c r="C198" s="23">
        <v>9.1999999999999993</v>
      </c>
      <c r="D198" s="23">
        <v>9.1999999999999993</v>
      </c>
      <c r="E198" s="23">
        <v>9.1999999999999993</v>
      </c>
      <c r="F198" s="23">
        <v>9.1999999999999993</v>
      </c>
      <c r="G198" s="23">
        <v>9.1999999999999993</v>
      </c>
      <c r="H198" s="23">
        <v>9.1999999999999993</v>
      </c>
      <c r="I198" s="23">
        <v>9.1999999999999993</v>
      </c>
      <c r="J198" s="23">
        <v>9.1999999999999993</v>
      </c>
      <c r="K198" s="23">
        <v>9.1999999999999993</v>
      </c>
      <c r="L198" s="23">
        <v>9.1999999999999993</v>
      </c>
      <c r="M198" s="23">
        <v>46</v>
      </c>
      <c r="N198" s="23">
        <v>0</v>
      </c>
      <c r="O198" s="24">
        <v>9.4399999999999998E-2</v>
      </c>
    </row>
    <row r="199" spans="1:15" x14ac:dyDescent="0.25">
      <c r="A199" s="18" t="s">
        <v>193</v>
      </c>
      <c r="B199" s="22">
        <v>9.6</v>
      </c>
      <c r="C199" s="23">
        <v>9.6</v>
      </c>
      <c r="D199" s="23">
        <v>9.6</v>
      </c>
      <c r="E199" s="23">
        <v>9.6</v>
      </c>
      <c r="F199" s="23">
        <v>9.6</v>
      </c>
      <c r="G199" s="23">
        <v>9.6</v>
      </c>
      <c r="H199" s="23">
        <v>9.8000000000000007</v>
      </c>
      <c r="I199" s="23">
        <v>9.6</v>
      </c>
      <c r="J199" s="23">
        <v>9.6</v>
      </c>
      <c r="K199" s="23">
        <v>9.6</v>
      </c>
      <c r="L199" s="23">
        <v>9.6</v>
      </c>
      <c r="M199" s="23">
        <v>48</v>
      </c>
      <c r="N199" s="23">
        <v>0</v>
      </c>
      <c r="O199" s="24">
        <v>9.6300000000000011E-2</v>
      </c>
    </row>
    <row r="200" spans="1:15" x14ac:dyDescent="0.25">
      <c r="A200" s="18" t="s">
        <v>194</v>
      </c>
      <c r="B200" s="22">
        <v>12.64</v>
      </c>
      <c r="C200" s="23">
        <v>12.32</v>
      </c>
      <c r="D200" s="23">
        <v>12.64</v>
      </c>
      <c r="E200" s="23">
        <v>12.48</v>
      </c>
      <c r="F200" s="23">
        <v>12.64</v>
      </c>
      <c r="G200" s="23">
        <v>12.52</v>
      </c>
      <c r="H200" s="23">
        <v>12.48</v>
      </c>
      <c r="I200" s="23">
        <v>12.32</v>
      </c>
      <c r="J200" s="23">
        <v>12.48</v>
      </c>
      <c r="K200" s="23">
        <v>12.48</v>
      </c>
      <c r="L200" s="23">
        <v>12.32</v>
      </c>
      <c r="M200" s="23">
        <v>44</v>
      </c>
      <c r="N200" s="23">
        <v>4.4000000000000004</v>
      </c>
      <c r="O200" s="24">
        <v>0.1076</v>
      </c>
    </row>
    <row r="201" spans="1:15" x14ac:dyDescent="0.25">
      <c r="A201" s="18" t="s">
        <v>195</v>
      </c>
      <c r="B201" s="22">
        <v>13.72</v>
      </c>
      <c r="C201" s="23">
        <v>13.72</v>
      </c>
      <c r="D201" s="23">
        <v>13.56</v>
      </c>
      <c r="E201" s="23">
        <v>13.68</v>
      </c>
      <c r="F201" s="23">
        <v>13.56</v>
      </c>
      <c r="G201" s="23">
        <v>13.72</v>
      </c>
      <c r="H201" s="23">
        <v>13.56</v>
      </c>
      <c r="I201" s="23">
        <v>13.56</v>
      </c>
      <c r="J201" s="23">
        <v>13.68</v>
      </c>
      <c r="K201" s="23">
        <v>13.56</v>
      </c>
      <c r="L201" s="23">
        <v>13.56</v>
      </c>
      <c r="M201" s="23">
        <v>47</v>
      </c>
      <c r="N201" s="23">
        <v>5.2</v>
      </c>
      <c r="O201" s="24">
        <v>0.11260000000000001</v>
      </c>
    </row>
    <row r="202" spans="1:15" x14ac:dyDescent="0.25">
      <c r="A202" s="18" t="s">
        <v>196</v>
      </c>
      <c r="B202" s="22">
        <v>9.7200000000000006</v>
      </c>
      <c r="C202" s="23">
        <v>9.8800000000000008</v>
      </c>
      <c r="D202" s="23">
        <v>9.7200000000000006</v>
      </c>
      <c r="E202" s="23">
        <v>9.7200000000000006</v>
      </c>
      <c r="F202" s="23">
        <v>9.7200000000000006</v>
      </c>
      <c r="G202" s="23">
        <v>9.8800000000000008</v>
      </c>
      <c r="H202" s="23">
        <v>10.039999999999999</v>
      </c>
      <c r="I202" s="23">
        <v>9.7200000000000006</v>
      </c>
      <c r="J202" s="23">
        <v>9.68</v>
      </c>
      <c r="K202" s="23">
        <v>9.8800000000000008</v>
      </c>
      <c r="L202" s="23">
        <v>9.68</v>
      </c>
      <c r="M202" s="23">
        <v>46</v>
      </c>
      <c r="N202" s="23">
        <v>0.6</v>
      </c>
      <c r="O202" s="24">
        <v>0.1116</v>
      </c>
    </row>
    <row r="203" spans="1:15" x14ac:dyDescent="0.25">
      <c r="A203" s="18" t="s">
        <v>197</v>
      </c>
      <c r="B203" s="22">
        <v>10.199999999999999</v>
      </c>
      <c r="C203" s="23">
        <v>10.4</v>
      </c>
      <c r="D203" s="23">
        <v>10.4</v>
      </c>
      <c r="E203" s="23">
        <v>10.4</v>
      </c>
      <c r="F203" s="23">
        <v>10.199999999999999</v>
      </c>
      <c r="G203" s="23">
        <v>10.4</v>
      </c>
      <c r="H203" s="23">
        <v>10.4</v>
      </c>
      <c r="I203" s="23">
        <v>10.4</v>
      </c>
      <c r="J203" s="23">
        <v>10.4</v>
      </c>
      <c r="K203" s="23">
        <v>10.4</v>
      </c>
      <c r="L203" s="23">
        <v>10.199999999999999</v>
      </c>
      <c r="M203" s="23">
        <v>51</v>
      </c>
      <c r="N203" s="23">
        <v>0</v>
      </c>
      <c r="O203" s="24">
        <v>0.11849999999999999</v>
      </c>
    </row>
    <row r="204" spans="1:15" x14ac:dyDescent="0.25">
      <c r="A204" s="18" t="s">
        <v>198</v>
      </c>
      <c r="B204" s="22">
        <v>10.24</v>
      </c>
      <c r="C204" s="23">
        <v>10.4</v>
      </c>
      <c r="D204" s="23">
        <v>9.9600000000000009</v>
      </c>
      <c r="E204" s="23">
        <v>9.9600000000000009</v>
      </c>
      <c r="F204" s="23">
        <v>10.44</v>
      </c>
      <c r="G204" s="23">
        <v>9.9600000000000009</v>
      </c>
      <c r="H204" s="23">
        <v>10.24</v>
      </c>
      <c r="I204" s="23">
        <v>10.24</v>
      </c>
      <c r="J204" s="23">
        <v>10.44</v>
      </c>
      <c r="K204" s="23">
        <v>9.9600000000000009</v>
      </c>
      <c r="L204" s="23">
        <v>9.9600000000000009</v>
      </c>
      <c r="M204" s="23">
        <v>49</v>
      </c>
      <c r="N204" s="23">
        <v>0.2</v>
      </c>
      <c r="O204" s="24">
        <v>0.113</v>
      </c>
    </row>
    <row r="205" spans="1:15" x14ac:dyDescent="0.25">
      <c r="A205" s="18" t="s">
        <v>199</v>
      </c>
      <c r="B205" s="22">
        <v>10.28</v>
      </c>
      <c r="C205" s="23">
        <v>10.119999999999999</v>
      </c>
      <c r="D205" s="23">
        <v>10.28</v>
      </c>
      <c r="E205" s="23">
        <v>10.28</v>
      </c>
      <c r="F205" s="23">
        <v>10.119999999999999</v>
      </c>
      <c r="G205" s="23">
        <v>9.9600000000000009</v>
      </c>
      <c r="H205" s="23">
        <v>10.119999999999999</v>
      </c>
      <c r="I205" s="23">
        <v>10.24</v>
      </c>
      <c r="J205" s="23">
        <v>10.119999999999999</v>
      </c>
      <c r="K205" s="23">
        <v>10.119999999999999</v>
      </c>
      <c r="L205" s="23">
        <v>9.9600000000000009</v>
      </c>
      <c r="M205" s="23">
        <v>45</v>
      </c>
      <c r="N205" s="23">
        <v>1.2</v>
      </c>
      <c r="O205" s="24">
        <v>0.10730000000000001</v>
      </c>
    </row>
    <row r="206" spans="1:15" x14ac:dyDescent="0.25">
      <c r="A206" s="18" t="s">
        <v>200</v>
      </c>
      <c r="B206" s="22">
        <v>12.24</v>
      </c>
      <c r="C206" s="23">
        <v>12.24</v>
      </c>
      <c r="D206" s="23">
        <v>12.24</v>
      </c>
      <c r="E206" s="23">
        <v>11.96</v>
      </c>
      <c r="F206" s="23">
        <v>12.12</v>
      </c>
      <c r="G206" s="23">
        <v>12.4</v>
      </c>
      <c r="H206" s="23">
        <v>12.12</v>
      </c>
      <c r="I206" s="23">
        <v>12.12</v>
      </c>
      <c r="J206" s="23">
        <v>11.96</v>
      </c>
      <c r="K206" s="23">
        <v>12.08</v>
      </c>
      <c r="L206" s="23">
        <v>11.96</v>
      </c>
      <c r="M206" s="23">
        <v>47</v>
      </c>
      <c r="N206" s="23">
        <v>3.2</v>
      </c>
      <c r="O206" s="24">
        <v>0.10979999999999999</v>
      </c>
    </row>
    <row r="207" spans="1:15" x14ac:dyDescent="0.25">
      <c r="A207" s="18" t="s">
        <v>201</v>
      </c>
      <c r="B207" s="22">
        <v>12.88</v>
      </c>
      <c r="C207" s="23">
        <v>12.88</v>
      </c>
      <c r="D207" s="23">
        <v>12.88</v>
      </c>
      <c r="E207" s="23">
        <v>12.72</v>
      </c>
      <c r="F207" s="23">
        <v>12.88</v>
      </c>
      <c r="G207" s="23">
        <v>12.72</v>
      </c>
      <c r="H207" s="23">
        <v>12.88</v>
      </c>
      <c r="I207" s="23">
        <v>13.04</v>
      </c>
      <c r="J207" s="23">
        <v>12.56</v>
      </c>
      <c r="K207" s="23">
        <v>12.88</v>
      </c>
      <c r="L207" s="23">
        <v>12.56</v>
      </c>
      <c r="M207" s="23">
        <v>54</v>
      </c>
      <c r="N207" s="23">
        <v>2.2000000000000002</v>
      </c>
      <c r="O207" s="24">
        <v>0.1227</v>
      </c>
    </row>
    <row r="208" spans="1:15" x14ac:dyDescent="0.25">
      <c r="A208" s="18" t="s">
        <v>202</v>
      </c>
      <c r="B208" s="22">
        <v>11.28</v>
      </c>
      <c r="C208" s="23">
        <v>11.28</v>
      </c>
      <c r="D208" s="23">
        <v>11.28</v>
      </c>
      <c r="E208" s="23">
        <v>11.28</v>
      </c>
      <c r="F208" s="23">
        <v>11.28</v>
      </c>
      <c r="G208" s="23">
        <v>11.28</v>
      </c>
      <c r="H208" s="23">
        <v>11.28</v>
      </c>
      <c r="I208" s="23">
        <v>11.28</v>
      </c>
      <c r="J208" s="23">
        <v>11.28</v>
      </c>
      <c r="K208" s="23">
        <v>11.28</v>
      </c>
      <c r="L208" s="23">
        <v>11.28</v>
      </c>
      <c r="M208" s="23">
        <v>46</v>
      </c>
      <c r="N208" s="23">
        <v>2.6</v>
      </c>
      <c r="O208" s="24">
        <v>0.11020000000000001</v>
      </c>
    </row>
    <row r="209" spans="1:15" x14ac:dyDescent="0.25">
      <c r="A209" s="18" t="s">
        <v>203</v>
      </c>
      <c r="B209" s="22">
        <v>10.32</v>
      </c>
      <c r="C209" s="23">
        <v>10.32</v>
      </c>
      <c r="D209" s="23">
        <v>10.32</v>
      </c>
      <c r="E209" s="23">
        <v>10.32</v>
      </c>
      <c r="F209" s="23">
        <v>10.32</v>
      </c>
      <c r="G209" s="23">
        <v>10.32</v>
      </c>
      <c r="H209" s="23">
        <v>10.32</v>
      </c>
      <c r="I209" s="23">
        <v>10.32</v>
      </c>
      <c r="J209" s="23">
        <v>10.28</v>
      </c>
      <c r="K209" s="23">
        <v>10.32</v>
      </c>
      <c r="L209" s="23">
        <v>10.28</v>
      </c>
      <c r="M209" s="23">
        <v>45</v>
      </c>
      <c r="N209" s="23">
        <v>1.6</v>
      </c>
      <c r="O209" s="24">
        <v>0.1091</v>
      </c>
    </row>
    <row r="210" spans="1:15" x14ac:dyDescent="0.25">
      <c r="A210" s="18" t="s">
        <v>204</v>
      </c>
      <c r="B210" s="22">
        <v>15.52</v>
      </c>
      <c r="C210" s="23">
        <v>15.84</v>
      </c>
      <c r="D210" s="23">
        <v>15.84</v>
      </c>
      <c r="E210" s="23">
        <v>16.04</v>
      </c>
      <c r="F210" s="23">
        <v>15.84</v>
      </c>
      <c r="G210" s="23">
        <v>16</v>
      </c>
      <c r="H210" s="23">
        <v>15.84</v>
      </c>
      <c r="I210" s="23">
        <v>15.84</v>
      </c>
      <c r="J210" s="23">
        <v>15.84</v>
      </c>
      <c r="K210" s="23">
        <v>15.84</v>
      </c>
      <c r="L210" s="23">
        <v>15.52</v>
      </c>
      <c r="M210" s="23">
        <v>48</v>
      </c>
      <c r="N210" s="23">
        <v>7.4</v>
      </c>
      <c r="O210" s="24">
        <v>0.13489999999999999</v>
      </c>
    </row>
    <row r="211" spans="1:15" x14ac:dyDescent="0.25">
      <c r="A211" s="18" t="s">
        <v>205</v>
      </c>
      <c r="B211" s="22">
        <v>17</v>
      </c>
      <c r="C211" s="23">
        <v>16.96</v>
      </c>
      <c r="D211" s="23">
        <v>17</v>
      </c>
      <c r="E211" s="23">
        <v>17</v>
      </c>
      <c r="F211" s="23">
        <v>16.8</v>
      </c>
      <c r="G211" s="23">
        <v>16.8</v>
      </c>
      <c r="H211" s="23">
        <v>17.12</v>
      </c>
      <c r="I211" s="23">
        <v>16.84</v>
      </c>
      <c r="J211" s="23">
        <v>16.8</v>
      </c>
      <c r="K211" s="23">
        <v>17</v>
      </c>
      <c r="L211" s="23">
        <v>16.8</v>
      </c>
      <c r="M211" s="23">
        <v>48</v>
      </c>
      <c r="N211" s="23">
        <v>9</v>
      </c>
      <c r="O211" s="24">
        <v>0.1201</v>
      </c>
    </row>
    <row r="212" spans="1:15" x14ac:dyDescent="0.25">
      <c r="A212" s="18" t="s">
        <v>206</v>
      </c>
      <c r="B212" s="22">
        <v>10.36</v>
      </c>
      <c r="C212" s="23">
        <v>10.36</v>
      </c>
      <c r="D212" s="23">
        <v>10.36</v>
      </c>
      <c r="E212" s="23">
        <v>10.36</v>
      </c>
      <c r="F212" s="23">
        <v>10.36</v>
      </c>
      <c r="G212" s="23">
        <v>10.36</v>
      </c>
      <c r="H212" s="23">
        <v>10.36</v>
      </c>
      <c r="I212" s="23">
        <v>10.36</v>
      </c>
      <c r="J212" s="23">
        <v>10.36</v>
      </c>
      <c r="K212" s="23">
        <v>10.36</v>
      </c>
      <c r="L212" s="23">
        <v>10.36</v>
      </c>
      <c r="M212" s="23">
        <v>47</v>
      </c>
      <c r="N212" s="23">
        <v>1.2</v>
      </c>
      <c r="O212" s="24">
        <v>0.12759999999999999</v>
      </c>
    </row>
    <row r="213" spans="1:15" x14ac:dyDescent="0.25">
      <c r="A213" s="18" t="s">
        <v>207</v>
      </c>
      <c r="B213" s="22">
        <v>9.48</v>
      </c>
      <c r="C213" s="23">
        <v>9.48</v>
      </c>
      <c r="D213" s="23">
        <v>9.32</v>
      </c>
      <c r="E213" s="23">
        <v>9.52</v>
      </c>
      <c r="F213" s="23">
        <v>9.32</v>
      </c>
      <c r="G213" s="23">
        <v>9.52</v>
      </c>
      <c r="H213" s="23">
        <v>9.48</v>
      </c>
      <c r="I213" s="23">
        <v>9.48</v>
      </c>
      <c r="J213" s="23">
        <v>9.48</v>
      </c>
      <c r="K213" s="23">
        <v>9.48</v>
      </c>
      <c r="L213" s="23">
        <v>9.32</v>
      </c>
      <c r="M213" s="23">
        <v>45</v>
      </c>
      <c r="N213" s="23">
        <v>0.4</v>
      </c>
      <c r="O213" s="24">
        <v>0.11210000000000001</v>
      </c>
    </row>
    <row r="214" spans="1:15" x14ac:dyDescent="0.25">
      <c r="A214" s="18" t="s">
        <v>208</v>
      </c>
      <c r="B214" s="22">
        <v>12.96</v>
      </c>
      <c r="C214" s="23">
        <v>12.96</v>
      </c>
      <c r="D214" s="23">
        <v>12.96</v>
      </c>
      <c r="E214" s="23">
        <v>12.96</v>
      </c>
      <c r="F214" s="23">
        <v>12.96</v>
      </c>
      <c r="G214" s="23">
        <v>12.96</v>
      </c>
      <c r="H214" s="23">
        <v>12.96</v>
      </c>
      <c r="I214" s="23">
        <v>12.96</v>
      </c>
      <c r="J214" s="23">
        <v>12.96</v>
      </c>
      <c r="K214" s="23">
        <v>12.96</v>
      </c>
      <c r="L214" s="23">
        <v>12.96</v>
      </c>
      <c r="M214" s="23">
        <v>48</v>
      </c>
      <c r="N214" s="23">
        <v>4.2</v>
      </c>
      <c r="O214" s="24">
        <v>0.1171</v>
      </c>
    </row>
    <row r="215" spans="1:15" x14ac:dyDescent="0.25">
      <c r="A215" s="18" t="s">
        <v>209</v>
      </c>
      <c r="B215" s="22">
        <v>12.04</v>
      </c>
      <c r="C215" s="23">
        <v>12.04</v>
      </c>
      <c r="D215" s="23">
        <v>12.04</v>
      </c>
      <c r="E215" s="23">
        <v>12.04</v>
      </c>
      <c r="F215" s="23">
        <v>12.04</v>
      </c>
      <c r="G215" s="23">
        <v>12.04</v>
      </c>
      <c r="H215" s="23">
        <v>12.04</v>
      </c>
      <c r="I215" s="23">
        <v>12.08</v>
      </c>
      <c r="J215" s="23">
        <v>11.88</v>
      </c>
      <c r="K215" s="23">
        <v>11.76</v>
      </c>
      <c r="L215" s="23">
        <v>11.76</v>
      </c>
      <c r="M215" s="23">
        <v>46</v>
      </c>
      <c r="N215" s="23">
        <v>3.2</v>
      </c>
      <c r="O215" s="24">
        <v>0.1114</v>
      </c>
    </row>
    <row r="216" spans="1:15" x14ac:dyDescent="0.25">
      <c r="A216" s="18" t="s">
        <v>210</v>
      </c>
      <c r="B216" s="22">
        <v>12.16</v>
      </c>
      <c r="C216" s="23">
        <v>12.16</v>
      </c>
      <c r="D216" s="23">
        <v>12</v>
      </c>
      <c r="E216" s="23">
        <v>12.16</v>
      </c>
      <c r="F216" s="23">
        <v>12.2</v>
      </c>
      <c r="G216" s="23">
        <v>11.96</v>
      </c>
      <c r="H216" s="23">
        <v>12.16</v>
      </c>
      <c r="I216" s="23">
        <v>12.16</v>
      </c>
      <c r="J216" s="23">
        <v>12.32</v>
      </c>
      <c r="K216" s="23">
        <v>12.16</v>
      </c>
      <c r="L216" s="23">
        <v>11.96</v>
      </c>
      <c r="M216" s="23">
        <v>51</v>
      </c>
      <c r="N216" s="23">
        <v>2.2000000000000002</v>
      </c>
      <c r="O216" s="24">
        <v>0.1406</v>
      </c>
    </row>
    <row r="217" spans="1:15" x14ac:dyDescent="0.25">
      <c r="A217" s="18" t="s">
        <v>211</v>
      </c>
      <c r="B217" s="22">
        <v>15.48</v>
      </c>
      <c r="C217" s="23">
        <v>15.48</v>
      </c>
      <c r="D217" s="23">
        <v>15.48</v>
      </c>
      <c r="E217" s="23">
        <v>15.48</v>
      </c>
      <c r="F217" s="23">
        <v>15.48</v>
      </c>
      <c r="G217" s="23">
        <v>15.48</v>
      </c>
      <c r="H217" s="23">
        <v>15.44</v>
      </c>
      <c r="I217" s="23">
        <v>15.48</v>
      </c>
      <c r="J217" s="23">
        <v>15.48</v>
      </c>
      <c r="K217" s="23">
        <v>15.48</v>
      </c>
      <c r="L217" s="23">
        <v>15.44</v>
      </c>
      <c r="M217" s="23">
        <v>54</v>
      </c>
      <c r="N217" s="23">
        <v>5.8</v>
      </c>
      <c r="O217" s="24">
        <v>0.1326</v>
      </c>
    </row>
    <row r="218" spans="1:15" x14ac:dyDescent="0.25">
      <c r="A218" s="18" t="s">
        <v>212</v>
      </c>
      <c r="B218" s="22">
        <v>10.56</v>
      </c>
      <c r="C218" s="23">
        <v>10.56</v>
      </c>
      <c r="D218" s="23">
        <v>10.56</v>
      </c>
      <c r="E218" s="23">
        <v>10.56</v>
      </c>
      <c r="F218" s="23">
        <v>10.56</v>
      </c>
      <c r="G218" s="23">
        <v>10.56</v>
      </c>
      <c r="H218" s="23">
        <v>10.56</v>
      </c>
      <c r="I218" s="23">
        <v>10.56</v>
      </c>
      <c r="J218" s="23">
        <v>10.56</v>
      </c>
      <c r="K218" s="23">
        <v>10.56</v>
      </c>
      <c r="L218" s="23">
        <v>10.56</v>
      </c>
      <c r="M218" s="23">
        <v>44</v>
      </c>
      <c r="N218" s="23">
        <v>2.2000000000000002</v>
      </c>
      <c r="O218" s="24">
        <v>0.10589999999999999</v>
      </c>
    </row>
    <row r="219" spans="1:15" x14ac:dyDescent="0.25">
      <c r="A219" s="18" t="s">
        <v>213</v>
      </c>
      <c r="B219" s="22">
        <v>11.36</v>
      </c>
      <c r="C219" s="23">
        <v>11.36</v>
      </c>
      <c r="D219" s="23">
        <v>11.36</v>
      </c>
      <c r="E219" s="23">
        <v>11.36</v>
      </c>
      <c r="F219" s="23">
        <v>11.36</v>
      </c>
      <c r="G219" s="23">
        <v>11.36</v>
      </c>
      <c r="H219" s="23">
        <v>11.36</v>
      </c>
      <c r="I219" s="23">
        <v>11.36</v>
      </c>
      <c r="J219" s="23">
        <v>11.36</v>
      </c>
      <c r="K219" s="23">
        <v>11.36</v>
      </c>
      <c r="L219" s="23">
        <v>11.36</v>
      </c>
      <c r="M219" s="23">
        <v>48</v>
      </c>
      <c r="N219" s="23">
        <v>2.2000000000000002</v>
      </c>
      <c r="O219" s="24">
        <v>0.11360000000000001</v>
      </c>
    </row>
    <row r="220" spans="1:15" x14ac:dyDescent="0.25">
      <c r="A220" s="18" t="s">
        <v>214</v>
      </c>
      <c r="B220" s="22">
        <v>13.8</v>
      </c>
      <c r="C220" s="23">
        <v>13.8</v>
      </c>
      <c r="D220" s="23">
        <v>13.8</v>
      </c>
      <c r="E220" s="23">
        <v>13.8</v>
      </c>
      <c r="F220" s="23">
        <v>13.8</v>
      </c>
      <c r="G220" s="23">
        <v>13.8</v>
      </c>
      <c r="H220" s="23">
        <v>13.8</v>
      </c>
      <c r="I220" s="23">
        <v>13.8</v>
      </c>
      <c r="J220" s="23">
        <v>13.8</v>
      </c>
      <c r="K220" s="23">
        <v>13.8</v>
      </c>
      <c r="L220" s="23">
        <v>13.8</v>
      </c>
      <c r="M220" s="23">
        <v>57</v>
      </c>
      <c r="N220" s="23">
        <v>3</v>
      </c>
      <c r="O220" s="24">
        <v>0.15479999999999999</v>
      </c>
    </row>
    <row r="221" spans="1:15" x14ac:dyDescent="0.25">
      <c r="A221" s="18" t="s">
        <v>215</v>
      </c>
      <c r="B221" s="22">
        <v>11.96</v>
      </c>
      <c r="C221" s="23">
        <v>12</v>
      </c>
      <c r="D221" s="23">
        <v>11.8</v>
      </c>
      <c r="E221" s="23">
        <v>11.96</v>
      </c>
      <c r="F221" s="23">
        <v>11.8</v>
      </c>
      <c r="G221" s="23">
        <v>11.96</v>
      </c>
      <c r="H221" s="23">
        <v>12.28</v>
      </c>
      <c r="I221" s="23">
        <v>11.8</v>
      </c>
      <c r="J221" s="23">
        <v>11.8</v>
      </c>
      <c r="K221" s="23">
        <v>11.8</v>
      </c>
      <c r="L221" s="23">
        <v>11.8</v>
      </c>
      <c r="M221" s="23">
        <v>47</v>
      </c>
      <c r="N221" s="23">
        <v>3</v>
      </c>
      <c r="O221" s="24">
        <v>0.1366</v>
      </c>
    </row>
    <row r="222" spans="1:15" x14ac:dyDescent="0.25">
      <c r="A222" s="18" t="s">
        <v>216</v>
      </c>
      <c r="B222" s="22">
        <v>12.2</v>
      </c>
      <c r="C222" s="23">
        <v>12.2</v>
      </c>
      <c r="D222" s="23">
        <v>12.2</v>
      </c>
      <c r="E222" s="23">
        <v>12.2</v>
      </c>
      <c r="F222" s="23">
        <v>12.2</v>
      </c>
      <c r="G222" s="23">
        <v>12.2</v>
      </c>
      <c r="H222" s="23">
        <v>12.2</v>
      </c>
      <c r="I222" s="23">
        <v>12.2</v>
      </c>
      <c r="J222" s="23">
        <v>12.2</v>
      </c>
      <c r="K222" s="23">
        <v>12.2</v>
      </c>
      <c r="L222" s="23">
        <v>12.2</v>
      </c>
      <c r="M222" s="23">
        <v>45</v>
      </c>
      <c r="N222" s="23">
        <v>4</v>
      </c>
      <c r="O222" s="24">
        <v>0.1288</v>
      </c>
    </row>
    <row r="223" spans="1:15" x14ac:dyDescent="0.25">
      <c r="A223" s="18" t="s">
        <v>217</v>
      </c>
      <c r="B223" s="22">
        <v>10.28</v>
      </c>
      <c r="C223" s="23">
        <v>10.28</v>
      </c>
      <c r="D223" s="23">
        <v>10.28</v>
      </c>
      <c r="E223" s="23">
        <v>10.28</v>
      </c>
      <c r="F223" s="23">
        <v>10.28</v>
      </c>
      <c r="G223" s="23">
        <v>10.28</v>
      </c>
      <c r="H223" s="23">
        <v>10.28</v>
      </c>
      <c r="I223" s="23">
        <v>10.28</v>
      </c>
      <c r="J223" s="23">
        <v>10.28</v>
      </c>
      <c r="K223" s="23">
        <v>10.28</v>
      </c>
      <c r="L223" s="23">
        <v>10.28</v>
      </c>
      <c r="M223" s="23">
        <v>45</v>
      </c>
      <c r="N223" s="23">
        <v>1.6</v>
      </c>
      <c r="O223" s="24">
        <v>0.13009999999999999</v>
      </c>
    </row>
    <row r="224" spans="1:15" x14ac:dyDescent="0.25">
      <c r="A224" s="18" t="s">
        <v>218</v>
      </c>
      <c r="B224" s="22">
        <v>11.48</v>
      </c>
      <c r="C224" s="23">
        <v>11.48</v>
      </c>
      <c r="D224" s="23">
        <v>11.48</v>
      </c>
      <c r="E224" s="23">
        <v>11.48</v>
      </c>
      <c r="F224" s="23">
        <v>11.48</v>
      </c>
      <c r="G224" s="23">
        <v>11.48</v>
      </c>
      <c r="H224" s="23">
        <v>11.48</v>
      </c>
      <c r="I224" s="23">
        <v>11.48</v>
      </c>
      <c r="J224" s="23">
        <v>11.48</v>
      </c>
      <c r="K224" s="23">
        <v>11.48</v>
      </c>
      <c r="L224" s="23">
        <v>11.48</v>
      </c>
      <c r="M224" s="23">
        <v>51</v>
      </c>
      <c r="N224" s="23">
        <v>1.6</v>
      </c>
      <c r="O224" s="24">
        <v>0.1416</v>
      </c>
    </row>
    <row r="225" spans="1:15" x14ac:dyDescent="0.25">
      <c r="A225" s="18" t="s">
        <v>219</v>
      </c>
      <c r="B225" s="22">
        <v>12.48</v>
      </c>
      <c r="C225" s="23">
        <v>12.52</v>
      </c>
      <c r="D225" s="23">
        <v>12.48</v>
      </c>
      <c r="E225" s="23">
        <v>12.52</v>
      </c>
      <c r="F225" s="23">
        <v>12.52</v>
      </c>
      <c r="G225" s="23">
        <v>12.48</v>
      </c>
      <c r="H225" s="23">
        <v>12.52</v>
      </c>
      <c r="I225" s="23">
        <v>12.64</v>
      </c>
      <c r="J225" s="23">
        <v>12.64</v>
      </c>
      <c r="K225" s="23">
        <v>12.84</v>
      </c>
      <c r="L225" s="23">
        <v>12.48</v>
      </c>
      <c r="M225" s="23">
        <v>48</v>
      </c>
      <c r="N225" s="23">
        <v>3.6</v>
      </c>
      <c r="O225" s="24">
        <v>0.1416</v>
      </c>
    </row>
    <row r="226" spans="1:15" x14ac:dyDescent="0.25">
      <c r="A226" s="18" t="s">
        <v>220</v>
      </c>
      <c r="B226" s="22">
        <v>9.68</v>
      </c>
      <c r="C226" s="23">
        <v>9.52</v>
      </c>
      <c r="D226" s="23">
        <v>9.68</v>
      </c>
      <c r="E226" s="23">
        <v>9.68</v>
      </c>
      <c r="F226" s="23">
        <v>9.68</v>
      </c>
      <c r="G226" s="23">
        <v>9.68</v>
      </c>
      <c r="H226" s="23">
        <v>9.68</v>
      </c>
      <c r="I226" s="23">
        <v>9.68</v>
      </c>
      <c r="J226" s="23">
        <v>9.8800000000000008</v>
      </c>
      <c r="K226" s="23">
        <v>9.68</v>
      </c>
      <c r="L226" s="23">
        <v>9.52</v>
      </c>
      <c r="M226" s="23">
        <v>46</v>
      </c>
      <c r="N226" s="23">
        <v>0.4</v>
      </c>
      <c r="O226" s="24">
        <v>0.13289999999999999</v>
      </c>
    </row>
    <row r="227" spans="1:15" x14ac:dyDescent="0.25">
      <c r="A227" s="18" t="s">
        <v>221</v>
      </c>
      <c r="B227" s="22">
        <v>10.56</v>
      </c>
      <c r="C227" s="23">
        <v>10.56</v>
      </c>
      <c r="D227" s="23">
        <v>10.56</v>
      </c>
      <c r="E227" s="23">
        <v>10.56</v>
      </c>
      <c r="F227" s="23">
        <v>10.56</v>
      </c>
      <c r="G227" s="23">
        <v>10.56</v>
      </c>
      <c r="H227" s="23">
        <v>10.56</v>
      </c>
      <c r="I227" s="23">
        <v>10.56</v>
      </c>
      <c r="J227" s="23">
        <v>10.56</v>
      </c>
      <c r="K227" s="23">
        <v>10.56</v>
      </c>
      <c r="L227" s="23">
        <v>10.56</v>
      </c>
      <c r="M227" s="23">
        <v>48</v>
      </c>
      <c r="N227" s="23">
        <v>1.2</v>
      </c>
      <c r="O227" s="24">
        <v>0.13539999999999999</v>
      </c>
    </row>
    <row r="228" spans="1:15" x14ac:dyDescent="0.25">
      <c r="A228" s="18" t="s">
        <v>222</v>
      </c>
      <c r="B228" s="22">
        <v>10.76</v>
      </c>
      <c r="C228" s="23">
        <v>10.6</v>
      </c>
      <c r="D228" s="23">
        <v>10.6</v>
      </c>
      <c r="E228" s="23">
        <v>10.6</v>
      </c>
      <c r="F228" s="23">
        <v>10.72</v>
      </c>
      <c r="G228" s="23">
        <v>10.6</v>
      </c>
      <c r="H228" s="23">
        <v>10.56</v>
      </c>
      <c r="I228" s="23">
        <v>10.6</v>
      </c>
      <c r="J228" s="23">
        <v>10.56</v>
      </c>
      <c r="K228" s="23">
        <v>10.56</v>
      </c>
      <c r="L228" s="23">
        <v>10.56</v>
      </c>
      <c r="M228" s="23">
        <v>48</v>
      </c>
      <c r="N228" s="23">
        <v>1.2</v>
      </c>
      <c r="O228" s="24">
        <v>0.13850000000000001</v>
      </c>
    </row>
    <row r="229" spans="1:15" x14ac:dyDescent="0.25">
      <c r="A229" s="18" t="s">
        <v>223</v>
      </c>
      <c r="B229" s="22">
        <v>9.52</v>
      </c>
      <c r="C229" s="23">
        <v>9.36</v>
      </c>
      <c r="D229" s="23">
        <v>9.36</v>
      </c>
      <c r="E229" s="23">
        <v>9.36</v>
      </c>
      <c r="F229" s="23">
        <v>9.36</v>
      </c>
      <c r="G229" s="23">
        <v>9.36</v>
      </c>
      <c r="H229" s="23">
        <v>9.36</v>
      </c>
      <c r="I229" s="23">
        <v>9.36</v>
      </c>
      <c r="J229" s="23">
        <v>9.36</v>
      </c>
      <c r="K229" s="23">
        <v>9.36</v>
      </c>
      <c r="L229" s="23">
        <v>9.36</v>
      </c>
      <c r="M229" s="23">
        <v>46</v>
      </c>
      <c r="N229" s="23">
        <v>0.2</v>
      </c>
      <c r="O229" s="24">
        <v>0.13070000000000001</v>
      </c>
    </row>
    <row r="230" spans="1:15" x14ac:dyDescent="0.25">
      <c r="A230" s="18" t="s">
        <v>224</v>
      </c>
      <c r="B230" s="22">
        <v>12.48</v>
      </c>
      <c r="C230" s="23">
        <v>12.48</v>
      </c>
      <c r="D230" s="23">
        <v>12.48</v>
      </c>
      <c r="E230" s="23">
        <v>12.48</v>
      </c>
      <c r="F230" s="23">
        <v>12.44</v>
      </c>
      <c r="G230" s="23">
        <v>12.48</v>
      </c>
      <c r="H230" s="23">
        <v>12.44</v>
      </c>
      <c r="I230" s="23">
        <v>12.48</v>
      </c>
      <c r="J230" s="23">
        <v>12.48</v>
      </c>
      <c r="K230" s="23">
        <v>12.44</v>
      </c>
      <c r="L230" s="23">
        <v>12.44</v>
      </c>
      <c r="M230" s="23">
        <v>47</v>
      </c>
      <c r="N230" s="23">
        <v>3.8</v>
      </c>
      <c r="O230" s="24">
        <v>0.17100000000000001</v>
      </c>
    </row>
    <row r="231" spans="1:15" x14ac:dyDescent="0.25">
      <c r="A231" s="18" t="s">
        <v>225</v>
      </c>
      <c r="B231" s="22">
        <v>13.68</v>
      </c>
      <c r="C231" s="23">
        <v>13.52</v>
      </c>
      <c r="D231" s="23">
        <v>13.2</v>
      </c>
      <c r="E231" s="23">
        <v>13.68</v>
      </c>
      <c r="F231" s="23">
        <v>13.68</v>
      </c>
      <c r="G231" s="23">
        <v>14.32</v>
      </c>
      <c r="H231" s="23">
        <v>13.68</v>
      </c>
      <c r="I231" s="23">
        <v>13.68</v>
      </c>
      <c r="J231" s="23">
        <v>13.52</v>
      </c>
      <c r="K231" s="23">
        <v>13.68</v>
      </c>
      <c r="L231" s="23">
        <v>13.2</v>
      </c>
      <c r="M231" s="23">
        <v>50</v>
      </c>
      <c r="N231" s="23">
        <v>4</v>
      </c>
      <c r="O231" s="24">
        <v>0.185</v>
      </c>
    </row>
    <row r="232" spans="1:15" x14ac:dyDescent="0.25">
      <c r="A232" s="18" t="s">
        <v>226</v>
      </c>
      <c r="B232" s="22">
        <v>11</v>
      </c>
      <c r="C232" s="23">
        <v>10.96</v>
      </c>
      <c r="D232" s="23">
        <v>10.96</v>
      </c>
      <c r="E232" s="23">
        <v>11</v>
      </c>
      <c r="F232" s="23">
        <v>11</v>
      </c>
      <c r="G232" s="23">
        <v>11</v>
      </c>
      <c r="H232" s="23">
        <v>11</v>
      </c>
      <c r="I232" s="23">
        <v>11</v>
      </c>
      <c r="J232" s="23">
        <v>11.12</v>
      </c>
      <c r="K232" s="23">
        <v>11</v>
      </c>
      <c r="L232" s="23">
        <v>10.96</v>
      </c>
      <c r="M232" s="23">
        <v>46</v>
      </c>
      <c r="N232" s="23">
        <v>2.2000000000000002</v>
      </c>
      <c r="O232" s="24">
        <v>0.16789999999999999</v>
      </c>
    </row>
    <row r="233" spans="1:15" x14ac:dyDescent="0.25">
      <c r="A233" s="18" t="s">
        <v>227</v>
      </c>
      <c r="B233" s="22">
        <v>10.96</v>
      </c>
      <c r="C233" s="23">
        <v>10.96</v>
      </c>
      <c r="D233" s="23">
        <v>10.96</v>
      </c>
      <c r="E233" s="23">
        <v>10.76</v>
      </c>
      <c r="F233" s="23">
        <v>10.96</v>
      </c>
      <c r="G233" s="23">
        <v>10.96</v>
      </c>
      <c r="H233" s="23">
        <v>10.76</v>
      </c>
      <c r="I233" s="23">
        <v>10.76</v>
      </c>
      <c r="J233" s="23">
        <v>10.76</v>
      </c>
      <c r="K233" s="23">
        <v>10.96</v>
      </c>
      <c r="L233" s="23">
        <v>10.76</v>
      </c>
      <c r="M233" s="23">
        <v>45</v>
      </c>
      <c r="N233" s="23">
        <v>2.2000000000000002</v>
      </c>
      <c r="O233" s="24">
        <v>0.16520000000000001</v>
      </c>
    </row>
    <row r="234" spans="1:15" x14ac:dyDescent="0.25">
      <c r="A234" s="18" t="s">
        <v>228</v>
      </c>
      <c r="B234" s="22">
        <v>11.04</v>
      </c>
      <c r="C234" s="23">
        <v>11.04</v>
      </c>
      <c r="D234" s="23">
        <v>11.04</v>
      </c>
      <c r="E234" s="23">
        <v>11.04</v>
      </c>
      <c r="F234" s="23">
        <v>11.04</v>
      </c>
      <c r="G234" s="23">
        <v>11.2</v>
      </c>
      <c r="H234" s="23">
        <v>11.04</v>
      </c>
      <c r="I234" s="23">
        <v>11.04</v>
      </c>
      <c r="J234" s="23">
        <v>11.04</v>
      </c>
      <c r="K234" s="23">
        <v>11.04</v>
      </c>
      <c r="L234" s="23">
        <v>11.04</v>
      </c>
      <c r="M234" s="23">
        <v>48</v>
      </c>
      <c r="N234" s="23">
        <v>1.8</v>
      </c>
      <c r="O234" s="24">
        <v>0.17100000000000001</v>
      </c>
    </row>
    <row r="235" spans="1:15" x14ac:dyDescent="0.25">
      <c r="A235" s="18" t="s">
        <v>229</v>
      </c>
      <c r="B235" s="22">
        <v>15.16</v>
      </c>
      <c r="C235" s="23">
        <v>15.16</v>
      </c>
      <c r="D235" s="23">
        <v>15.32</v>
      </c>
      <c r="E235" s="23">
        <v>15.32</v>
      </c>
      <c r="F235" s="23">
        <v>15.32</v>
      </c>
      <c r="G235" s="23">
        <v>15.32</v>
      </c>
      <c r="H235" s="23">
        <v>15.16</v>
      </c>
      <c r="I235" s="23">
        <v>15.16</v>
      </c>
      <c r="J235" s="23">
        <v>15.32</v>
      </c>
      <c r="K235" s="23">
        <v>15.16</v>
      </c>
      <c r="L235" s="23">
        <v>15.16</v>
      </c>
      <c r="M235" s="23">
        <v>55</v>
      </c>
      <c r="N235" s="23">
        <v>5.2</v>
      </c>
      <c r="O235" s="24">
        <v>0.18659999999999999</v>
      </c>
    </row>
    <row r="236" spans="1:15" x14ac:dyDescent="0.25">
      <c r="A236" s="18" t="s">
        <v>230</v>
      </c>
      <c r="B236" s="22">
        <v>13.12</v>
      </c>
      <c r="C236" s="23">
        <v>13.12</v>
      </c>
      <c r="D236" s="23">
        <v>13.12</v>
      </c>
      <c r="E236" s="23">
        <v>13.12</v>
      </c>
      <c r="F236" s="23">
        <v>12.96</v>
      </c>
      <c r="G236" s="23">
        <v>13.12</v>
      </c>
      <c r="H236" s="23">
        <v>13.12</v>
      </c>
      <c r="I236" s="23">
        <v>13.12</v>
      </c>
      <c r="J236" s="23">
        <v>13.12</v>
      </c>
      <c r="K236" s="23">
        <v>13.12</v>
      </c>
      <c r="L236" s="23">
        <v>12.96</v>
      </c>
      <c r="M236" s="23">
        <v>52</v>
      </c>
      <c r="N236" s="23">
        <v>3.2</v>
      </c>
      <c r="O236" s="24">
        <v>0.18659999999999999</v>
      </c>
    </row>
    <row r="237" spans="1:15" x14ac:dyDescent="0.25">
      <c r="A237" s="18" t="s">
        <v>231</v>
      </c>
      <c r="B237" s="22">
        <v>13.6</v>
      </c>
      <c r="C237" s="23">
        <v>13.4</v>
      </c>
      <c r="D237" s="23">
        <v>13.44</v>
      </c>
      <c r="E237" s="23">
        <v>13.6</v>
      </c>
      <c r="F237" s="23">
        <v>13.4</v>
      </c>
      <c r="G237" s="23">
        <v>13.56</v>
      </c>
      <c r="H237" s="23">
        <v>13.6</v>
      </c>
      <c r="I237" s="23">
        <v>13.44</v>
      </c>
      <c r="J237" s="23">
        <v>13.6</v>
      </c>
      <c r="K237" s="23">
        <v>13.44</v>
      </c>
      <c r="L237" s="23">
        <v>13.4</v>
      </c>
      <c r="M237" s="23">
        <v>47</v>
      </c>
      <c r="N237" s="23">
        <v>5</v>
      </c>
      <c r="O237" s="24">
        <v>0.1704</v>
      </c>
    </row>
    <row r="238" spans="1:15" x14ac:dyDescent="0.25">
      <c r="A238" s="18" t="s">
        <v>232</v>
      </c>
      <c r="B238" s="22">
        <v>12.84</v>
      </c>
      <c r="C238" s="23">
        <v>12.84</v>
      </c>
      <c r="D238" s="23">
        <v>12.84</v>
      </c>
      <c r="E238" s="23">
        <v>12.84</v>
      </c>
      <c r="F238" s="23">
        <v>12.84</v>
      </c>
      <c r="G238" s="23">
        <v>12.84</v>
      </c>
      <c r="H238" s="23">
        <v>12.84</v>
      </c>
      <c r="I238" s="23">
        <v>12.84</v>
      </c>
      <c r="J238" s="23">
        <v>12.84</v>
      </c>
      <c r="K238" s="23">
        <v>12.84</v>
      </c>
      <c r="L238" s="23">
        <v>12.84</v>
      </c>
      <c r="M238" s="23">
        <v>53</v>
      </c>
      <c r="N238" s="23">
        <v>2.8</v>
      </c>
      <c r="O238" s="24">
        <v>0.18559999999999999</v>
      </c>
    </row>
    <row r="239" spans="1:15" x14ac:dyDescent="0.25">
      <c r="A239" s="18" t="s">
        <v>233</v>
      </c>
      <c r="B239" s="22">
        <v>14.8</v>
      </c>
      <c r="C239" s="23">
        <v>14.8</v>
      </c>
      <c r="D239" s="23">
        <v>14.96</v>
      </c>
      <c r="E239" s="23">
        <v>14.96</v>
      </c>
      <c r="F239" s="23">
        <v>14.8</v>
      </c>
      <c r="G239" s="23">
        <v>14.64</v>
      </c>
      <c r="H239" s="23">
        <v>14.8</v>
      </c>
      <c r="I239" s="23">
        <v>14.8</v>
      </c>
      <c r="J239" s="23">
        <v>14.96</v>
      </c>
      <c r="K239" s="23">
        <v>14.8</v>
      </c>
      <c r="L239" s="23">
        <v>14.64</v>
      </c>
      <c r="M239" s="23">
        <v>58</v>
      </c>
      <c r="N239" s="23">
        <v>3.8</v>
      </c>
      <c r="O239" s="24">
        <v>0.20349999999999999</v>
      </c>
    </row>
    <row r="240" spans="1:15" x14ac:dyDescent="0.25">
      <c r="A240" s="18" t="s">
        <v>234</v>
      </c>
      <c r="B240" s="22">
        <v>11</v>
      </c>
      <c r="C240" s="23">
        <v>11</v>
      </c>
      <c r="D240" s="23">
        <v>11</v>
      </c>
      <c r="E240" s="23">
        <v>11</v>
      </c>
      <c r="F240" s="23">
        <v>11</v>
      </c>
      <c r="G240" s="23">
        <v>10.96</v>
      </c>
      <c r="H240" s="23">
        <v>11</v>
      </c>
      <c r="I240" s="23">
        <v>10.96</v>
      </c>
      <c r="J240" s="23">
        <v>11</v>
      </c>
      <c r="K240" s="23">
        <v>11</v>
      </c>
      <c r="L240" s="23">
        <v>10.96</v>
      </c>
      <c r="M240" s="23">
        <v>46</v>
      </c>
      <c r="N240" s="23">
        <v>2.2000000000000002</v>
      </c>
      <c r="O240" s="24">
        <v>0.2697</v>
      </c>
    </row>
    <row r="241" spans="1:15" x14ac:dyDescent="0.25">
      <c r="A241" s="18" t="s">
        <v>235</v>
      </c>
      <c r="B241" s="22">
        <v>10.88</v>
      </c>
      <c r="C241" s="23">
        <v>10.72</v>
      </c>
      <c r="D241" s="23">
        <v>10.88</v>
      </c>
      <c r="E241" s="23">
        <v>10.88</v>
      </c>
      <c r="F241" s="23">
        <v>10.88</v>
      </c>
      <c r="G241" s="23">
        <v>10.88</v>
      </c>
      <c r="H241" s="23">
        <v>10.88</v>
      </c>
      <c r="I241" s="23">
        <v>10.56</v>
      </c>
      <c r="J241" s="23">
        <v>10.88</v>
      </c>
      <c r="K241" s="23">
        <v>10.88</v>
      </c>
      <c r="L241" s="23">
        <v>10.56</v>
      </c>
      <c r="M241" s="23">
        <v>44</v>
      </c>
      <c r="N241" s="23">
        <v>2.2000000000000002</v>
      </c>
      <c r="O241" s="24">
        <v>0.25219999999999998</v>
      </c>
    </row>
    <row r="242" spans="1:15" x14ac:dyDescent="0.25">
      <c r="A242" s="18" t="s">
        <v>236</v>
      </c>
      <c r="B242" s="22">
        <v>14.2</v>
      </c>
      <c r="C242" s="23">
        <v>14.24</v>
      </c>
      <c r="D242" s="23">
        <v>14.36</v>
      </c>
      <c r="E242" s="23">
        <v>13.92</v>
      </c>
      <c r="F242" s="23">
        <v>14.4</v>
      </c>
      <c r="G242" s="23">
        <v>14.36</v>
      </c>
      <c r="H242" s="23">
        <v>14.2</v>
      </c>
      <c r="I242" s="23">
        <v>14.52</v>
      </c>
      <c r="J242" s="23">
        <v>14.68</v>
      </c>
      <c r="K242" s="23">
        <v>14.08</v>
      </c>
      <c r="L242" s="23">
        <v>13.92</v>
      </c>
      <c r="M242" s="23">
        <v>48</v>
      </c>
      <c r="N242" s="23">
        <v>5.4</v>
      </c>
      <c r="O242" s="24">
        <v>0.28810000000000002</v>
      </c>
    </row>
    <row r="243" spans="1:15" x14ac:dyDescent="0.25">
      <c r="A243" s="18" t="s">
        <v>237</v>
      </c>
      <c r="B243" s="22">
        <v>16.32</v>
      </c>
      <c r="C243" s="23">
        <v>16.28</v>
      </c>
      <c r="D243" s="23">
        <v>16.16</v>
      </c>
      <c r="E243" s="23">
        <v>16.16</v>
      </c>
      <c r="F243" s="23">
        <v>16.16</v>
      </c>
      <c r="G243" s="23">
        <v>16.16</v>
      </c>
      <c r="H243" s="23">
        <v>16.16</v>
      </c>
      <c r="I243" s="23">
        <v>16.32</v>
      </c>
      <c r="J243" s="23">
        <v>16.16</v>
      </c>
      <c r="K243" s="23">
        <v>16.16</v>
      </c>
      <c r="L243" s="23">
        <v>16.16</v>
      </c>
      <c r="M243" s="23">
        <v>52</v>
      </c>
      <c r="N243" s="23">
        <v>7.2</v>
      </c>
      <c r="O243" s="24">
        <v>0.29210000000000003</v>
      </c>
    </row>
    <row r="244" spans="1:15" x14ac:dyDescent="0.25">
      <c r="A244" s="18" t="s">
        <v>238</v>
      </c>
      <c r="B244" s="22">
        <v>11.08</v>
      </c>
      <c r="C244" s="23">
        <v>11.12</v>
      </c>
      <c r="D244" s="23">
        <v>11.12</v>
      </c>
      <c r="E244" s="23">
        <v>11.12</v>
      </c>
      <c r="F244" s="23">
        <v>11.12</v>
      </c>
      <c r="G244" s="23">
        <v>11.08</v>
      </c>
      <c r="H244" s="23">
        <v>11.12</v>
      </c>
      <c r="I244" s="23">
        <v>11.12</v>
      </c>
      <c r="J244" s="23">
        <v>11.12</v>
      </c>
      <c r="K244" s="23">
        <v>11.12</v>
      </c>
      <c r="L244" s="23">
        <v>11.08</v>
      </c>
      <c r="M244" s="23">
        <v>45</v>
      </c>
      <c r="N244" s="23">
        <v>2.6</v>
      </c>
      <c r="O244" s="24">
        <v>0.26569999999999999</v>
      </c>
    </row>
    <row r="245" spans="1:15" x14ac:dyDescent="0.25">
      <c r="A245" s="18" t="s">
        <v>239</v>
      </c>
      <c r="B245" s="22">
        <v>12.52</v>
      </c>
      <c r="C245" s="23">
        <v>12.52</v>
      </c>
      <c r="D245" s="23">
        <v>12.52</v>
      </c>
      <c r="E245" s="23">
        <v>12.52</v>
      </c>
      <c r="F245" s="23">
        <v>13</v>
      </c>
      <c r="G245" s="23">
        <v>12.52</v>
      </c>
      <c r="H245" s="23">
        <v>12.52</v>
      </c>
      <c r="I245" s="23">
        <v>12.52</v>
      </c>
      <c r="J245" s="23">
        <v>12.52</v>
      </c>
      <c r="K245" s="23">
        <v>12.52</v>
      </c>
      <c r="L245" s="23">
        <v>12.52</v>
      </c>
      <c r="M245" s="23">
        <v>53</v>
      </c>
      <c r="N245" s="23">
        <v>2.4</v>
      </c>
      <c r="O245" s="24">
        <v>0.29989999999999989</v>
      </c>
    </row>
    <row r="246" spans="1:15" x14ac:dyDescent="0.25">
      <c r="A246" s="18" t="s">
        <v>240</v>
      </c>
      <c r="B246" s="22">
        <v>10.56</v>
      </c>
      <c r="C246" s="23">
        <v>10.56</v>
      </c>
      <c r="D246" s="23">
        <v>10.24</v>
      </c>
      <c r="E246" s="23">
        <v>10.4</v>
      </c>
      <c r="F246" s="23">
        <v>10.56</v>
      </c>
      <c r="G246" s="23">
        <v>10.24</v>
      </c>
      <c r="H246" s="23">
        <v>10.44</v>
      </c>
      <c r="I246" s="23">
        <v>10.24</v>
      </c>
      <c r="J246" s="23">
        <v>10.4</v>
      </c>
      <c r="K246" s="23">
        <v>10.24</v>
      </c>
      <c r="L246" s="23">
        <v>10.24</v>
      </c>
      <c r="M246" s="23">
        <v>44</v>
      </c>
      <c r="N246" s="23">
        <v>1.8</v>
      </c>
      <c r="O246" s="24">
        <v>0.252</v>
      </c>
    </row>
    <row r="247" spans="1:15" x14ac:dyDescent="0.25">
      <c r="A247" s="18" t="s">
        <v>241</v>
      </c>
      <c r="B247" s="22">
        <v>12.12</v>
      </c>
      <c r="C247" s="23">
        <v>12.76</v>
      </c>
      <c r="D247" s="23">
        <v>12.08</v>
      </c>
      <c r="E247" s="23">
        <v>12.92</v>
      </c>
      <c r="F247" s="23">
        <v>12.4</v>
      </c>
      <c r="G247" s="23">
        <v>11.76</v>
      </c>
      <c r="H247" s="23">
        <v>12.24</v>
      </c>
      <c r="I247" s="23">
        <v>12.44</v>
      </c>
      <c r="J247" s="23">
        <v>12.28</v>
      </c>
      <c r="K247" s="23">
        <v>12.28</v>
      </c>
      <c r="L247" s="23">
        <v>11.76</v>
      </c>
      <c r="M247" s="23">
        <v>50</v>
      </c>
      <c r="N247" s="23">
        <v>2.2000000000000002</v>
      </c>
      <c r="O247" s="24">
        <v>0.33360000000000001</v>
      </c>
    </row>
    <row r="248" spans="1:15" x14ac:dyDescent="0.25">
      <c r="A248" s="18" t="s">
        <v>242</v>
      </c>
      <c r="B248" s="22">
        <v>10.4</v>
      </c>
      <c r="C248" s="23">
        <v>10.4</v>
      </c>
      <c r="D248" s="23">
        <v>10.4</v>
      </c>
      <c r="E248" s="23">
        <v>10.4</v>
      </c>
      <c r="F248" s="23">
        <v>10.4</v>
      </c>
      <c r="G248" s="23">
        <v>10.4</v>
      </c>
      <c r="H248" s="23">
        <v>10.4</v>
      </c>
      <c r="I248" s="23">
        <v>10.4</v>
      </c>
      <c r="J248" s="23">
        <v>10.4</v>
      </c>
      <c r="K248" s="23">
        <v>10.24</v>
      </c>
      <c r="L248" s="23">
        <v>10.24</v>
      </c>
      <c r="M248" s="23">
        <v>48</v>
      </c>
      <c r="N248" s="23">
        <v>0.8</v>
      </c>
      <c r="O248" s="24">
        <v>0.27</v>
      </c>
    </row>
    <row r="249" spans="1:15" x14ac:dyDescent="0.25">
      <c r="A249" s="18" t="s">
        <v>243</v>
      </c>
      <c r="B249" s="22">
        <v>9.7200000000000006</v>
      </c>
      <c r="C249" s="23">
        <v>9.8800000000000008</v>
      </c>
      <c r="D249" s="23">
        <v>9.7200000000000006</v>
      </c>
      <c r="E249" s="23">
        <v>9.7200000000000006</v>
      </c>
      <c r="F249" s="23">
        <v>9.7200000000000006</v>
      </c>
      <c r="G249" s="23">
        <v>9.7200000000000006</v>
      </c>
      <c r="H249" s="23">
        <v>9.7200000000000006</v>
      </c>
      <c r="I249" s="23">
        <v>9.7200000000000006</v>
      </c>
      <c r="J249" s="23">
        <v>9.7200000000000006</v>
      </c>
      <c r="K249" s="23">
        <v>9.7200000000000006</v>
      </c>
      <c r="L249" s="23">
        <v>9.7200000000000006</v>
      </c>
      <c r="M249" s="23">
        <v>47</v>
      </c>
      <c r="N249" s="23">
        <v>0.4</v>
      </c>
      <c r="O249" s="24">
        <v>0.27629999999999999</v>
      </c>
    </row>
    <row r="250" spans="1:15" x14ac:dyDescent="0.25">
      <c r="A250" s="18" t="s">
        <v>244</v>
      </c>
      <c r="B250" s="22">
        <v>11.16</v>
      </c>
      <c r="C250" s="23">
        <v>11.12</v>
      </c>
      <c r="D250" s="23">
        <v>11.16</v>
      </c>
      <c r="E250" s="23">
        <v>10.96</v>
      </c>
      <c r="F250" s="23">
        <v>10.96</v>
      </c>
      <c r="G250" s="23">
        <v>10.96</v>
      </c>
      <c r="H250" s="23">
        <v>10.96</v>
      </c>
      <c r="I250" s="23">
        <v>11.16</v>
      </c>
      <c r="J250" s="23">
        <v>11</v>
      </c>
      <c r="K250" s="23">
        <v>11.12</v>
      </c>
      <c r="L250" s="23">
        <v>10.96</v>
      </c>
      <c r="M250" s="23">
        <v>46</v>
      </c>
      <c r="N250" s="23">
        <v>2.2000000000000002</v>
      </c>
      <c r="O250" s="24">
        <v>0.37059999999999998</v>
      </c>
    </row>
    <row r="251" spans="1:15" x14ac:dyDescent="0.25">
      <c r="A251" s="18" t="s">
        <v>245</v>
      </c>
      <c r="B251" s="22">
        <v>11.64</v>
      </c>
      <c r="C251" s="23">
        <v>11.64</v>
      </c>
      <c r="D251" s="23">
        <v>11.64</v>
      </c>
      <c r="E251" s="23">
        <v>11.64</v>
      </c>
      <c r="F251" s="23">
        <v>11.64</v>
      </c>
      <c r="G251" s="23">
        <v>11.64</v>
      </c>
      <c r="H251" s="23">
        <v>11.8</v>
      </c>
      <c r="I251" s="23">
        <v>11.64</v>
      </c>
      <c r="J251" s="23">
        <v>11.8</v>
      </c>
      <c r="K251" s="23">
        <v>11.8</v>
      </c>
      <c r="L251" s="23">
        <v>11.64</v>
      </c>
      <c r="M251" s="23">
        <v>47</v>
      </c>
      <c r="N251" s="23">
        <v>2.8</v>
      </c>
      <c r="O251" s="24">
        <v>0.38579999999999998</v>
      </c>
    </row>
    <row r="252" spans="1:15" x14ac:dyDescent="0.25">
      <c r="A252" s="18" t="s">
        <v>246</v>
      </c>
      <c r="B252" s="22">
        <v>11.52</v>
      </c>
      <c r="C252" s="23">
        <v>11.52</v>
      </c>
      <c r="D252" s="23">
        <v>11.52</v>
      </c>
      <c r="E252" s="23">
        <v>11.52</v>
      </c>
      <c r="F252" s="23">
        <v>11.52</v>
      </c>
      <c r="G252" s="23">
        <v>11.52</v>
      </c>
      <c r="H252" s="23">
        <v>11.52</v>
      </c>
      <c r="I252" s="23">
        <v>11.52</v>
      </c>
      <c r="J252" s="23">
        <v>11.52</v>
      </c>
      <c r="K252" s="23">
        <v>11.52</v>
      </c>
      <c r="L252" s="23">
        <v>11.52</v>
      </c>
      <c r="M252" s="23">
        <v>48</v>
      </c>
      <c r="N252" s="23">
        <v>2.4</v>
      </c>
      <c r="O252" s="24">
        <v>0.3947</v>
      </c>
    </row>
    <row r="253" spans="1:15" x14ac:dyDescent="0.25">
      <c r="A253" s="18" t="s">
        <v>247</v>
      </c>
      <c r="B253" s="22">
        <v>11.72</v>
      </c>
      <c r="C253" s="23">
        <v>11.72</v>
      </c>
      <c r="D253" s="23">
        <v>11.72</v>
      </c>
      <c r="E253" s="23">
        <v>11.72</v>
      </c>
      <c r="F253" s="23">
        <v>11.72</v>
      </c>
      <c r="G253" s="23">
        <v>11.72</v>
      </c>
      <c r="H253" s="23">
        <v>11.72</v>
      </c>
      <c r="I253" s="23">
        <v>11.72</v>
      </c>
      <c r="J253" s="23">
        <v>11.72</v>
      </c>
      <c r="K253" s="23">
        <v>11.72</v>
      </c>
      <c r="L253" s="23">
        <v>11.72</v>
      </c>
      <c r="M253" s="23">
        <v>49</v>
      </c>
      <c r="N253" s="23">
        <v>2.4</v>
      </c>
      <c r="O253" s="24">
        <v>0.38950000000000001</v>
      </c>
    </row>
    <row r="254" spans="1:15" x14ac:dyDescent="0.25">
      <c r="A254" s="18" t="s">
        <v>248</v>
      </c>
      <c r="B254" s="22">
        <v>10.88</v>
      </c>
      <c r="C254" s="23">
        <v>10.88</v>
      </c>
      <c r="D254" s="23">
        <v>10.92</v>
      </c>
      <c r="E254" s="23">
        <v>10.88</v>
      </c>
      <c r="F254" s="23">
        <v>10.88</v>
      </c>
      <c r="G254" s="23">
        <v>10.92</v>
      </c>
      <c r="H254" s="23">
        <v>10.72</v>
      </c>
      <c r="I254" s="23">
        <v>10.92</v>
      </c>
      <c r="J254" s="23">
        <v>10.88</v>
      </c>
      <c r="K254" s="23">
        <v>10.72</v>
      </c>
      <c r="L254" s="23">
        <v>10.72</v>
      </c>
      <c r="M254" s="23">
        <v>48</v>
      </c>
      <c r="N254" s="23">
        <v>1.4</v>
      </c>
      <c r="O254" s="24">
        <v>0.3891</v>
      </c>
    </row>
    <row r="255" spans="1:15" x14ac:dyDescent="0.25">
      <c r="A255" s="18" t="s">
        <v>249</v>
      </c>
      <c r="B255" s="22">
        <v>10.32</v>
      </c>
      <c r="C255" s="23">
        <v>10.32</v>
      </c>
      <c r="D255" s="23">
        <v>10.32</v>
      </c>
      <c r="E255" s="23">
        <v>10.32</v>
      </c>
      <c r="F255" s="23">
        <v>10.32</v>
      </c>
      <c r="G255" s="23">
        <v>10.32</v>
      </c>
      <c r="H255" s="23">
        <v>10.32</v>
      </c>
      <c r="I255" s="23">
        <v>10.32</v>
      </c>
      <c r="J255" s="23">
        <v>10.32</v>
      </c>
      <c r="K255" s="23">
        <v>10.32</v>
      </c>
      <c r="L255" s="23">
        <v>10.32</v>
      </c>
      <c r="M255" s="23">
        <v>46</v>
      </c>
      <c r="N255" s="23">
        <v>1.4</v>
      </c>
      <c r="O255" s="24">
        <v>0.3775</v>
      </c>
    </row>
    <row r="256" spans="1:15" x14ac:dyDescent="0.25">
      <c r="A256" s="18" t="s">
        <v>250</v>
      </c>
      <c r="B256" s="22">
        <v>10.119999999999999</v>
      </c>
      <c r="C256" s="23">
        <v>10.119999999999999</v>
      </c>
      <c r="D256" s="23">
        <v>10.32</v>
      </c>
      <c r="E256" s="23">
        <v>10.119999999999999</v>
      </c>
      <c r="F256" s="23">
        <v>10.32</v>
      </c>
      <c r="G256" s="23">
        <v>10.119999999999999</v>
      </c>
      <c r="H256" s="23">
        <v>10.119999999999999</v>
      </c>
      <c r="I256" s="23">
        <v>10.119999999999999</v>
      </c>
      <c r="J256" s="23">
        <v>10.119999999999999</v>
      </c>
      <c r="K256" s="23">
        <v>10.119999999999999</v>
      </c>
      <c r="L256" s="23">
        <v>10.119999999999999</v>
      </c>
      <c r="M256" s="23">
        <v>49</v>
      </c>
      <c r="N256" s="23">
        <v>0.4</v>
      </c>
      <c r="O256" s="24">
        <v>0.43430000000000002</v>
      </c>
    </row>
    <row r="257" spans="1:15" x14ac:dyDescent="0.25">
      <c r="A257" s="18" t="s">
        <v>251</v>
      </c>
      <c r="B257" s="22">
        <v>10.72</v>
      </c>
      <c r="C257" s="23">
        <v>10.72</v>
      </c>
      <c r="D257" s="23">
        <v>10.72</v>
      </c>
      <c r="E257" s="23">
        <v>10.72</v>
      </c>
      <c r="F257" s="23">
        <v>10.72</v>
      </c>
      <c r="G257" s="23">
        <v>10.72</v>
      </c>
      <c r="H257" s="23">
        <v>10.72</v>
      </c>
      <c r="I257" s="23">
        <v>10.72</v>
      </c>
      <c r="J257" s="23">
        <v>10.72</v>
      </c>
      <c r="K257" s="23">
        <v>10.72</v>
      </c>
      <c r="L257" s="23">
        <v>10.72</v>
      </c>
      <c r="M257" s="23">
        <v>48</v>
      </c>
      <c r="N257" s="23">
        <v>1.4</v>
      </c>
      <c r="O257" s="24">
        <v>0.39190000000000003</v>
      </c>
    </row>
    <row r="258" spans="1:15" x14ac:dyDescent="0.25">
      <c r="A258" s="18" t="s">
        <v>252</v>
      </c>
      <c r="B258" s="22">
        <v>13.64</v>
      </c>
      <c r="C258" s="23">
        <v>13.64</v>
      </c>
      <c r="D258" s="23">
        <v>13.64</v>
      </c>
      <c r="E258" s="23">
        <v>13.8</v>
      </c>
      <c r="F258" s="23">
        <v>13.8</v>
      </c>
      <c r="G258" s="23">
        <v>13.8</v>
      </c>
      <c r="H258" s="23">
        <v>13.64</v>
      </c>
      <c r="I258" s="23">
        <v>13.8</v>
      </c>
      <c r="J258" s="23">
        <v>13.8</v>
      </c>
      <c r="K258" s="23">
        <v>13.8</v>
      </c>
      <c r="L258" s="23">
        <v>13.64</v>
      </c>
      <c r="M258" s="23">
        <v>49</v>
      </c>
      <c r="N258" s="23">
        <v>4.8</v>
      </c>
      <c r="O258" s="24">
        <v>0.3987</v>
      </c>
    </row>
    <row r="259" spans="1:15" x14ac:dyDescent="0.25">
      <c r="A259" s="18" t="s">
        <v>253</v>
      </c>
      <c r="B259" s="22">
        <v>11.56</v>
      </c>
      <c r="C259" s="23">
        <v>11.56</v>
      </c>
      <c r="D259" s="23">
        <v>11.6</v>
      </c>
      <c r="E259" s="23">
        <v>11.6</v>
      </c>
      <c r="F259" s="23">
        <v>11.4</v>
      </c>
      <c r="G259" s="23">
        <v>11.4</v>
      </c>
      <c r="H259" s="23">
        <v>11.4</v>
      </c>
      <c r="I259" s="23">
        <v>11.56</v>
      </c>
      <c r="J259" s="23">
        <v>11.6</v>
      </c>
      <c r="K259" s="23">
        <v>11.4</v>
      </c>
      <c r="L259" s="23">
        <v>11.4</v>
      </c>
      <c r="M259" s="23">
        <v>49</v>
      </c>
      <c r="N259" s="23">
        <v>2</v>
      </c>
      <c r="O259" s="24">
        <v>0.39929999999999999</v>
      </c>
    </row>
    <row r="260" spans="1:15" x14ac:dyDescent="0.25">
      <c r="A260" s="18" t="s">
        <v>254</v>
      </c>
      <c r="B260" s="22">
        <v>11.84</v>
      </c>
      <c r="C260" s="23">
        <v>12</v>
      </c>
      <c r="D260" s="23">
        <v>11.84</v>
      </c>
      <c r="E260" s="23">
        <v>11.68</v>
      </c>
      <c r="F260" s="23">
        <v>11.84</v>
      </c>
      <c r="G260" s="23">
        <v>11.84</v>
      </c>
      <c r="H260" s="23">
        <v>11.88</v>
      </c>
      <c r="I260" s="23">
        <v>11.68</v>
      </c>
      <c r="J260" s="23">
        <v>11.84</v>
      </c>
      <c r="K260" s="23">
        <v>12</v>
      </c>
      <c r="L260" s="23">
        <v>11.68</v>
      </c>
      <c r="M260" s="23">
        <v>44</v>
      </c>
      <c r="N260" s="23">
        <v>3.6</v>
      </c>
      <c r="O260" s="24">
        <v>0.40200000000000002</v>
      </c>
    </row>
    <row r="261" spans="1:15" x14ac:dyDescent="0.25">
      <c r="A261" s="18" t="s">
        <v>255</v>
      </c>
      <c r="B261" s="22">
        <v>11.28</v>
      </c>
      <c r="C261" s="23">
        <v>11.12</v>
      </c>
      <c r="D261" s="23">
        <v>11.12</v>
      </c>
      <c r="E261" s="23">
        <v>11.28</v>
      </c>
      <c r="F261" s="23">
        <v>11.28</v>
      </c>
      <c r="G261" s="23">
        <v>11.28</v>
      </c>
      <c r="H261" s="23">
        <v>11.28</v>
      </c>
      <c r="I261" s="23">
        <v>11.28</v>
      </c>
      <c r="J261" s="23">
        <v>11.12</v>
      </c>
      <c r="K261" s="23">
        <v>11.12</v>
      </c>
      <c r="L261" s="23">
        <v>11.12</v>
      </c>
      <c r="M261" s="23">
        <v>50</v>
      </c>
      <c r="N261" s="23">
        <v>1.4</v>
      </c>
      <c r="O261" s="24">
        <v>0.44569999999999999</v>
      </c>
    </row>
    <row r="262" spans="1:15" x14ac:dyDescent="0.25">
      <c r="A262" s="18" t="s">
        <v>256</v>
      </c>
      <c r="B262" s="22">
        <v>9.56</v>
      </c>
      <c r="C262" s="23">
        <v>9.56</v>
      </c>
      <c r="D262" s="23">
        <v>9.56</v>
      </c>
      <c r="E262" s="23">
        <v>9.56</v>
      </c>
      <c r="F262" s="23">
        <v>9.56</v>
      </c>
      <c r="G262" s="23">
        <v>9.56</v>
      </c>
      <c r="H262" s="23">
        <v>9.56</v>
      </c>
      <c r="I262" s="23">
        <v>9.56</v>
      </c>
      <c r="J262" s="23">
        <v>9.56</v>
      </c>
      <c r="K262" s="23">
        <v>9.56</v>
      </c>
      <c r="L262" s="23">
        <v>9.56</v>
      </c>
      <c r="M262" s="23">
        <v>47</v>
      </c>
      <c r="N262" s="23">
        <v>0.2</v>
      </c>
      <c r="O262" s="24">
        <v>0.42520000000000002</v>
      </c>
    </row>
    <row r="263" spans="1:15" x14ac:dyDescent="0.25">
      <c r="A263" s="18" t="s">
        <v>257</v>
      </c>
      <c r="B263" s="22">
        <v>18.68</v>
      </c>
      <c r="C263" s="23">
        <v>18.68</v>
      </c>
      <c r="D263" s="23">
        <v>18.68</v>
      </c>
      <c r="E263" s="23">
        <v>18.68</v>
      </c>
      <c r="F263" s="23">
        <v>18.68</v>
      </c>
      <c r="G263" s="23">
        <v>18.68</v>
      </c>
      <c r="H263" s="23">
        <v>18.68</v>
      </c>
      <c r="I263" s="23">
        <v>18.68</v>
      </c>
      <c r="J263" s="23">
        <v>18.68</v>
      </c>
      <c r="K263" s="23">
        <v>18.68</v>
      </c>
      <c r="L263" s="23">
        <v>18.68</v>
      </c>
      <c r="M263" s="23">
        <v>51</v>
      </c>
      <c r="N263" s="23">
        <v>10.6</v>
      </c>
      <c r="O263" s="24">
        <v>0.45379999999999998</v>
      </c>
    </row>
    <row r="264" spans="1:15" x14ac:dyDescent="0.25">
      <c r="A264" s="18" t="s">
        <v>258</v>
      </c>
      <c r="B264" s="22">
        <v>15.72</v>
      </c>
      <c r="C264" s="23">
        <v>14.88</v>
      </c>
      <c r="D264" s="23">
        <v>15.52</v>
      </c>
      <c r="E264" s="23">
        <v>14.88</v>
      </c>
      <c r="F264" s="23">
        <v>15.72</v>
      </c>
      <c r="G264" s="23">
        <v>15.4</v>
      </c>
      <c r="H264" s="23">
        <v>15.08</v>
      </c>
      <c r="I264" s="23">
        <v>14.88</v>
      </c>
      <c r="J264" s="23">
        <v>15.24</v>
      </c>
      <c r="K264" s="23">
        <v>15.52</v>
      </c>
      <c r="L264" s="23">
        <v>14.88</v>
      </c>
      <c r="M264" s="23">
        <v>48</v>
      </c>
      <c r="N264" s="23">
        <v>6.6</v>
      </c>
      <c r="O264" s="24">
        <v>0.4365</v>
      </c>
    </row>
    <row r="265" spans="1:15" x14ac:dyDescent="0.25">
      <c r="A265" s="18" t="s">
        <v>259</v>
      </c>
      <c r="B265" s="22">
        <v>11.6</v>
      </c>
      <c r="C265" s="23">
        <v>11.6</v>
      </c>
      <c r="D265" s="23">
        <v>11.6</v>
      </c>
      <c r="E265" s="23">
        <v>11.8</v>
      </c>
      <c r="F265" s="23">
        <v>11.6</v>
      </c>
      <c r="G265" s="23">
        <v>11.6</v>
      </c>
      <c r="H265" s="23">
        <v>11.6</v>
      </c>
      <c r="I265" s="23">
        <v>11.6</v>
      </c>
      <c r="J265" s="23">
        <v>11.76</v>
      </c>
      <c r="K265" s="23">
        <v>11.6</v>
      </c>
      <c r="L265" s="23">
        <v>11.6</v>
      </c>
      <c r="M265" s="23">
        <v>54</v>
      </c>
      <c r="N265" s="23">
        <v>1</v>
      </c>
      <c r="O265" s="24">
        <v>0.47779999999999989</v>
      </c>
    </row>
    <row r="266" spans="1:15" x14ac:dyDescent="0.25">
      <c r="A266" s="18" t="s">
        <v>260</v>
      </c>
      <c r="B266" s="22">
        <v>11.72</v>
      </c>
      <c r="C266" s="23">
        <v>11.72</v>
      </c>
      <c r="D266" s="23">
        <v>11.8</v>
      </c>
      <c r="E266" s="23">
        <v>11.8</v>
      </c>
      <c r="F266" s="23">
        <v>11.8</v>
      </c>
      <c r="G266" s="23">
        <v>11.6</v>
      </c>
      <c r="H266" s="23">
        <v>11.72</v>
      </c>
      <c r="I266" s="23">
        <v>11.6</v>
      </c>
      <c r="J266" s="23">
        <v>11.6</v>
      </c>
      <c r="K266" s="23">
        <v>11.8</v>
      </c>
      <c r="L266" s="23">
        <v>11.6</v>
      </c>
      <c r="M266" s="23">
        <v>50</v>
      </c>
      <c r="N266" s="23">
        <v>2</v>
      </c>
      <c r="O266" s="24">
        <v>0.44500000000000001</v>
      </c>
    </row>
    <row r="267" spans="1:15" x14ac:dyDescent="0.25">
      <c r="A267" s="18" t="s">
        <v>261</v>
      </c>
      <c r="B267" s="22">
        <v>12.4</v>
      </c>
      <c r="C267" s="23">
        <v>12.4</v>
      </c>
      <c r="D267" s="23">
        <v>12.4</v>
      </c>
      <c r="E267" s="23">
        <v>12.4</v>
      </c>
      <c r="F267" s="23">
        <v>12.6</v>
      </c>
      <c r="G267" s="23">
        <v>12.6</v>
      </c>
      <c r="H267" s="23">
        <v>12.4</v>
      </c>
      <c r="I267" s="23">
        <v>12.4</v>
      </c>
      <c r="J267" s="23">
        <v>12.4</v>
      </c>
      <c r="K267" s="23">
        <v>12.6</v>
      </c>
      <c r="L267" s="23">
        <v>12.4</v>
      </c>
      <c r="M267" s="23">
        <v>50</v>
      </c>
      <c r="N267" s="23">
        <v>3</v>
      </c>
      <c r="O267" s="24">
        <v>0.44879999999999998</v>
      </c>
    </row>
    <row r="268" spans="1:15" x14ac:dyDescent="0.25">
      <c r="A268" s="18" t="s">
        <v>262</v>
      </c>
      <c r="B268" s="22">
        <v>11.68</v>
      </c>
      <c r="C268" s="23">
        <v>11.68</v>
      </c>
      <c r="D268" s="23">
        <v>11.68</v>
      </c>
      <c r="E268" s="23">
        <v>11.68</v>
      </c>
      <c r="F268" s="23">
        <v>11.88</v>
      </c>
      <c r="G268" s="23">
        <v>11.88</v>
      </c>
      <c r="H268" s="23">
        <v>11.88</v>
      </c>
      <c r="I268" s="23">
        <v>11.68</v>
      </c>
      <c r="J268" s="23">
        <v>11.68</v>
      </c>
      <c r="K268" s="23">
        <v>11.84</v>
      </c>
      <c r="L268" s="23">
        <v>11.68</v>
      </c>
      <c r="M268" s="23">
        <v>48</v>
      </c>
      <c r="N268" s="23">
        <v>2.6</v>
      </c>
      <c r="O268" s="24">
        <v>0.43680000000000002</v>
      </c>
    </row>
    <row r="269" spans="1:15" x14ac:dyDescent="0.25">
      <c r="A269" s="18" t="s">
        <v>263</v>
      </c>
      <c r="B269" s="22">
        <v>12.28</v>
      </c>
      <c r="C269" s="23">
        <v>12.44</v>
      </c>
      <c r="D269" s="23">
        <v>12.28</v>
      </c>
      <c r="E269" s="23">
        <v>12.28</v>
      </c>
      <c r="F269" s="23">
        <v>12.28</v>
      </c>
      <c r="G269" s="23">
        <v>12.28</v>
      </c>
      <c r="H269" s="23">
        <v>12.28</v>
      </c>
      <c r="I269" s="23">
        <v>12.28</v>
      </c>
      <c r="J269" s="23">
        <v>12.28</v>
      </c>
      <c r="K269" s="23">
        <v>12.28</v>
      </c>
      <c r="L269" s="23">
        <v>12.28</v>
      </c>
      <c r="M269" s="23">
        <v>47</v>
      </c>
      <c r="N269" s="23">
        <v>3.6</v>
      </c>
      <c r="O269" s="24">
        <v>0.44040000000000001</v>
      </c>
    </row>
    <row r="270" spans="1:15" x14ac:dyDescent="0.25">
      <c r="A270" s="18" t="s">
        <v>264</v>
      </c>
      <c r="B270" s="22">
        <v>9.1199999999999992</v>
      </c>
      <c r="C270" s="23">
        <v>9.1199999999999992</v>
      </c>
      <c r="D270" s="23">
        <v>9.2799999999999994</v>
      </c>
      <c r="E270" s="23">
        <v>9.1199999999999992</v>
      </c>
      <c r="F270" s="23">
        <v>9.2799999999999994</v>
      </c>
      <c r="G270" s="23">
        <v>9.1199999999999992</v>
      </c>
      <c r="H270" s="23">
        <v>9.1199999999999992</v>
      </c>
      <c r="I270" s="23">
        <v>9.1199999999999992</v>
      </c>
      <c r="J270" s="23">
        <v>9.2799999999999994</v>
      </c>
      <c r="K270" s="23">
        <v>9.1199999999999992</v>
      </c>
      <c r="L270" s="23">
        <v>9.1199999999999992</v>
      </c>
      <c r="M270" s="23">
        <v>44</v>
      </c>
      <c r="N270" s="23">
        <v>0.4</v>
      </c>
      <c r="O270" s="24">
        <v>4.8099999999999997E-2</v>
      </c>
    </row>
    <row r="271" spans="1:15" x14ac:dyDescent="0.25">
      <c r="A271" s="18" t="s">
        <v>265</v>
      </c>
      <c r="B271" s="22">
        <v>12.2</v>
      </c>
      <c r="C271" s="23">
        <v>12.04</v>
      </c>
      <c r="D271" s="23">
        <v>12.2</v>
      </c>
      <c r="E271" s="23">
        <v>12.2</v>
      </c>
      <c r="F271" s="23">
        <v>12.04</v>
      </c>
      <c r="G271" s="23">
        <v>12.2</v>
      </c>
      <c r="H271" s="23">
        <v>12.2</v>
      </c>
      <c r="I271" s="23">
        <v>12.2</v>
      </c>
      <c r="J271" s="23">
        <v>11.88</v>
      </c>
      <c r="K271" s="23">
        <v>12.2</v>
      </c>
      <c r="L271" s="23">
        <v>11.88</v>
      </c>
      <c r="M271" s="23">
        <v>45</v>
      </c>
      <c r="N271" s="23">
        <v>3.6</v>
      </c>
      <c r="O271" s="24">
        <v>5.16E-2</v>
      </c>
    </row>
    <row r="272" spans="1:15" x14ac:dyDescent="0.25">
      <c r="A272" s="18" t="s">
        <v>266</v>
      </c>
      <c r="B272" s="22">
        <v>14.04</v>
      </c>
      <c r="C272" s="23">
        <v>14.36</v>
      </c>
      <c r="D272" s="23">
        <v>14.36</v>
      </c>
      <c r="E272" s="23">
        <v>14.04</v>
      </c>
      <c r="F272" s="23">
        <v>14.04</v>
      </c>
      <c r="G272" s="23">
        <v>14.2</v>
      </c>
      <c r="H272" s="23">
        <v>14.04</v>
      </c>
      <c r="I272" s="23">
        <v>14.2</v>
      </c>
      <c r="J272" s="23">
        <v>14.52</v>
      </c>
      <c r="K272" s="23">
        <v>14.04</v>
      </c>
      <c r="L272" s="23">
        <v>14.04</v>
      </c>
      <c r="M272" s="23">
        <v>51</v>
      </c>
      <c r="N272" s="23">
        <v>4.8</v>
      </c>
      <c r="O272" s="24">
        <v>7.0300000000000001E-2</v>
      </c>
    </row>
    <row r="273" spans="1:15" x14ac:dyDescent="0.25">
      <c r="A273" s="18" t="s">
        <v>267</v>
      </c>
      <c r="B273" s="22">
        <v>12.32</v>
      </c>
      <c r="C273" s="23">
        <v>12.16</v>
      </c>
      <c r="D273" s="23">
        <v>12.32</v>
      </c>
      <c r="E273" s="23">
        <v>12.16</v>
      </c>
      <c r="F273" s="23">
        <v>12.16</v>
      </c>
      <c r="G273" s="23">
        <v>12.16</v>
      </c>
      <c r="H273" s="23">
        <v>12.16</v>
      </c>
      <c r="I273" s="23">
        <v>12.16</v>
      </c>
      <c r="J273" s="23">
        <v>12.36</v>
      </c>
      <c r="K273" s="23">
        <v>12</v>
      </c>
      <c r="L273" s="23">
        <v>12</v>
      </c>
      <c r="M273" s="23">
        <v>48</v>
      </c>
      <c r="N273" s="23">
        <v>3</v>
      </c>
      <c r="O273" s="24">
        <v>5.4100000000000002E-2</v>
      </c>
    </row>
    <row r="274" spans="1:15" x14ac:dyDescent="0.25">
      <c r="A274" s="18" t="s">
        <v>268</v>
      </c>
      <c r="B274" s="22">
        <v>9.7200000000000006</v>
      </c>
      <c r="C274" s="23">
        <v>9.7200000000000006</v>
      </c>
      <c r="D274" s="23">
        <v>9.7200000000000006</v>
      </c>
      <c r="E274" s="23">
        <v>9.7200000000000006</v>
      </c>
      <c r="F274" s="23">
        <v>9.7200000000000006</v>
      </c>
      <c r="G274" s="23">
        <v>9.7200000000000006</v>
      </c>
      <c r="H274" s="23">
        <v>9.7200000000000006</v>
      </c>
      <c r="I274" s="23">
        <v>9.7200000000000006</v>
      </c>
      <c r="J274" s="23">
        <v>9.7200000000000006</v>
      </c>
      <c r="K274" s="23">
        <v>9.7200000000000006</v>
      </c>
      <c r="L274" s="23">
        <v>9.7200000000000006</v>
      </c>
      <c r="M274" s="23">
        <v>43</v>
      </c>
      <c r="N274" s="23">
        <v>1.4</v>
      </c>
      <c r="O274" s="24">
        <v>4.8500000000000001E-2</v>
      </c>
    </row>
    <row r="275" spans="1:15" x14ac:dyDescent="0.25">
      <c r="A275" s="18" t="s">
        <v>269</v>
      </c>
      <c r="B275" s="22">
        <v>9.7200000000000006</v>
      </c>
      <c r="C275" s="23">
        <v>9.7200000000000006</v>
      </c>
      <c r="D275" s="23">
        <v>9.8800000000000008</v>
      </c>
      <c r="E275" s="23">
        <v>9.7200000000000006</v>
      </c>
      <c r="F275" s="23">
        <v>9.8800000000000008</v>
      </c>
      <c r="G275" s="23">
        <v>9.8800000000000008</v>
      </c>
      <c r="H275" s="23">
        <v>9.8800000000000008</v>
      </c>
      <c r="I275" s="23">
        <v>9.8800000000000008</v>
      </c>
      <c r="J275" s="23">
        <v>9.7200000000000006</v>
      </c>
      <c r="K275" s="23">
        <v>9.8800000000000008</v>
      </c>
      <c r="L275" s="23">
        <v>9.7200000000000006</v>
      </c>
      <c r="M275" s="23">
        <v>43</v>
      </c>
      <c r="N275" s="23">
        <v>1.4</v>
      </c>
      <c r="O275" s="24">
        <v>4.7E-2</v>
      </c>
    </row>
    <row r="276" spans="1:15" x14ac:dyDescent="0.25">
      <c r="A276" s="18" t="s">
        <v>270</v>
      </c>
      <c r="B276" s="22">
        <v>10.119999999999999</v>
      </c>
      <c r="C276" s="23">
        <v>10.119999999999999</v>
      </c>
      <c r="D276" s="23">
        <v>10.119999999999999</v>
      </c>
      <c r="E276" s="23">
        <v>10.119999999999999</v>
      </c>
      <c r="F276" s="23">
        <v>10.119999999999999</v>
      </c>
      <c r="G276" s="23">
        <v>10.119999999999999</v>
      </c>
      <c r="H276" s="23">
        <v>10.119999999999999</v>
      </c>
      <c r="I276" s="23">
        <v>10.119999999999999</v>
      </c>
      <c r="J276" s="23">
        <v>10.119999999999999</v>
      </c>
      <c r="K276" s="23">
        <v>10.119999999999999</v>
      </c>
      <c r="L276" s="23">
        <v>10.119999999999999</v>
      </c>
      <c r="M276" s="23">
        <v>45</v>
      </c>
      <c r="N276" s="23">
        <v>1.4</v>
      </c>
      <c r="O276" s="24">
        <v>4.82E-2</v>
      </c>
    </row>
    <row r="277" spans="1:15" x14ac:dyDescent="0.25">
      <c r="A277" s="18" t="s">
        <v>271</v>
      </c>
      <c r="B277" s="22">
        <v>10.52</v>
      </c>
      <c r="C277" s="23">
        <v>10.52</v>
      </c>
      <c r="D277" s="23">
        <v>10.52</v>
      </c>
      <c r="E277" s="23">
        <v>10.52</v>
      </c>
      <c r="F277" s="23">
        <v>10.52</v>
      </c>
      <c r="G277" s="23">
        <v>10.52</v>
      </c>
      <c r="H277" s="23">
        <v>10.52</v>
      </c>
      <c r="I277" s="23">
        <v>10.52</v>
      </c>
      <c r="J277" s="23">
        <v>10.52</v>
      </c>
      <c r="K277" s="23">
        <v>10.52</v>
      </c>
      <c r="L277" s="23">
        <v>10.52</v>
      </c>
      <c r="M277" s="23">
        <v>47</v>
      </c>
      <c r="N277" s="23">
        <v>1.4</v>
      </c>
      <c r="O277" s="24">
        <v>5.1299999999999998E-2</v>
      </c>
    </row>
    <row r="278" spans="1:15" x14ac:dyDescent="0.25">
      <c r="A278" s="18" t="s">
        <v>272</v>
      </c>
      <c r="B278" s="22">
        <v>12</v>
      </c>
      <c r="C278" s="23">
        <v>12</v>
      </c>
      <c r="D278" s="23">
        <v>11.84</v>
      </c>
      <c r="E278" s="23">
        <v>12</v>
      </c>
      <c r="F278" s="23">
        <v>12</v>
      </c>
      <c r="G278" s="23">
        <v>12</v>
      </c>
      <c r="H278" s="23">
        <v>12.16</v>
      </c>
      <c r="I278" s="23">
        <v>12.2</v>
      </c>
      <c r="J278" s="23">
        <v>12.04</v>
      </c>
      <c r="K278" s="23">
        <v>12.04</v>
      </c>
      <c r="L278" s="23">
        <v>11.84</v>
      </c>
      <c r="M278" s="23">
        <v>48</v>
      </c>
      <c r="N278" s="23">
        <v>2.8</v>
      </c>
      <c r="O278" s="24">
        <v>5.5000000000000007E-2</v>
      </c>
    </row>
    <row r="279" spans="1:15" x14ac:dyDescent="0.25">
      <c r="A279" s="18" t="s">
        <v>273</v>
      </c>
      <c r="B279" s="22">
        <v>13.08</v>
      </c>
      <c r="C279" s="23">
        <v>12.92</v>
      </c>
      <c r="D279" s="23">
        <v>13.08</v>
      </c>
      <c r="E279" s="23">
        <v>13.24</v>
      </c>
      <c r="F279" s="23">
        <v>12.92</v>
      </c>
      <c r="G279" s="23">
        <v>13.08</v>
      </c>
      <c r="H279" s="23">
        <v>13.24</v>
      </c>
      <c r="I279" s="23">
        <v>12.76</v>
      </c>
      <c r="J279" s="23">
        <v>13.24</v>
      </c>
      <c r="K279" s="23">
        <v>13.08</v>
      </c>
      <c r="L279" s="23">
        <v>12.76</v>
      </c>
      <c r="M279" s="23">
        <v>47</v>
      </c>
      <c r="N279" s="23">
        <v>4.2</v>
      </c>
      <c r="O279" s="24">
        <v>5.3699999999999998E-2</v>
      </c>
    </row>
    <row r="280" spans="1:15" x14ac:dyDescent="0.25">
      <c r="A280" s="18" t="s">
        <v>274</v>
      </c>
      <c r="B280" s="22">
        <v>10.76</v>
      </c>
      <c r="C280" s="23">
        <v>10.76</v>
      </c>
      <c r="D280" s="23">
        <v>10.8</v>
      </c>
      <c r="E280" s="23">
        <v>10.6</v>
      </c>
      <c r="F280" s="23">
        <v>10.8</v>
      </c>
      <c r="G280" s="23">
        <v>10.8</v>
      </c>
      <c r="H280" s="23">
        <v>10.8</v>
      </c>
      <c r="I280" s="23">
        <v>10.8</v>
      </c>
      <c r="J280" s="23">
        <v>10.8</v>
      </c>
      <c r="K280" s="23">
        <v>10.8</v>
      </c>
      <c r="L280" s="23">
        <v>10.6</v>
      </c>
      <c r="M280" s="23">
        <v>45</v>
      </c>
      <c r="N280" s="23">
        <v>2</v>
      </c>
      <c r="O280" s="24">
        <v>0.60430000000000006</v>
      </c>
    </row>
    <row r="281" spans="1:15" x14ac:dyDescent="0.25">
      <c r="A281" s="18" t="s">
        <v>275</v>
      </c>
      <c r="B281" s="22">
        <v>10.76</v>
      </c>
      <c r="C281" s="23">
        <v>10.6</v>
      </c>
      <c r="D281" s="23">
        <v>10.6</v>
      </c>
      <c r="E281" s="23">
        <v>10.6</v>
      </c>
      <c r="F281" s="23">
        <v>10.76</v>
      </c>
      <c r="G281" s="23">
        <v>10.6</v>
      </c>
      <c r="H281" s="23">
        <v>10.6</v>
      </c>
      <c r="I281" s="23">
        <v>10.6</v>
      </c>
      <c r="J281" s="23">
        <v>10.6</v>
      </c>
      <c r="K281" s="23">
        <v>10.6</v>
      </c>
      <c r="L281" s="23">
        <v>10.6</v>
      </c>
      <c r="M281" s="23">
        <v>45</v>
      </c>
      <c r="N281" s="23">
        <v>2</v>
      </c>
      <c r="O281" s="24">
        <v>0.63749999999999996</v>
      </c>
    </row>
    <row r="282" spans="1:15" x14ac:dyDescent="0.25">
      <c r="A282" s="18" t="s">
        <v>276</v>
      </c>
      <c r="B282" s="22">
        <v>10.6</v>
      </c>
      <c r="C282" s="23">
        <v>10.6</v>
      </c>
      <c r="D282" s="23">
        <v>10.6</v>
      </c>
      <c r="E282" s="23">
        <v>10.6</v>
      </c>
      <c r="F282" s="23">
        <v>10.76</v>
      </c>
      <c r="G282" s="23">
        <v>10.6</v>
      </c>
      <c r="H282" s="23">
        <v>10.6</v>
      </c>
      <c r="I282" s="23">
        <v>10.6</v>
      </c>
      <c r="J282" s="23">
        <v>10.6</v>
      </c>
      <c r="K282" s="23">
        <v>10.6</v>
      </c>
      <c r="L282" s="23">
        <v>10.6</v>
      </c>
      <c r="M282" s="23">
        <v>45</v>
      </c>
      <c r="N282" s="23">
        <v>2</v>
      </c>
      <c r="O282" s="24">
        <v>0.60389999999999999</v>
      </c>
    </row>
    <row r="283" spans="1:15" x14ac:dyDescent="0.25">
      <c r="A283" s="18" t="s">
        <v>277</v>
      </c>
      <c r="B283" s="22">
        <v>11.88</v>
      </c>
      <c r="C283" s="23">
        <v>12.04</v>
      </c>
      <c r="D283" s="23">
        <v>11.88</v>
      </c>
      <c r="E283" s="23">
        <v>12.04</v>
      </c>
      <c r="F283" s="23">
        <v>12.04</v>
      </c>
      <c r="G283" s="23">
        <v>11.88</v>
      </c>
      <c r="H283" s="23">
        <v>11.88</v>
      </c>
      <c r="I283" s="23">
        <v>11.88</v>
      </c>
      <c r="J283" s="23">
        <v>11.88</v>
      </c>
      <c r="K283" s="23">
        <v>12.04</v>
      </c>
      <c r="L283" s="23">
        <v>11.88</v>
      </c>
      <c r="M283" s="23">
        <v>49</v>
      </c>
      <c r="N283" s="23">
        <v>2.6</v>
      </c>
      <c r="O283" s="24">
        <v>0.69440000000000002</v>
      </c>
    </row>
    <row r="284" spans="1:15" x14ac:dyDescent="0.25">
      <c r="A284" s="18" t="s">
        <v>278</v>
      </c>
      <c r="B284" s="22">
        <v>13.28</v>
      </c>
      <c r="C284" s="23">
        <v>13.28</v>
      </c>
      <c r="D284" s="23">
        <v>13.28</v>
      </c>
      <c r="E284" s="23">
        <v>13.28</v>
      </c>
      <c r="F284" s="23">
        <v>13.28</v>
      </c>
      <c r="G284" s="23">
        <v>13.28</v>
      </c>
      <c r="H284" s="23">
        <v>13.28</v>
      </c>
      <c r="I284" s="23">
        <v>13.28</v>
      </c>
      <c r="J284" s="23">
        <v>13.28</v>
      </c>
      <c r="K284" s="23">
        <v>13.28</v>
      </c>
      <c r="L284" s="23">
        <v>13.28</v>
      </c>
      <c r="M284" s="23">
        <v>52</v>
      </c>
      <c r="N284" s="23">
        <v>3.6</v>
      </c>
      <c r="O284" s="24">
        <v>0.73409999999999997</v>
      </c>
    </row>
    <row r="285" spans="1:15" x14ac:dyDescent="0.25">
      <c r="A285" s="18" t="s">
        <v>279</v>
      </c>
      <c r="B285" s="22">
        <v>10</v>
      </c>
      <c r="C285" s="23">
        <v>10</v>
      </c>
      <c r="D285" s="23">
        <v>10</v>
      </c>
      <c r="E285" s="23">
        <v>10</v>
      </c>
      <c r="F285" s="23">
        <v>10</v>
      </c>
      <c r="G285" s="23">
        <v>10</v>
      </c>
      <c r="H285" s="23">
        <v>10</v>
      </c>
      <c r="I285" s="23">
        <v>10</v>
      </c>
      <c r="J285" s="23">
        <v>10</v>
      </c>
      <c r="K285" s="23">
        <v>10</v>
      </c>
      <c r="L285" s="23">
        <v>10</v>
      </c>
      <c r="M285" s="23">
        <v>50</v>
      </c>
      <c r="N285" s="23">
        <v>0</v>
      </c>
      <c r="O285" s="24">
        <v>0.65150000000000008</v>
      </c>
    </row>
    <row r="286" spans="1:15" x14ac:dyDescent="0.25">
      <c r="A286" s="18" t="s">
        <v>280</v>
      </c>
      <c r="B286" s="22">
        <v>9.1999999999999993</v>
      </c>
      <c r="C286" s="23">
        <v>9</v>
      </c>
      <c r="D286" s="23">
        <v>9.1999999999999993</v>
      </c>
      <c r="E286" s="23">
        <v>9.1999999999999993</v>
      </c>
      <c r="F286" s="23">
        <v>9.1999999999999993</v>
      </c>
      <c r="G286" s="23">
        <v>9</v>
      </c>
      <c r="H286" s="23">
        <v>9</v>
      </c>
      <c r="I286" s="23">
        <v>9</v>
      </c>
      <c r="J286" s="23">
        <v>9.1999999999999993</v>
      </c>
      <c r="K286" s="23">
        <v>9</v>
      </c>
      <c r="L286" s="23">
        <v>9</v>
      </c>
      <c r="M286" s="23">
        <v>45</v>
      </c>
      <c r="N286" s="23">
        <v>0</v>
      </c>
      <c r="O286" s="24">
        <v>0.60850000000000004</v>
      </c>
    </row>
    <row r="287" spans="1:15" x14ac:dyDescent="0.25">
      <c r="A287" s="18" t="s">
        <v>281</v>
      </c>
      <c r="B287" s="22">
        <v>10.199999999999999</v>
      </c>
      <c r="C287" s="23">
        <v>10.199999999999999</v>
      </c>
      <c r="D287" s="23">
        <v>10.199999999999999</v>
      </c>
      <c r="E287" s="23">
        <v>10.199999999999999</v>
      </c>
      <c r="F287" s="23">
        <v>10.199999999999999</v>
      </c>
      <c r="G287" s="23">
        <v>10.199999999999999</v>
      </c>
      <c r="H287" s="23">
        <v>10.199999999999999</v>
      </c>
      <c r="I287" s="23">
        <v>10.199999999999999</v>
      </c>
      <c r="J287" s="23">
        <v>10.199999999999999</v>
      </c>
      <c r="K287" s="23">
        <v>10.199999999999999</v>
      </c>
      <c r="L287" s="23">
        <v>10.199999999999999</v>
      </c>
      <c r="M287" s="23">
        <v>51</v>
      </c>
      <c r="N287" s="23">
        <v>0</v>
      </c>
      <c r="O287" s="24">
        <v>0.68309999999999993</v>
      </c>
    </row>
    <row r="288" spans="1:15" x14ac:dyDescent="0.25">
      <c r="A288" s="18" t="s">
        <v>282</v>
      </c>
      <c r="B288" s="22">
        <v>9.64</v>
      </c>
      <c r="C288" s="23">
        <v>9.64</v>
      </c>
      <c r="D288" s="23">
        <v>9.64</v>
      </c>
      <c r="E288" s="23">
        <v>9.64</v>
      </c>
      <c r="F288" s="23">
        <v>9.64</v>
      </c>
      <c r="G288" s="23">
        <v>9.64</v>
      </c>
      <c r="H288" s="23">
        <v>9.64</v>
      </c>
      <c r="I288" s="23">
        <v>9.64</v>
      </c>
      <c r="J288" s="23">
        <v>9.64</v>
      </c>
      <c r="K288" s="23">
        <v>9.64</v>
      </c>
      <c r="L288" s="23">
        <v>9.64</v>
      </c>
      <c r="M288" s="23">
        <v>45</v>
      </c>
      <c r="N288" s="23">
        <v>0.8</v>
      </c>
      <c r="O288" s="24">
        <v>0.62539999999999996</v>
      </c>
    </row>
    <row r="289" spans="1:15" x14ac:dyDescent="0.25">
      <c r="A289" s="18" t="s">
        <v>283</v>
      </c>
      <c r="B289" s="22">
        <v>9.64</v>
      </c>
      <c r="C289" s="23">
        <v>9.64</v>
      </c>
      <c r="D289" s="23">
        <v>9.44</v>
      </c>
      <c r="E289" s="23">
        <v>9.44</v>
      </c>
      <c r="F289" s="23">
        <v>9.64</v>
      </c>
      <c r="G289" s="23">
        <v>9.64</v>
      </c>
      <c r="H289" s="23">
        <v>9.44</v>
      </c>
      <c r="I289" s="23">
        <v>9.44</v>
      </c>
      <c r="J289" s="23">
        <v>9.64</v>
      </c>
      <c r="K289" s="23">
        <v>9.64</v>
      </c>
      <c r="L289" s="23">
        <v>9.44</v>
      </c>
      <c r="M289" s="23">
        <v>44</v>
      </c>
      <c r="N289" s="23">
        <v>0.8</v>
      </c>
      <c r="O289" s="24">
        <v>0.62470000000000003</v>
      </c>
    </row>
    <row r="290" spans="1:15" x14ac:dyDescent="0.25">
      <c r="A290" s="18" t="s">
        <v>284</v>
      </c>
      <c r="B290" s="22">
        <v>10.199999999999999</v>
      </c>
      <c r="C290" s="23">
        <v>10.199999999999999</v>
      </c>
      <c r="D290" s="23">
        <v>10.199999999999999</v>
      </c>
      <c r="E290" s="23">
        <v>10.199999999999999</v>
      </c>
      <c r="F290" s="23">
        <v>10.199999999999999</v>
      </c>
      <c r="G290" s="23">
        <v>10.199999999999999</v>
      </c>
      <c r="H290" s="23">
        <v>10.199999999999999</v>
      </c>
      <c r="I290" s="23">
        <v>10.199999999999999</v>
      </c>
      <c r="J290" s="23">
        <v>10.199999999999999</v>
      </c>
      <c r="K290" s="23">
        <v>10.199999999999999</v>
      </c>
      <c r="L290" s="23">
        <v>10.199999999999999</v>
      </c>
      <c r="M290" s="23">
        <v>51</v>
      </c>
      <c r="N290" s="23">
        <v>0</v>
      </c>
      <c r="O290" s="24">
        <v>7.9200000000000007E-2</v>
      </c>
    </row>
    <row r="291" spans="1:15" x14ac:dyDescent="0.25">
      <c r="A291" s="18" t="s">
        <v>285</v>
      </c>
      <c r="B291" s="22">
        <v>12.28</v>
      </c>
      <c r="C291" s="23">
        <v>12.28</v>
      </c>
      <c r="D291" s="23">
        <v>12.32</v>
      </c>
      <c r="E291" s="23">
        <v>12.32</v>
      </c>
      <c r="F291" s="23">
        <v>12.32</v>
      </c>
      <c r="G291" s="23">
        <v>12.28</v>
      </c>
      <c r="H291" s="23">
        <v>12.32</v>
      </c>
      <c r="I291" s="23">
        <v>12.28</v>
      </c>
      <c r="J291" s="23">
        <v>12.28</v>
      </c>
      <c r="K291" s="23">
        <v>12.32</v>
      </c>
      <c r="L291" s="23">
        <v>12.28</v>
      </c>
      <c r="M291" s="23">
        <v>47</v>
      </c>
      <c r="N291" s="23">
        <v>3.6</v>
      </c>
      <c r="O291" s="24">
        <v>7.5999999999999998E-2</v>
      </c>
    </row>
    <row r="292" spans="1:15" x14ac:dyDescent="0.25">
      <c r="A292" s="18" t="s">
        <v>286</v>
      </c>
      <c r="B292" s="22">
        <v>13.56</v>
      </c>
      <c r="C292" s="23">
        <v>13.72</v>
      </c>
      <c r="D292" s="23">
        <v>13.88</v>
      </c>
      <c r="E292" s="23">
        <v>13.88</v>
      </c>
      <c r="F292" s="23">
        <v>13.72</v>
      </c>
      <c r="G292" s="23">
        <v>13.88</v>
      </c>
      <c r="H292" s="23">
        <v>13.72</v>
      </c>
      <c r="I292" s="23">
        <v>13.72</v>
      </c>
      <c r="J292" s="23">
        <v>13.72</v>
      </c>
      <c r="K292" s="23">
        <v>13.88</v>
      </c>
      <c r="L292" s="23">
        <v>13.56</v>
      </c>
      <c r="M292" s="23">
        <v>47</v>
      </c>
      <c r="N292" s="23">
        <v>5.2</v>
      </c>
      <c r="O292" s="24">
        <v>7.8300000000000008E-2</v>
      </c>
    </row>
    <row r="293" spans="1:15" x14ac:dyDescent="0.25">
      <c r="A293" s="18" t="s">
        <v>287</v>
      </c>
      <c r="B293" s="22">
        <v>11.84</v>
      </c>
      <c r="C293" s="23">
        <v>11.84</v>
      </c>
      <c r="D293" s="23">
        <v>11.84</v>
      </c>
      <c r="E293" s="23">
        <v>11.4</v>
      </c>
      <c r="F293" s="23">
        <v>12.2</v>
      </c>
      <c r="G293" s="23">
        <v>12.04</v>
      </c>
      <c r="H293" s="23">
        <v>11.84</v>
      </c>
      <c r="I293" s="23">
        <v>12.04</v>
      </c>
      <c r="J293" s="23">
        <v>11.88</v>
      </c>
      <c r="K293" s="23">
        <v>11.72</v>
      </c>
      <c r="L293" s="23">
        <v>11.4</v>
      </c>
      <c r="M293" s="23">
        <v>53</v>
      </c>
      <c r="N293" s="23">
        <v>1</v>
      </c>
      <c r="O293" s="24">
        <v>8.249999999999999E-2</v>
      </c>
    </row>
    <row r="294" spans="1:15" x14ac:dyDescent="0.25">
      <c r="A294" s="18" t="s">
        <v>288</v>
      </c>
      <c r="B294" s="22">
        <v>9.9600000000000009</v>
      </c>
      <c r="C294" s="23">
        <v>9.9600000000000009</v>
      </c>
      <c r="D294" s="23">
        <v>9.9600000000000009</v>
      </c>
      <c r="E294" s="23">
        <v>9.9600000000000009</v>
      </c>
      <c r="F294" s="23">
        <v>9.9600000000000009</v>
      </c>
      <c r="G294" s="23">
        <v>10.16</v>
      </c>
      <c r="H294" s="23">
        <v>9.9600000000000009</v>
      </c>
      <c r="I294" s="23">
        <v>9.9600000000000009</v>
      </c>
      <c r="J294" s="23">
        <v>9.9600000000000009</v>
      </c>
      <c r="K294" s="23">
        <v>9.9600000000000009</v>
      </c>
      <c r="L294" s="23">
        <v>9.9600000000000009</v>
      </c>
      <c r="M294" s="23">
        <v>49</v>
      </c>
      <c r="N294" s="23">
        <v>0.2</v>
      </c>
      <c r="O294" s="24">
        <v>7.8300000000000008E-2</v>
      </c>
    </row>
    <row r="295" spans="1:15" x14ac:dyDescent="0.25">
      <c r="A295" s="18" t="s">
        <v>289</v>
      </c>
      <c r="B295" s="22">
        <v>9.9600000000000009</v>
      </c>
      <c r="C295" s="23">
        <v>9.9600000000000009</v>
      </c>
      <c r="D295" s="23">
        <v>9.9600000000000009</v>
      </c>
      <c r="E295" s="23">
        <v>9.9600000000000009</v>
      </c>
      <c r="F295" s="23">
        <v>9.9600000000000009</v>
      </c>
      <c r="G295" s="23">
        <v>9.92</v>
      </c>
      <c r="H295" s="23">
        <v>9.9600000000000009</v>
      </c>
      <c r="I295" s="23">
        <v>9.9600000000000009</v>
      </c>
      <c r="J295" s="23">
        <v>9.9600000000000009</v>
      </c>
      <c r="K295" s="23">
        <v>9.9600000000000009</v>
      </c>
      <c r="L295" s="23">
        <v>9.92</v>
      </c>
      <c r="M295" s="23">
        <v>48</v>
      </c>
      <c r="N295" s="23">
        <v>0.4</v>
      </c>
      <c r="O295" s="24">
        <v>7.8800000000000009E-2</v>
      </c>
    </row>
    <row r="296" spans="1:15" x14ac:dyDescent="0.25">
      <c r="A296" s="18" t="s">
        <v>290</v>
      </c>
      <c r="B296" s="22">
        <v>9.32</v>
      </c>
      <c r="C296" s="23">
        <v>9.32</v>
      </c>
      <c r="D296" s="23">
        <v>9.32</v>
      </c>
      <c r="E296" s="23">
        <v>9.32</v>
      </c>
      <c r="F296" s="23">
        <v>9.32</v>
      </c>
      <c r="G296" s="23">
        <v>9.32</v>
      </c>
      <c r="H296" s="23">
        <v>9.32</v>
      </c>
      <c r="I296" s="23">
        <v>9.32</v>
      </c>
      <c r="J296" s="23">
        <v>9.32</v>
      </c>
      <c r="K296" s="23">
        <v>9.32</v>
      </c>
      <c r="L296" s="23">
        <v>9.32</v>
      </c>
      <c r="M296" s="23">
        <v>45</v>
      </c>
      <c r="N296" s="23">
        <v>0.4</v>
      </c>
      <c r="O296" s="24">
        <v>7.4999999999999997E-2</v>
      </c>
    </row>
    <row r="297" spans="1:15" x14ac:dyDescent="0.25">
      <c r="A297" s="18" t="s">
        <v>291</v>
      </c>
      <c r="B297" s="22">
        <v>9.9600000000000009</v>
      </c>
      <c r="C297" s="23">
        <v>9.9600000000000009</v>
      </c>
      <c r="D297" s="23">
        <v>9.9600000000000009</v>
      </c>
      <c r="E297" s="23">
        <v>9.76</v>
      </c>
      <c r="F297" s="23">
        <v>9.9600000000000009</v>
      </c>
      <c r="G297" s="23">
        <v>9.9600000000000009</v>
      </c>
      <c r="H297" s="23">
        <v>9.76</v>
      </c>
      <c r="I297" s="23">
        <v>9.76</v>
      </c>
      <c r="J297" s="23">
        <v>9.9600000000000009</v>
      </c>
      <c r="K297" s="23">
        <v>9.9600000000000009</v>
      </c>
      <c r="L297" s="23">
        <v>9.76</v>
      </c>
      <c r="M297" s="23">
        <v>48</v>
      </c>
      <c r="N297" s="23">
        <v>0.2</v>
      </c>
      <c r="O297" s="24">
        <v>7.8399999999999997E-2</v>
      </c>
    </row>
    <row r="298" spans="1:15" x14ac:dyDescent="0.25">
      <c r="A298" s="18" t="s">
        <v>292</v>
      </c>
      <c r="B298" s="22">
        <v>9.76</v>
      </c>
      <c r="C298" s="23">
        <v>9.76</v>
      </c>
      <c r="D298" s="23">
        <v>9.76</v>
      </c>
      <c r="E298" s="23">
        <v>9.76</v>
      </c>
      <c r="F298" s="23">
        <v>9.76</v>
      </c>
      <c r="G298" s="23">
        <v>9.7200000000000006</v>
      </c>
      <c r="H298" s="23">
        <v>9.76</v>
      </c>
      <c r="I298" s="23">
        <v>9.56</v>
      </c>
      <c r="J298" s="23">
        <v>9.76</v>
      </c>
      <c r="K298" s="23">
        <v>9.76</v>
      </c>
      <c r="L298" s="23">
        <v>9.56</v>
      </c>
      <c r="M298" s="23">
        <v>47</v>
      </c>
      <c r="N298" s="23">
        <v>0.2</v>
      </c>
      <c r="O298" s="24">
        <v>7.6600000000000001E-2</v>
      </c>
    </row>
    <row r="299" spans="1:15" x14ac:dyDescent="0.25">
      <c r="A299" s="18" t="s">
        <v>293</v>
      </c>
      <c r="B299" s="22">
        <v>10.16</v>
      </c>
      <c r="C299" s="23">
        <v>10.16</v>
      </c>
      <c r="D299" s="23">
        <v>10.16</v>
      </c>
      <c r="E299" s="23">
        <v>10.36</v>
      </c>
      <c r="F299" s="23">
        <v>10.16</v>
      </c>
      <c r="G299" s="23">
        <v>10.16</v>
      </c>
      <c r="H299" s="23">
        <v>10.16</v>
      </c>
      <c r="I299" s="23">
        <v>10.16</v>
      </c>
      <c r="J299" s="23">
        <v>10.16</v>
      </c>
      <c r="K299" s="23">
        <v>10.16</v>
      </c>
      <c r="L299" s="23">
        <v>10.16</v>
      </c>
      <c r="M299" s="23">
        <v>50</v>
      </c>
      <c r="N299" s="23">
        <v>0.2</v>
      </c>
      <c r="O299" s="24">
        <v>7.9500000000000001E-2</v>
      </c>
    </row>
    <row r="300" spans="1:15" x14ac:dyDescent="0.25">
      <c r="A300" s="18" t="s">
        <v>294</v>
      </c>
      <c r="B300" s="22">
        <v>19</v>
      </c>
      <c r="C300" s="23">
        <v>19</v>
      </c>
      <c r="D300" s="23">
        <v>19</v>
      </c>
      <c r="E300" s="23">
        <v>19</v>
      </c>
      <c r="F300" s="23">
        <v>19</v>
      </c>
      <c r="G300" s="23">
        <v>19</v>
      </c>
      <c r="H300" s="23">
        <v>19</v>
      </c>
      <c r="I300" s="23">
        <v>19.2</v>
      </c>
      <c r="J300" s="23">
        <v>19</v>
      </c>
      <c r="K300" s="23">
        <v>19</v>
      </c>
      <c r="L300" s="23">
        <v>19</v>
      </c>
      <c r="M300" s="23">
        <v>95</v>
      </c>
      <c r="N300" s="23">
        <v>0</v>
      </c>
      <c r="O300" s="24">
        <v>4.6513</v>
      </c>
    </row>
    <row r="301" spans="1:15" x14ac:dyDescent="0.25">
      <c r="A301" s="18" t="s">
        <v>295</v>
      </c>
      <c r="B301" s="22">
        <v>20.6</v>
      </c>
      <c r="C301" s="23">
        <v>20.440000000000001</v>
      </c>
      <c r="D301" s="23">
        <v>20.64</v>
      </c>
      <c r="E301" s="23">
        <v>20.440000000000001</v>
      </c>
      <c r="F301" s="23">
        <v>20.76</v>
      </c>
      <c r="G301" s="23">
        <v>20.440000000000001</v>
      </c>
      <c r="H301" s="23">
        <v>20.440000000000001</v>
      </c>
      <c r="I301" s="23">
        <v>20.440000000000001</v>
      </c>
      <c r="J301" s="23">
        <v>20.64</v>
      </c>
      <c r="K301" s="23">
        <v>20.440000000000001</v>
      </c>
      <c r="L301" s="23">
        <v>20.440000000000001</v>
      </c>
      <c r="M301" s="23">
        <v>95</v>
      </c>
      <c r="N301" s="23">
        <v>1.8</v>
      </c>
      <c r="O301" s="24">
        <v>4.1970000000000001</v>
      </c>
    </row>
    <row r="302" spans="1:15" x14ac:dyDescent="0.25">
      <c r="A302" s="18" t="s">
        <v>296</v>
      </c>
      <c r="B302" s="22">
        <v>20.16</v>
      </c>
      <c r="C302" s="23">
        <v>20</v>
      </c>
      <c r="D302" s="23">
        <v>20</v>
      </c>
      <c r="E302" s="23">
        <v>20</v>
      </c>
      <c r="F302" s="23">
        <v>20.16</v>
      </c>
      <c r="G302" s="23">
        <v>20.16</v>
      </c>
      <c r="H302" s="23">
        <v>20</v>
      </c>
      <c r="I302" s="23">
        <v>20</v>
      </c>
      <c r="J302" s="23">
        <v>20</v>
      </c>
      <c r="K302" s="23">
        <v>20</v>
      </c>
      <c r="L302" s="23">
        <v>20</v>
      </c>
      <c r="M302" s="23">
        <v>96</v>
      </c>
      <c r="N302" s="23">
        <v>1</v>
      </c>
      <c r="O302" s="24">
        <v>5.2233999999999998</v>
      </c>
    </row>
    <row r="303" spans="1:15" x14ac:dyDescent="0.25">
      <c r="A303" s="18" t="s">
        <v>297</v>
      </c>
      <c r="B303" s="22">
        <v>20.16</v>
      </c>
      <c r="C303" s="23">
        <v>20.8</v>
      </c>
      <c r="D303" s="23">
        <v>20.8</v>
      </c>
      <c r="E303" s="23">
        <v>20.16</v>
      </c>
      <c r="F303" s="23">
        <v>20.64</v>
      </c>
      <c r="G303" s="23">
        <v>20.32</v>
      </c>
      <c r="H303" s="23">
        <v>20.64</v>
      </c>
      <c r="I303" s="23">
        <v>20.8</v>
      </c>
      <c r="J303" s="23">
        <v>20.8</v>
      </c>
      <c r="K303" s="23">
        <v>20.8</v>
      </c>
      <c r="L303" s="23">
        <v>20.16</v>
      </c>
      <c r="M303" s="23">
        <v>92</v>
      </c>
      <c r="N303" s="23">
        <v>2.2000000000000002</v>
      </c>
      <c r="O303" s="24">
        <v>4.1379999999999999</v>
      </c>
    </row>
    <row r="304" spans="1:15" x14ac:dyDescent="0.25">
      <c r="A304" s="18" t="s">
        <v>298</v>
      </c>
      <c r="B304" s="22">
        <v>20.84</v>
      </c>
      <c r="C304" s="23">
        <v>21.04</v>
      </c>
      <c r="D304" s="23">
        <v>21</v>
      </c>
      <c r="E304" s="23">
        <v>20.84</v>
      </c>
      <c r="F304" s="23">
        <v>20.84</v>
      </c>
      <c r="G304" s="23">
        <v>20.84</v>
      </c>
      <c r="H304" s="23">
        <v>20.84</v>
      </c>
      <c r="I304" s="23">
        <v>21</v>
      </c>
      <c r="J304" s="23">
        <v>20.84</v>
      </c>
      <c r="K304" s="23">
        <v>20.84</v>
      </c>
      <c r="L304" s="23">
        <v>20.84</v>
      </c>
      <c r="M304" s="23">
        <v>93</v>
      </c>
      <c r="N304" s="23">
        <v>2.8</v>
      </c>
      <c r="O304" s="24">
        <v>5.1590999999999996</v>
      </c>
    </row>
    <row r="305" spans="1:15" x14ac:dyDescent="0.25">
      <c r="A305" s="18" t="s">
        <v>299</v>
      </c>
      <c r="B305" s="22">
        <v>18.600000000000001</v>
      </c>
      <c r="C305" s="23">
        <v>18.600000000000001</v>
      </c>
      <c r="D305" s="23">
        <v>18.600000000000001</v>
      </c>
      <c r="E305" s="23">
        <v>18.600000000000001</v>
      </c>
      <c r="F305" s="23">
        <v>18.600000000000001</v>
      </c>
      <c r="G305" s="23">
        <v>18.600000000000001</v>
      </c>
      <c r="H305" s="23">
        <v>18.600000000000001</v>
      </c>
      <c r="I305" s="23">
        <v>18.600000000000001</v>
      </c>
      <c r="J305" s="23">
        <v>18.600000000000001</v>
      </c>
      <c r="K305" s="23">
        <v>18.600000000000001</v>
      </c>
      <c r="L305" s="23">
        <v>18.600000000000001</v>
      </c>
      <c r="M305" s="23">
        <v>93</v>
      </c>
      <c r="N305" s="23">
        <v>0</v>
      </c>
      <c r="O305" s="24">
        <v>4.1144000000000007</v>
      </c>
    </row>
    <row r="306" spans="1:15" x14ac:dyDescent="0.25">
      <c r="A306" s="18" t="s">
        <v>300</v>
      </c>
      <c r="B306" s="22">
        <v>19.04</v>
      </c>
      <c r="C306" s="23">
        <v>19.2</v>
      </c>
      <c r="D306" s="23">
        <v>19.2</v>
      </c>
      <c r="E306" s="23">
        <v>19.2</v>
      </c>
      <c r="F306" s="23">
        <v>19.2</v>
      </c>
      <c r="G306" s="23">
        <v>19.2</v>
      </c>
      <c r="H306" s="23">
        <v>19.2</v>
      </c>
      <c r="I306" s="23">
        <v>19.2</v>
      </c>
      <c r="J306" s="23">
        <v>19.04</v>
      </c>
      <c r="K306" s="23">
        <v>19.2</v>
      </c>
      <c r="L306" s="23">
        <v>19.04</v>
      </c>
      <c r="M306" s="23">
        <v>92</v>
      </c>
      <c r="N306" s="23">
        <v>0.8</v>
      </c>
      <c r="O306" s="24">
        <v>4.4603999999999999</v>
      </c>
    </row>
    <row r="307" spans="1:15" x14ac:dyDescent="0.25">
      <c r="A307" s="18" t="s">
        <v>301</v>
      </c>
      <c r="B307" s="22">
        <v>20.2</v>
      </c>
      <c r="C307" s="23">
        <v>20.399999999999999</v>
      </c>
      <c r="D307" s="23">
        <v>20.2</v>
      </c>
      <c r="E307" s="23">
        <v>20.399999999999999</v>
      </c>
      <c r="F307" s="23">
        <v>20.2</v>
      </c>
      <c r="G307" s="23">
        <v>20.2</v>
      </c>
      <c r="H307" s="23">
        <v>20.2</v>
      </c>
      <c r="I307" s="23">
        <v>20.2</v>
      </c>
      <c r="J307" s="23">
        <v>20.2</v>
      </c>
      <c r="K307" s="23">
        <v>20.399999999999999</v>
      </c>
      <c r="L307" s="23">
        <v>20.2</v>
      </c>
      <c r="M307" s="23">
        <v>101</v>
      </c>
      <c r="N307" s="23">
        <v>0</v>
      </c>
      <c r="O307" s="24">
        <v>5.3841000000000001</v>
      </c>
    </row>
    <row r="308" spans="1:15" x14ac:dyDescent="0.25">
      <c r="A308" s="18" t="s">
        <v>302</v>
      </c>
      <c r="B308" s="22">
        <v>18.84</v>
      </c>
      <c r="C308" s="23">
        <v>18.84</v>
      </c>
      <c r="D308" s="23">
        <v>18.68</v>
      </c>
      <c r="E308" s="23">
        <v>18.84</v>
      </c>
      <c r="F308" s="23">
        <v>18.88</v>
      </c>
      <c r="G308" s="23">
        <v>18.68</v>
      </c>
      <c r="H308" s="23">
        <v>18.84</v>
      </c>
      <c r="I308" s="23">
        <v>18.84</v>
      </c>
      <c r="J308" s="23">
        <v>18.88</v>
      </c>
      <c r="K308" s="23">
        <v>18.84</v>
      </c>
      <c r="L308" s="23">
        <v>18.68</v>
      </c>
      <c r="M308" s="23">
        <v>91</v>
      </c>
      <c r="N308" s="23">
        <v>0.6</v>
      </c>
      <c r="O308" s="24">
        <v>4.9112</v>
      </c>
    </row>
    <row r="309" spans="1:15" x14ac:dyDescent="0.25">
      <c r="A309" s="18" t="s">
        <v>303</v>
      </c>
      <c r="B309" s="22">
        <v>19.12</v>
      </c>
      <c r="C309" s="23">
        <v>19.12</v>
      </c>
      <c r="D309" s="23">
        <v>19.12</v>
      </c>
      <c r="E309" s="23">
        <v>19.12</v>
      </c>
      <c r="F309" s="23">
        <v>19.12</v>
      </c>
      <c r="G309" s="23">
        <v>19.12</v>
      </c>
      <c r="H309" s="23">
        <v>19.079999999999998</v>
      </c>
      <c r="I309" s="23">
        <v>19.12</v>
      </c>
      <c r="J309" s="23">
        <v>19.12</v>
      </c>
      <c r="K309" s="23">
        <v>19.12</v>
      </c>
      <c r="L309" s="23">
        <v>19.079999999999998</v>
      </c>
      <c r="M309" s="23">
        <v>89</v>
      </c>
      <c r="N309" s="23">
        <v>1.6</v>
      </c>
      <c r="O309" s="24">
        <v>4.2104999999999997</v>
      </c>
    </row>
    <row r="310" spans="1:15" x14ac:dyDescent="0.25">
      <c r="A310" s="18" t="s">
        <v>304</v>
      </c>
      <c r="B310" s="22">
        <v>19.16</v>
      </c>
      <c r="C310" s="23">
        <v>19.16</v>
      </c>
      <c r="D310" s="23">
        <v>19.36</v>
      </c>
      <c r="E310" s="23">
        <v>19.36</v>
      </c>
      <c r="F310" s="23">
        <v>19.16</v>
      </c>
      <c r="G310" s="23">
        <v>19.16</v>
      </c>
      <c r="H310" s="23">
        <v>19.16</v>
      </c>
      <c r="I310" s="23">
        <v>19.16</v>
      </c>
      <c r="J310" s="23">
        <v>19.16</v>
      </c>
      <c r="K310" s="23">
        <v>19.36</v>
      </c>
      <c r="L310" s="23">
        <v>19.16</v>
      </c>
      <c r="M310" s="23">
        <v>95</v>
      </c>
      <c r="N310" s="23">
        <v>0.2</v>
      </c>
      <c r="O310" s="24">
        <v>0.3735</v>
      </c>
    </row>
    <row r="311" spans="1:15" x14ac:dyDescent="0.25">
      <c r="A311" s="18" t="s">
        <v>305</v>
      </c>
      <c r="B311" s="22">
        <v>20.92</v>
      </c>
      <c r="C311" s="23">
        <v>20.92</v>
      </c>
      <c r="D311" s="23">
        <v>20.440000000000001</v>
      </c>
      <c r="E311" s="23">
        <v>20.28</v>
      </c>
      <c r="F311" s="23">
        <v>20.92</v>
      </c>
      <c r="G311" s="23">
        <v>21.12</v>
      </c>
      <c r="H311" s="23">
        <v>20.76</v>
      </c>
      <c r="I311" s="23">
        <v>20.440000000000001</v>
      </c>
      <c r="J311" s="23">
        <v>20.92</v>
      </c>
      <c r="K311" s="23">
        <v>21.08</v>
      </c>
      <c r="L311" s="23">
        <v>20.28</v>
      </c>
      <c r="M311" s="23">
        <v>95</v>
      </c>
      <c r="N311" s="23">
        <v>1.6</v>
      </c>
      <c r="O311" s="24">
        <v>0.41139999999999999</v>
      </c>
    </row>
    <row r="312" spans="1:15" x14ac:dyDescent="0.25">
      <c r="A312" s="18" t="s">
        <v>306</v>
      </c>
      <c r="B312" s="22">
        <v>18.440000000000001</v>
      </c>
      <c r="C312" s="23">
        <v>18.440000000000001</v>
      </c>
      <c r="D312" s="23">
        <v>18.440000000000001</v>
      </c>
      <c r="E312" s="23">
        <v>18.12</v>
      </c>
      <c r="F312" s="23">
        <v>18.440000000000001</v>
      </c>
      <c r="G312" s="23">
        <v>18.440000000000001</v>
      </c>
      <c r="H312" s="23">
        <v>18.440000000000001</v>
      </c>
      <c r="I312" s="23">
        <v>18.440000000000001</v>
      </c>
      <c r="J312" s="23">
        <v>18.600000000000001</v>
      </c>
      <c r="K312" s="23">
        <v>18.12</v>
      </c>
      <c r="L312" s="23">
        <v>18.12</v>
      </c>
      <c r="M312" s="23">
        <v>89</v>
      </c>
      <c r="N312" s="23">
        <v>0.4</v>
      </c>
      <c r="O312" s="24">
        <v>0.3735</v>
      </c>
    </row>
    <row r="313" spans="1:15" x14ac:dyDescent="0.25">
      <c r="A313" s="18" t="s">
        <v>307</v>
      </c>
      <c r="B313" s="22">
        <v>19.52</v>
      </c>
      <c r="C313" s="23">
        <v>19.52</v>
      </c>
      <c r="D313" s="23">
        <v>19.52</v>
      </c>
      <c r="E313" s="23">
        <v>19.32</v>
      </c>
      <c r="F313" s="23">
        <v>19.52</v>
      </c>
      <c r="G313" s="23">
        <v>19.48</v>
      </c>
      <c r="H313" s="23">
        <v>19.52</v>
      </c>
      <c r="I313" s="23">
        <v>19.36</v>
      </c>
      <c r="J313" s="23">
        <v>19.36</v>
      </c>
      <c r="K313" s="23">
        <v>19.52</v>
      </c>
      <c r="L313" s="23">
        <v>19.32</v>
      </c>
      <c r="M313" s="23">
        <v>91</v>
      </c>
      <c r="N313" s="23">
        <v>1.4</v>
      </c>
      <c r="O313" s="24">
        <v>0.36630000000000001</v>
      </c>
    </row>
    <row r="314" spans="1:15" x14ac:dyDescent="0.25">
      <c r="A314" s="18" t="s">
        <v>308</v>
      </c>
      <c r="B314" s="22">
        <v>21.24</v>
      </c>
      <c r="C314" s="23">
        <v>21.24</v>
      </c>
      <c r="D314" s="23">
        <v>21.08</v>
      </c>
      <c r="E314" s="23">
        <v>21.28</v>
      </c>
      <c r="F314" s="23">
        <v>21.28</v>
      </c>
      <c r="G314" s="23">
        <v>21.28</v>
      </c>
      <c r="H314" s="23">
        <v>21.28</v>
      </c>
      <c r="I314" s="23">
        <v>21.12</v>
      </c>
      <c r="J314" s="23">
        <v>21.28</v>
      </c>
      <c r="K314" s="23">
        <v>21.24</v>
      </c>
      <c r="L314" s="23">
        <v>21.08</v>
      </c>
      <c r="M314" s="23">
        <v>95</v>
      </c>
      <c r="N314" s="23">
        <v>2.6</v>
      </c>
      <c r="O314" s="24">
        <v>0.38569999999999999</v>
      </c>
    </row>
    <row r="315" spans="1:15" x14ac:dyDescent="0.25">
      <c r="A315" s="18" t="s">
        <v>309</v>
      </c>
      <c r="B315" s="22">
        <v>19.88</v>
      </c>
      <c r="C315" s="23">
        <v>19.88</v>
      </c>
      <c r="D315" s="23">
        <v>19.88</v>
      </c>
      <c r="E315" s="23">
        <v>19.88</v>
      </c>
      <c r="F315" s="23">
        <v>19.88</v>
      </c>
      <c r="G315" s="23">
        <v>19.84</v>
      </c>
      <c r="H315" s="23">
        <v>19.88</v>
      </c>
      <c r="I315" s="23">
        <v>19.88</v>
      </c>
      <c r="J315" s="23">
        <v>19.88</v>
      </c>
      <c r="K315" s="23">
        <v>19.88</v>
      </c>
      <c r="L315" s="23">
        <v>19.84</v>
      </c>
      <c r="M315" s="23">
        <v>92</v>
      </c>
      <c r="N315" s="23">
        <v>1.8</v>
      </c>
      <c r="O315" s="24">
        <v>0.37180000000000002</v>
      </c>
    </row>
    <row r="316" spans="1:15" x14ac:dyDescent="0.25">
      <c r="A316" s="18" t="s">
        <v>310</v>
      </c>
      <c r="B316" s="22">
        <v>18.68</v>
      </c>
      <c r="C316" s="23">
        <v>18.68</v>
      </c>
      <c r="D316" s="23">
        <v>18.68</v>
      </c>
      <c r="E316" s="23">
        <v>18.68</v>
      </c>
      <c r="F316" s="23">
        <v>18.68</v>
      </c>
      <c r="G316" s="23">
        <v>18.68</v>
      </c>
      <c r="H316" s="23">
        <v>18.68</v>
      </c>
      <c r="I316" s="23">
        <v>18.68</v>
      </c>
      <c r="J316" s="23">
        <v>18.68</v>
      </c>
      <c r="K316" s="23">
        <v>18.68</v>
      </c>
      <c r="L316" s="23">
        <v>18.68</v>
      </c>
      <c r="M316" s="23">
        <v>91</v>
      </c>
      <c r="N316" s="23">
        <v>0.6</v>
      </c>
      <c r="O316" s="24">
        <v>0.36870000000000003</v>
      </c>
    </row>
    <row r="317" spans="1:15" x14ac:dyDescent="0.25">
      <c r="A317" s="18" t="s">
        <v>311</v>
      </c>
      <c r="B317" s="22">
        <v>21.52</v>
      </c>
      <c r="C317" s="23">
        <v>21.04</v>
      </c>
      <c r="D317" s="23">
        <v>21.52</v>
      </c>
      <c r="E317" s="23">
        <v>21.2</v>
      </c>
      <c r="F317" s="23">
        <v>21.52</v>
      </c>
      <c r="G317" s="23">
        <v>21.52</v>
      </c>
      <c r="H317" s="23">
        <v>21.52</v>
      </c>
      <c r="I317" s="23">
        <v>21.04</v>
      </c>
      <c r="J317" s="23">
        <v>21.52</v>
      </c>
      <c r="K317" s="23">
        <v>21.2</v>
      </c>
      <c r="L317" s="23">
        <v>21.04</v>
      </c>
      <c r="M317" s="23">
        <v>90</v>
      </c>
      <c r="N317" s="23">
        <v>3.8</v>
      </c>
      <c r="O317" s="24">
        <v>0.3725</v>
      </c>
    </row>
    <row r="318" spans="1:15" x14ac:dyDescent="0.25">
      <c r="A318" s="18" t="s">
        <v>312</v>
      </c>
      <c r="B318" s="22">
        <v>24.68</v>
      </c>
      <c r="C318" s="23">
        <v>22.96</v>
      </c>
      <c r="D318" s="23">
        <v>24.68</v>
      </c>
      <c r="E318" s="23">
        <v>22.44</v>
      </c>
      <c r="F318" s="23">
        <v>23.4</v>
      </c>
      <c r="G318" s="23">
        <v>23.56</v>
      </c>
      <c r="H318" s="23">
        <v>23.56</v>
      </c>
      <c r="I318" s="23">
        <v>24.68</v>
      </c>
      <c r="J318" s="23">
        <v>23.56</v>
      </c>
      <c r="K318" s="23">
        <v>24.68</v>
      </c>
      <c r="L318" s="23">
        <v>22.44</v>
      </c>
      <c r="M318" s="23">
        <v>97</v>
      </c>
      <c r="N318" s="23">
        <v>3.8</v>
      </c>
      <c r="O318" s="24">
        <v>0.63150000000000006</v>
      </c>
    </row>
    <row r="319" spans="1:15" x14ac:dyDescent="0.25">
      <c r="A319" s="18" t="s">
        <v>313</v>
      </c>
      <c r="B319" s="22">
        <v>20.52</v>
      </c>
      <c r="C319" s="23">
        <v>20.52</v>
      </c>
      <c r="D319" s="23">
        <v>20.68</v>
      </c>
      <c r="E319" s="23">
        <v>20.52</v>
      </c>
      <c r="F319" s="23">
        <v>20.52</v>
      </c>
      <c r="G319" s="23">
        <v>20.32</v>
      </c>
      <c r="H319" s="23">
        <v>20.52</v>
      </c>
      <c r="I319" s="23">
        <v>20.52</v>
      </c>
      <c r="J319" s="23">
        <v>20.52</v>
      </c>
      <c r="K319" s="23">
        <v>20.48</v>
      </c>
      <c r="L319" s="23">
        <v>20.32</v>
      </c>
      <c r="M319" s="23">
        <v>96</v>
      </c>
      <c r="N319" s="23">
        <v>1.4</v>
      </c>
      <c r="O319" s="24">
        <v>0.38009999999999999</v>
      </c>
    </row>
    <row r="320" spans="1:15" x14ac:dyDescent="0.25">
      <c r="A320" s="18" t="s">
        <v>314</v>
      </c>
      <c r="B320" s="22">
        <v>24.64</v>
      </c>
      <c r="C320" s="23">
        <v>24.64</v>
      </c>
      <c r="D320" s="23">
        <v>24.64</v>
      </c>
      <c r="E320" s="23">
        <v>24.64</v>
      </c>
      <c r="F320" s="23">
        <v>24.64</v>
      </c>
      <c r="G320" s="23">
        <v>24.64</v>
      </c>
      <c r="H320" s="23">
        <v>24.64</v>
      </c>
      <c r="I320" s="23">
        <v>24.8</v>
      </c>
      <c r="J320" s="23">
        <v>24.64</v>
      </c>
      <c r="K320" s="23">
        <v>24.84</v>
      </c>
      <c r="L320" s="23">
        <v>24.64</v>
      </c>
      <c r="M320" s="23">
        <v>92</v>
      </c>
      <c r="N320" s="23">
        <v>7.8</v>
      </c>
      <c r="O320" s="24">
        <v>0.4264</v>
      </c>
    </row>
    <row r="321" spans="1:15" x14ac:dyDescent="0.25">
      <c r="A321" s="18" t="s">
        <v>315</v>
      </c>
      <c r="B321" s="22">
        <v>17</v>
      </c>
      <c r="C321" s="23">
        <v>17.2</v>
      </c>
      <c r="D321" s="23">
        <v>17.2</v>
      </c>
      <c r="E321" s="23">
        <v>17</v>
      </c>
      <c r="F321" s="23">
        <v>17.2</v>
      </c>
      <c r="G321" s="23">
        <v>17.2</v>
      </c>
      <c r="H321" s="23">
        <v>17.2</v>
      </c>
      <c r="I321" s="23">
        <v>17.2</v>
      </c>
      <c r="J321" s="23">
        <v>17</v>
      </c>
      <c r="K321" s="23">
        <v>17.2</v>
      </c>
      <c r="L321" s="23">
        <v>17</v>
      </c>
      <c r="M321" s="23">
        <v>85</v>
      </c>
      <c r="N321" s="23">
        <v>0</v>
      </c>
      <c r="O321" s="24">
        <v>0.3906</v>
      </c>
    </row>
    <row r="322" spans="1:15" x14ac:dyDescent="0.25">
      <c r="A322" s="18" t="s">
        <v>316</v>
      </c>
      <c r="B322" s="22">
        <v>21.08</v>
      </c>
      <c r="C322" s="23">
        <v>20.88</v>
      </c>
      <c r="D322" s="23">
        <v>20.88</v>
      </c>
      <c r="E322" s="23">
        <v>21.04</v>
      </c>
      <c r="F322" s="23">
        <v>21.04</v>
      </c>
      <c r="G322" s="23">
        <v>20.88</v>
      </c>
      <c r="H322" s="23">
        <v>21.04</v>
      </c>
      <c r="I322" s="23">
        <v>21.04</v>
      </c>
      <c r="J322" s="23">
        <v>20.88</v>
      </c>
      <c r="K322" s="23">
        <v>20.88</v>
      </c>
      <c r="L322" s="23">
        <v>20.88</v>
      </c>
      <c r="M322" s="23">
        <v>102</v>
      </c>
      <c r="N322" s="23">
        <v>0.6</v>
      </c>
      <c r="O322" s="24">
        <v>0.4551</v>
      </c>
    </row>
    <row r="323" spans="1:15" x14ac:dyDescent="0.25">
      <c r="A323" s="18" t="s">
        <v>317</v>
      </c>
      <c r="B323" s="22">
        <v>21.4</v>
      </c>
      <c r="C323" s="23">
        <v>21.4</v>
      </c>
      <c r="D323" s="23">
        <v>21.4</v>
      </c>
      <c r="E323" s="23">
        <v>21.4</v>
      </c>
      <c r="F323" s="23">
        <v>21.28</v>
      </c>
      <c r="G323" s="23">
        <v>21.24</v>
      </c>
      <c r="H323" s="23">
        <v>21.24</v>
      </c>
      <c r="I323" s="23">
        <v>21.24</v>
      </c>
      <c r="J323" s="23">
        <v>21.88</v>
      </c>
      <c r="K323" s="23">
        <v>21.56</v>
      </c>
      <c r="L323" s="23">
        <v>21.24</v>
      </c>
      <c r="M323" s="23">
        <v>91</v>
      </c>
      <c r="N323" s="23">
        <v>3.8</v>
      </c>
      <c r="O323" s="24">
        <v>0.43280000000000002</v>
      </c>
    </row>
    <row r="324" spans="1:15" x14ac:dyDescent="0.25">
      <c r="A324" s="18" t="s">
        <v>318</v>
      </c>
      <c r="B324" s="22">
        <v>21.2</v>
      </c>
      <c r="C324" s="23">
        <v>21.4</v>
      </c>
      <c r="D324" s="23">
        <v>21.2</v>
      </c>
      <c r="E324" s="23">
        <v>21.2</v>
      </c>
      <c r="F324" s="23">
        <v>21.2</v>
      </c>
      <c r="G324" s="23">
        <v>21.4</v>
      </c>
      <c r="H324" s="23">
        <v>21.4</v>
      </c>
      <c r="I324" s="23">
        <v>21.2</v>
      </c>
      <c r="J324" s="23">
        <v>21.2</v>
      </c>
      <c r="K324" s="23">
        <v>21.2</v>
      </c>
      <c r="L324" s="23">
        <v>21.2</v>
      </c>
      <c r="M324" s="23">
        <v>98</v>
      </c>
      <c r="N324" s="23">
        <v>2</v>
      </c>
      <c r="O324" s="24">
        <v>0.44299999999999989</v>
      </c>
    </row>
    <row r="325" spans="1:15" x14ac:dyDescent="0.25">
      <c r="A325" s="18" t="s">
        <v>319</v>
      </c>
      <c r="B325" s="22">
        <v>20.399999999999999</v>
      </c>
      <c r="C325" s="23">
        <v>20.6</v>
      </c>
      <c r="D325" s="23">
        <v>20.6</v>
      </c>
      <c r="E325" s="23">
        <v>20.6</v>
      </c>
      <c r="F325" s="23">
        <v>20.6</v>
      </c>
      <c r="G325" s="23">
        <v>20.56</v>
      </c>
      <c r="H325" s="23">
        <v>20.399999999999999</v>
      </c>
      <c r="I325" s="23">
        <v>20.399999999999999</v>
      </c>
      <c r="J325" s="23">
        <v>20.6</v>
      </c>
      <c r="K325" s="23">
        <v>20.6</v>
      </c>
      <c r="L325" s="23">
        <v>20.399999999999999</v>
      </c>
      <c r="M325" s="23">
        <v>94</v>
      </c>
      <c r="N325" s="23">
        <v>2</v>
      </c>
      <c r="O325" s="24">
        <v>0.43030000000000002</v>
      </c>
    </row>
    <row r="326" spans="1:15" x14ac:dyDescent="0.25">
      <c r="A326" s="18" t="s">
        <v>320</v>
      </c>
      <c r="B326" s="22">
        <v>19.04</v>
      </c>
      <c r="C326" s="23">
        <v>19.36</v>
      </c>
      <c r="D326" s="23">
        <v>19.2</v>
      </c>
      <c r="E326" s="23">
        <v>19.52</v>
      </c>
      <c r="F326" s="23">
        <v>19.52</v>
      </c>
      <c r="G326" s="23">
        <v>19.36</v>
      </c>
      <c r="H326" s="23">
        <v>19.2</v>
      </c>
      <c r="I326" s="23">
        <v>19.04</v>
      </c>
      <c r="J326" s="23">
        <v>19.36</v>
      </c>
      <c r="K326" s="23">
        <v>19.36</v>
      </c>
      <c r="L326" s="23">
        <v>19.04</v>
      </c>
      <c r="M326" s="23">
        <v>92</v>
      </c>
      <c r="N326" s="23">
        <v>0.8</v>
      </c>
      <c r="O326" s="24">
        <v>0.42220000000000002</v>
      </c>
    </row>
    <row r="327" spans="1:15" x14ac:dyDescent="0.25">
      <c r="A327" s="18" t="s">
        <v>321</v>
      </c>
      <c r="B327" s="22">
        <v>21.72</v>
      </c>
      <c r="C327" s="23">
        <v>21.88</v>
      </c>
      <c r="D327" s="23">
        <v>21.88</v>
      </c>
      <c r="E327" s="23">
        <v>21.72</v>
      </c>
      <c r="F327" s="23">
        <v>21.52</v>
      </c>
      <c r="G327" s="23">
        <v>21.88</v>
      </c>
      <c r="H327" s="23">
        <v>21.72</v>
      </c>
      <c r="I327" s="23">
        <v>21.88</v>
      </c>
      <c r="J327" s="23">
        <v>21.72</v>
      </c>
      <c r="K327" s="23">
        <v>21.72</v>
      </c>
      <c r="L327" s="23">
        <v>21.52</v>
      </c>
      <c r="M327" s="23">
        <v>94</v>
      </c>
      <c r="N327" s="23">
        <v>3.4</v>
      </c>
      <c r="O327" s="24">
        <v>0.43499999999999989</v>
      </c>
    </row>
    <row r="328" spans="1:15" x14ac:dyDescent="0.25">
      <c r="A328" s="18" t="s">
        <v>322</v>
      </c>
      <c r="B328" s="22">
        <v>24.6</v>
      </c>
      <c r="C328" s="23">
        <v>24.88</v>
      </c>
      <c r="D328" s="23">
        <v>24.56</v>
      </c>
      <c r="E328" s="23">
        <v>24.4</v>
      </c>
      <c r="F328" s="23">
        <v>24.6</v>
      </c>
      <c r="G328" s="23">
        <v>24.72</v>
      </c>
      <c r="H328" s="23">
        <v>24.6</v>
      </c>
      <c r="I328" s="23">
        <v>24.6</v>
      </c>
      <c r="J328" s="23">
        <v>24.56</v>
      </c>
      <c r="K328" s="23">
        <v>24.6</v>
      </c>
      <c r="L328" s="23">
        <v>24.4</v>
      </c>
      <c r="M328" s="23">
        <v>90</v>
      </c>
      <c r="N328" s="23">
        <v>8</v>
      </c>
      <c r="O328" s="24">
        <v>0.41880000000000001</v>
      </c>
    </row>
    <row r="329" spans="1:15" x14ac:dyDescent="0.25">
      <c r="A329" s="18" t="s">
        <v>323</v>
      </c>
      <c r="B329" s="22">
        <v>25.92</v>
      </c>
      <c r="C329" s="23">
        <v>25.92</v>
      </c>
      <c r="D329" s="23">
        <v>25.92</v>
      </c>
      <c r="E329" s="23">
        <v>25.92</v>
      </c>
      <c r="F329" s="23">
        <v>25.92</v>
      </c>
      <c r="G329" s="23">
        <v>25.92</v>
      </c>
      <c r="H329" s="23">
        <v>25.92</v>
      </c>
      <c r="I329" s="23">
        <v>25.92</v>
      </c>
      <c r="J329" s="23">
        <v>25.92</v>
      </c>
      <c r="K329" s="23">
        <v>25.92</v>
      </c>
      <c r="L329" s="23">
        <v>25.92</v>
      </c>
      <c r="M329" s="23">
        <v>100</v>
      </c>
      <c r="N329" s="23">
        <v>7.4</v>
      </c>
      <c r="O329" s="24">
        <v>0.45019999999999999</v>
      </c>
    </row>
    <row r="330" spans="1:15" x14ac:dyDescent="0.25">
      <c r="A330" s="18" t="s">
        <v>324</v>
      </c>
      <c r="B330" s="22">
        <v>22.2</v>
      </c>
      <c r="C330" s="23">
        <v>22.36</v>
      </c>
      <c r="D330" s="23">
        <v>22.36</v>
      </c>
      <c r="E330" s="23">
        <v>22.52</v>
      </c>
      <c r="F330" s="23">
        <v>22.36</v>
      </c>
      <c r="G330" s="23">
        <v>22.04</v>
      </c>
      <c r="H330" s="23">
        <v>22.2</v>
      </c>
      <c r="I330" s="23">
        <v>22.36</v>
      </c>
      <c r="J330" s="23">
        <v>22.04</v>
      </c>
      <c r="K330" s="23">
        <v>22.36</v>
      </c>
      <c r="L330" s="23">
        <v>22.04</v>
      </c>
      <c r="M330" s="23">
        <v>95</v>
      </c>
      <c r="N330" s="23">
        <v>3.8</v>
      </c>
      <c r="O330" s="24">
        <v>0.45379999999999998</v>
      </c>
    </row>
    <row r="331" spans="1:15" x14ac:dyDescent="0.25">
      <c r="A331" s="18" t="s">
        <v>325</v>
      </c>
      <c r="B331" s="22">
        <v>22.44</v>
      </c>
      <c r="C331" s="23">
        <v>22.44</v>
      </c>
      <c r="D331" s="23">
        <v>22.44</v>
      </c>
      <c r="E331" s="23">
        <v>22.44</v>
      </c>
      <c r="F331" s="23">
        <v>22.6</v>
      </c>
      <c r="G331" s="23">
        <v>23.08</v>
      </c>
      <c r="H331" s="23">
        <v>22.28</v>
      </c>
      <c r="I331" s="23">
        <v>22.44</v>
      </c>
      <c r="J331" s="23">
        <v>23.08</v>
      </c>
      <c r="K331" s="23">
        <v>22.44</v>
      </c>
      <c r="L331" s="23">
        <v>22.28</v>
      </c>
      <c r="M331" s="23">
        <v>101</v>
      </c>
      <c r="N331" s="23">
        <v>2.6</v>
      </c>
      <c r="O331" s="24">
        <v>0.50360000000000005</v>
      </c>
    </row>
    <row r="332" spans="1:15" x14ac:dyDescent="0.25">
      <c r="A332" s="18" t="s">
        <v>326</v>
      </c>
      <c r="B332" s="22">
        <v>22.36</v>
      </c>
      <c r="C332" s="23">
        <v>22.2</v>
      </c>
      <c r="D332" s="23">
        <v>22.24</v>
      </c>
      <c r="E332" s="23">
        <v>22.2</v>
      </c>
      <c r="F332" s="23">
        <v>22.4</v>
      </c>
      <c r="G332" s="23">
        <v>22.52</v>
      </c>
      <c r="H332" s="23">
        <v>22.2</v>
      </c>
      <c r="I332" s="23">
        <v>22.2</v>
      </c>
      <c r="J332" s="23">
        <v>22.2</v>
      </c>
      <c r="K332" s="23">
        <v>22.04</v>
      </c>
      <c r="L332" s="23">
        <v>22.04</v>
      </c>
      <c r="M332" s="23">
        <v>91</v>
      </c>
      <c r="N332" s="23">
        <v>4.8</v>
      </c>
      <c r="O332" s="24">
        <v>0.4304</v>
      </c>
    </row>
    <row r="333" spans="1:15" x14ac:dyDescent="0.25">
      <c r="A333" s="18" t="s">
        <v>327</v>
      </c>
      <c r="B333" s="22">
        <v>26.32</v>
      </c>
      <c r="C333" s="23">
        <v>26.32</v>
      </c>
      <c r="D333" s="23">
        <v>26.32</v>
      </c>
      <c r="E333" s="23">
        <v>26.32</v>
      </c>
      <c r="F333" s="23">
        <v>26.48</v>
      </c>
      <c r="G333" s="23">
        <v>26.32</v>
      </c>
      <c r="H333" s="23">
        <v>26</v>
      </c>
      <c r="I333" s="23">
        <v>26.32</v>
      </c>
      <c r="J333" s="23">
        <v>26.48</v>
      </c>
      <c r="K333" s="23">
        <v>26.36</v>
      </c>
      <c r="L333" s="23">
        <v>26</v>
      </c>
      <c r="M333" s="23">
        <v>90</v>
      </c>
      <c r="N333" s="23">
        <v>10</v>
      </c>
      <c r="O333" s="24">
        <v>0.42699999999999988</v>
      </c>
    </row>
    <row r="334" spans="1:15" x14ac:dyDescent="0.25">
      <c r="A334" s="18" t="s">
        <v>328</v>
      </c>
      <c r="B334" s="22">
        <v>23</v>
      </c>
      <c r="C334" s="23">
        <v>23</v>
      </c>
      <c r="D334" s="23">
        <v>23</v>
      </c>
      <c r="E334" s="23">
        <v>23</v>
      </c>
      <c r="F334" s="23">
        <v>23.16</v>
      </c>
      <c r="G334" s="23">
        <v>22.84</v>
      </c>
      <c r="H334" s="23">
        <v>23</v>
      </c>
      <c r="I334" s="23">
        <v>23</v>
      </c>
      <c r="J334" s="23">
        <v>23</v>
      </c>
      <c r="K334" s="23">
        <v>23</v>
      </c>
      <c r="L334" s="23">
        <v>22.84</v>
      </c>
      <c r="M334" s="23">
        <v>91</v>
      </c>
      <c r="N334" s="23">
        <v>5.8</v>
      </c>
      <c r="O334" s="24">
        <v>0.43309999999999987</v>
      </c>
    </row>
    <row r="335" spans="1:15" x14ac:dyDescent="0.25">
      <c r="A335" s="18" t="s">
        <v>329</v>
      </c>
      <c r="B335" s="22">
        <v>23.92</v>
      </c>
      <c r="C335" s="23">
        <v>23.92</v>
      </c>
      <c r="D335" s="23">
        <v>23.76</v>
      </c>
      <c r="E335" s="23">
        <v>23.76</v>
      </c>
      <c r="F335" s="23">
        <v>23.76</v>
      </c>
      <c r="G335" s="23">
        <v>23.76</v>
      </c>
      <c r="H335" s="23">
        <v>23.76</v>
      </c>
      <c r="I335" s="23">
        <v>23.76</v>
      </c>
      <c r="J335" s="23">
        <v>23.76</v>
      </c>
      <c r="K335" s="23">
        <v>23.76</v>
      </c>
      <c r="L335" s="23">
        <v>23.76</v>
      </c>
      <c r="M335" s="23">
        <v>98</v>
      </c>
      <c r="N335" s="23">
        <v>5.2</v>
      </c>
      <c r="O335" s="24">
        <v>0.46920000000000001</v>
      </c>
    </row>
    <row r="336" spans="1:15" x14ac:dyDescent="0.25">
      <c r="A336" s="18" t="s">
        <v>330</v>
      </c>
      <c r="B336" s="22">
        <v>20.32</v>
      </c>
      <c r="C336" s="23">
        <v>20.32</v>
      </c>
      <c r="D336" s="23">
        <v>20.52</v>
      </c>
      <c r="E336" s="23">
        <v>20.52</v>
      </c>
      <c r="F336" s="23">
        <v>20.48</v>
      </c>
      <c r="G336" s="23">
        <v>20.32</v>
      </c>
      <c r="H336" s="23">
        <v>20.32</v>
      </c>
      <c r="I336" s="23">
        <v>20.52</v>
      </c>
      <c r="J336" s="23">
        <v>20.32</v>
      </c>
      <c r="K336" s="23">
        <v>20.32</v>
      </c>
      <c r="L336" s="23">
        <v>20.32</v>
      </c>
      <c r="M336" s="23">
        <v>92</v>
      </c>
      <c r="N336" s="23">
        <v>2.4</v>
      </c>
      <c r="O336" s="24">
        <v>0.44719999999999999</v>
      </c>
    </row>
    <row r="337" spans="1:15" x14ac:dyDescent="0.25">
      <c r="A337" s="18" t="s">
        <v>331</v>
      </c>
      <c r="B337" s="22">
        <v>20.48</v>
      </c>
      <c r="C337" s="23">
        <v>20.48</v>
      </c>
      <c r="D337" s="23">
        <v>20.52</v>
      </c>
      <c r="E337" s="23">
        <v>20.52</v>
      </c>
      <c r="F337" s="23">
        <v>20.48</v>
      </c>
      <c r="G337" s="23">
        <v>20.36</v>
      </c>
      <c r="H337" s="23">
        <v>20.48</v>
      </c>
      <c r="I337" s="23">
        <v>20.64</v>
      </c>
      <c r="J337" s="23">
        <v>20.52</v>
      </c>
      <c r="K337" s="23">
        <v>20.36</v>
      </c>
      <c r="L337" s="23">
        <v>20.36</v>
      </c>
      <c r="M337" s="23">
        <v>89</v>
      </c>
      <c r="N337" s="23">
        <v>3.2</v>
      </c>
      <c r="O337" s="24">
        <v>0.41889999999999999</v>
      </c>
    </row>
    <row r="338" spans="1:15" x14ac:dyDescent="0.25">
      <c r="A338" s="18" t="s">
        <v>332</v>
      </c>
      <c r="B338" s="22">
        <v>21.24</v>
      </c>
      <c r="C338" s="23">
        <v>21.24</v>
      </c>
      <c r="D338" s="23">
        <v>21.08</v>
      </c>
      <c r="E338" s="23">
        <v>21.24</v>
      </c>
      <c r="F338" s="23">
        <v>21.24</v>
      </c>
      <c r="G338" s="23">
        <v>21.24</v>
      </c>
      <c r="H338" s="23">
        <v>21.08</v>
      </c>
      <c r="I338" s="23">
        <v>21.24</v>
      </c>
      <c r="J338" s="23">
        <v>21.08</v>
      </c>
      <c r="K338" s="23">
        <v>21.24</v>
      </c>
      <c r="L338" s="23">
        <v>21.08</v>
      </c>
      <c r="M338" s="23">
        <v>95</v>
      </c>
      <c r="N338" s="23">
        <v>2.6</v>
      </c>
      <c r="O338" s="24">
        <v>0.44230000000000003</v>
      </c>
    </row>
    <row r="339" spans="1:15" x14ac:dyDescent="0.25">
      <c r="A339" s="18" t="s">
        <v>333</v>
      </c>
      <c r="B339" s="22">
        <v>20.12</v>
      </c>
      <c r="C339" s="23">
        <v>19.920000000000002</v>
      </c>
      <c r="D339" s="23">
        <v>19.920000000000002</v>
      </c>
      <c r="E339" s="23">
        <v>19.920000000000002</v>
      </c>
      <c r="F339" s="23">
        <v>19.8</v>
      </c>
      <c r="G339" s="23">
        <v>19.96</v>
      </c>
      <c r="H339" s="23">
        <v>19.96</v>
      </c>
      <c r="I339" s="23">
        <v>19.920000000000002</v>
      </c>
      <c r="J339" s="23">
        <v>19.920000000000002</v>
      </c>
      <c r="K339" s="23">
        <v>19.920000000000002</v>
      </c>
      <c r="L339" s="23">
        <v>19.8</v>
      </c>
      <c r="M339" s="23">
        <v>95</v>
      </c>
      <c r="N339" s="23">
        <v>1</v>
      </c>
      <c r="O339" s="24">
        <v>0.4476</v>
      </c>
    </row>
    <row r="340" spans="1:15" x14ac:dyDescent="0.25">
      <c r="A340" s="18" t="s">
        <v>334</v>
      </c>
      <c r="B340" s="22">
        <v>19.600000000000001</v>
      </c>
      <c r="C340" s="23">
        <v>19.559999999999999</v>
      </c>
      <c r="D340" s="23">
        <v>19.600000000000001</v>
      </c>
      <c r="E340" s="23">
        <v>19.600000000000001</v>
      </c>
      <c r="F340" s="23">
        <v>19.600000000000001</v>
      </c>
      <c r="G340" s="23">
        <v>19.399999999999999</v>
      </c>
      <c r="H340" s="23">
        <v>19.600000000000001</v>
      </c>
      <c r="I340" s="23">
        <v>19.760000000000002</v>
      </c>
      <c r="J340" s="23">
        <v>19.399999999999999</v>
      </c>
      <c r="K340" s="23">
        <v>19.600000000000001</v>
      </c>
      <c r="L340" s="23">
        <v>19.399999999999999</v>
      </c>
      <c r="M340" s="23">
        <v>93</v>
      </c>
      <c r="N340" s="23">
        <v>1</v>
      </c>
      <c r="O340" s="24">
        <v>0.52140000000000009</v>
      </c>
    </row>
    <row r="341" spans="1:15" x14ac:dyDescent="0.25">
      <c r="A341" s="18" t="s">
        <v>335</v>
      </c>
      <c r="B341" s="22">
        <v>21.68</v>
      </c>
      <c r="C341" s="23">
        <v>21.52</v>
      </c>
      <c r="D341" s="23">
        <v>21.52</v>
      </c>
      <c r="E341" s="23">
        <v>21.52</v>
      </c>
      <c r="F341" s="23">
        <v>21.52</v>
      </c>
      <c r="G341" s="23">
        <v>21.52</v>
      </c>
      <c r="H341" s="23">
        <v>21.52</v>
      </c>
      <c r="I341" s="23">
        <v>21.52</v>
      </c>
      <c r="J341" s="23">
        <v>21.52</v>
      </c>
      <c r="K341" s="23">
        <v>21.52</v>
      </c>
      <c r="L341" s="23">
        <v>21.52</v>
      </c>
      <c r="M341" s="23">
        <v>94</v>
      </c>
      <c r="N341" s="23">
        <v>3.4</v>
      </c>
      <c r="O341" s="24">
        <v>0.52350000000000008</v>
      </c>
    </row>
    <row r="342" spans="1:15" x14ac:dyDescent="0.25">
      <c r="A342" s="18" t="s">
        <v>336</v>
      </c>
      <c r="B342" s="22">
        <v>19.88</v>
      </c>
      <c r="C342" s="23">
        <v>19.88</v>
      </c>
      <c r="D342" s="23">
        <v>19.88</v>
      </c>
      <c r="E342" s="23">
        <v>20.52</v>
      </c>
      <c r="F342" s="23">
        <v>20.04</v>
      </c>
      <c r="G342" s="23">
        <v>19.920000000000002</v>
      </c>
      <c r="H342" s="23">
        <v>20.68</v>
      </c>
      <c r="I342" s="23">
        <v>20.36</v>
      </c>
      <c r="J342" s="23">
        <v>19.72</v>
      </c>
      <c r="K342" s="23">
        <v>20.52</v>
      </c>
      <c r="L342" s="23">
        <v>19.72</v>
      </c>
      <c r="M342" s="23">
        <v>93</v>
      </c>
      <c r="N342" s="23">
        <v>1.4</v>
      </c>
      <c r="O342" s="24">
        <v>0.55359999999999998</v>
      </c>
    </row>
    <row r="343" spans="1:15" x14ac:dyDescent="0.25">
      <c r="A343" s="18" t="s">
        <v>337</v>
      </c>
      <c r="B343" s="22">
        <v>23.16</v>
      </c>
      <c r="C343" s="23">
        <v>23.2</v>
      </c>
      <c r="D343" s="23">
        <v>23.2</v>
      </c>
      <c r="E343" s="23">
        <v>23</v>
      </c>
      <c r="F343" s="23">
        <v>23.36</v>
      </c>
      <c r="G343" s="23">
        <v>23</v>
      </c>
      <c r="H343" s="23">
        <v>23.2</v>
      </c>
      <c r="I343" s="23">
        <v>23.2</v>
      </c>
      <c r="J343" s="23">
        <v>23.2</v>
      </c>
      <c r="K343" s="23">
        <v>23.2</v>
      </c>
      <c r="L343" s="23">
        <v>23</v>
      </c>
      <c r="M343" s="23">
        <v>95</v>
      </c>
      <c r="N343" s="23">
        <v>5</v>
      </c>
      <c r="O343" s="24">
        <v>0.53859999999999997</v>
      </c>
    </row>
    <row r="344" spans="1:15" x14ac:dyDescent="0.25">
      <c r="A344" s="18" t="s">
        <v>338</v>
      </c>
      <c r="B344" s="22">
        <v>25.28</v>
      </c>
      <c r="C344" s="23">
        <v>25.6</v>
      </c>
      <c r="D344" s="23">
        <v>25.12</v>
      </c>
      <c r="E344" s="23">
        <v>25.28</v>
      </c>
      <c r="F344" s="23">
        <v>25.48</v>
      </c>
      <c r="G344" s="23">
        <v>25.6</v>
      </c>
      <c r="H344" s="23">
        <v>25.12</v>
      </c>
      <c r="I344" s="23">
        <v>25.6</v>
      </c>
      <c r="J344" s="23">
        <v>25.12</v>
      </c>
      <c r="K344" s="23">
        <v>26.24</v>
      </c>
      <c r="L344" s="23">
        <v>25.12</v>
      </c>
      <c r="M344" s="23">
        <v>104</v>
      </c>
      <c r="N344" s="23">
        <v>5.4</v>
      </c>
      <c r="O344" s="24">
        <v>0.58199999999999996</v>
      </c>
    </row>
    <row r="345" spans="1:15" x14ac:dyDescent="0.25">
      <c r="A345" s="18" t="s">
        <v>339</v>
      </c>
      <c r="B345" s="22">
        <v>23.68</v>
      </c>
      <c r="C345" s="23">
        <v>23.64</v>
      </c>
      <c r="D345" s="23">
        <v>23.48</v>
      </c>
      <c r="E345" s="23">
        <v>23.68</v>
      </c>
      <c r="F345" s="23">
        <v>23.64</v>
      </c>
      <c r="G345" s="23">
        <v>23.48</v>
      </c>
      <c r="H345" s="23">
        <v>23.48</v>
      </c>
      <c r="I345" s="23">
        <v>23.68</v>
      </c>
      <c r="J345" s="23">
        <v>23.64</v>
      </c>
      <c r="K345" s="23">
        <v>23.48</v>
      </c>
      <c r="L345" s="23">
        <v>23.48</v>
      </c>
      <c r="M345" s="23">
        <v>95</v>
      </c>
      <c r="N345" s="23">
        <v>5.6</v>
      </c>
      <c r="O345" s="24">
        <v>0.53059999999999996</v>
      </c>
    </row>
    <row r="346" spans="1:15" x14ac:dyDescent="0.25">
      <c r="A346" s="18" t="s">
        <v>340</v>
      </c>
      <c r="B346" s="22">
        <v>21.8</v>
      </c>
      <c r="C346" s="23">
        <v>21.8</v>
      </c>
      <c r="D346" s="23">
        <v>21.8</v>
      </c>
      <c r="E346" s="23">
        <v>21.8</v>
      </c>
      <c r="F346" s="23">
        <v>21.8</v>
      </c>
      <c r="G346" s="23">
        <v>21.76</v>
      </c>
      <c r="H346" s="23">
        <v>21.8</v>
      </c>
      <c r="I346" s="23">
        <v>21.8</v>
      </c>
      <c r="J346" s="23">
        <v>21.8</v>
      </c>
      <c r="K346" s="23">
        <v>21.8</v>
      </c>
      <c r="L346" s="23">
        <v>21.76</v>
      </c>
      <c r="M346" s="23">
        <v>96</v>
      </c>
      <c r="N346" s="23">
        <v>3.2</v>
      </c>
      <c r="O346" s="24">
        <v>0.53520000000000001</v>
      </c>
    </row>
    <row r="347" spans="1:15" x14ac:dyDescent="0.25">
      <c r="A347" s="18" t="s">
        <v>341</v>
      </c>
      <c r="B347" s="22">
        <v>28.52</v>
      </c>
      <c r="C347" s="23">
        <v>29</v>
      </c>
      <c r="D347" s="23">
        <v>28.68</v>
      </c>
      <c r="E347" s="23">
        <v>27.72</v>
      </c>
      <c r="F347" s="23">
        <v>27.72</v>
      </c>
      <c r="G347" s="23">
        <v>28.2</v>
      </c>
      <c r="H347" s="23">
        <v>28.68</v>
      </c>
      <c r="I347" s="23">
        <v>28.36</v>
      </c>
      <c r="J347" s="23">
        <v>28.2</v>
      </c>
      <c r="K347" s="23">
        <v>28.2</v>
      </c>
      <c r="L347" s="23">
        <v>27.72</v>
      </c>
      <c r="M347" s="23">
        <v>101</v>
      </c>
      <c r="N347" s="23">
        <v>9.4</v>
      </c>
      <c r="O347" s="24">
        <v>0.63449999999999995</v>
      </c>
    </row>
    <row r="348" spans="1:15" x14ac:dyDescent="0.25">
      <c r="A348" s="18" t="s">
        <v>342</v>
      </c>
      <c r="B348" s="22">
        <v>20.56</v>
      </c>
      <c r="C348" s="23">
        <v>20.72</v>
      </c>
      <c r="D348" s="23">
        <v>20.6</v>
      </c>
      <c r="E348" s="23">
        <v>20.6</v>
      </c>
      <c r="F348" s="23">
        <v>20.6</v>
      </c>
      <c r="G348" s="23">
        <v>20.56</v>
      </c>
      <c r="H348" s="23">
        <v>20.399999999999999</v>
      </c>
      <c r="I348" s="23">
        <v>20.399999999999999</v>
      </c>
      <c r="J348" s="23">
        <v>20.6</v>
      </c>
      <c r="K348" s="23">
        <v>20.6</v>
      </c>
      <c r="L348" s="23">
        <v>20.399999999999999</v>
      </c>
      <c r="M348" s="23">
        <v>94</v>
      </c>
      <c r="N348" s="23">
        <v>2</v>
      </c>
      <c r="O348" s="24">
        <v>0.52129999999999999</v>
      </c>
    </row>
    <row r="349" spans="1:15" x14ac:dyDescent="0.25">
      <c r="A349" s="18" t="s">
        <v>343</v>
      </c>
      <c r="B349" s="22">
        <v>20.239999999999998</v>
      </c>
      <c r="C349" s="23">
        <v>20.04</v>
      </c>
      <c r="D349" s="23">
        <v>20.04</v>
      </c>
      <c r="E349" s="23">
        <v>20.16</v>
      </c>
      <c r="F349" s="23">
        <v>20.16</v>
      </c>
      <c r="G349" s="23">
        <v>20.04</v>
      </c>
      <c r="H349" s="23">
        <v>20.04</v>
      </c>
      <c r="I349" s="23">
        <v>20.04</v>
      </c>
      <c r="J349" s="23">
        <v>20.04</v>
      </c>
      <c r="K349" s="23">
        <v>20.16</v>
      </c>
      <c r="L349" s="23">
        <v>20.04</v>
      </c>
      <c r="M349" s="23">
        <v>93</v>
      </c>
      <c r="N349" s="23">
        <v>1.8</v>
      </c>
      <c r="O349" s="24">
        <v>0.51019999999999999</v>
      </c>
    </row>
    <row r="350" spans="1:15" x14ac:dyDescent="0.25">
      <c r="A350" s="18" t="s">
        <v>344</v>
      </c>
      <c r="B350" s="22">
        <v>19</v>
      </c>
      <c r="C350" s="23">
        <v>19</v>
      </c>
      <c r="D350" s="23">
        <v>19</v>
      </c>
      <c r="E350" s="23">
        <v>19</v>
      </c>
      <c r="F350" s="23">
        <v>19</v>
      </c>
      <c r="G350" s="23">
        <v>19</v>
      </c>
      <c r="H350" s="23">
        <v>19</v>
      </c>
      <c r="I350" s="23">
        <v>19</v>
      </c>
      <c r="J350" s="23">
        <v>19</v>
      </c>
      <c r="K350" s="23">
        <v>19</v>
      </c>
      <c r="L350" s="23">
        <v>19</v>
      </c>
      <c r="M350" s="23">
        <v>95</v>
      </c>
      <c r="N350" s="23">
        <v>0</v>
      </c>
      <c r="O350" s="24">
        <v>0.66379999999999995</v>
      </c>
    </row>
    <row r="351" spans="1:15" x14ac:dyDescent="0.25">
      <c r="A351" s="18" t="s">
        <v>345</v>
      </c>
      <c r="B351" s="22">
        <v>26</v>
      </c>
      <c r="C351" s="23">
        <v>26</v>
      </c>
      <c r="D351" s="23">
        <v>25.96</v>
      </c>
      <c r="E351" s="23">
        <v>26</v>
      </c>
      <c r="F351" s="23">
        <v>26</v>
      </c>
      <c r="G351" s="23">
        <v>25.96</v>
      </c>
      <c r="H351" s="23">
        <v>26</v>
      </c>
      <c r="I351" s="23">
        <v>25.96</v>
      </c>
      <c r="J351" s="23">
        <v>26</v>
      </c>
      <c r="K351" s="23">
        <v>26</v>
      </c>
      <c r="L351" s="23">
        <v>25.96</v>
      </c>
      <c r="M351" s="23">
        <v>97</v>
      </c>
      <c r="N351" s="23">
        <v>8.1999999999999993</v>
      </c>
      <c r="O351" s="24">
        <v>0.69109999999999994</v>
      </c>
    </row>
    <row r="352" spans="1:15" x14ac:dyDescent="0.25">
      <c r="A352" s="18" t="s">
        <v>346</v>
      </c>
      <c r="B352" s="22">
        <v>23</v>
      </c>
      <c r="C352" s="23">
        <v>23</v>
      </c>
      <c r="D352" s="23">
        <v>23</v>
      </c>
      <c r="E352" s="23">
        <v>23</v>
      </c>
      <c r="F352" s="23">
        <v>23</v>
      </c>
      <c r="G352" s="23">
        <v>23</v>
      </c>
      <c r="H352" s="23">
        <v>23</v>
      </c>
      <c r="I352" s="23">
        <v>23</v>
      </c>
      <c r="J352" s="23">
        <v>23</v>
      </c>
      <c r="K352" s="23">
        <v>23</v>
      </c>
      <c r="L352" s="23">
        <v>23</v>
      </c>
      <c r="M352" s="23">
        <v>87</v>
      </c>
      <c r="N352" s="23">
        <v>7</v>
      </c>
      <c r="O352" s="24">
        <v>0.62329999999999997</v>
      </c>
    </row>
    <row r="353" spans="1:15" x14ac:dyDescent="0.25">
      <c r="A353" s="18" t="s">
        <v>347</v>
      </c>
      <c r="B353" s="22">
        <v>20.440000000000001</v>
      </c>
      <c r="C353" s="23">
        <v>20.28</v>
      </c>
      <c r="D353" s="23">
        <v>20.28</v>
      </c>
      <c r="E353" s="23">
        <v>20.28</v>
      </c>
      <c r="F353" s="23">
        <v>20.28</v>
      </c>
      <c r="G353" s="23">
        <v>20.28</v>
      </c>
      <c r="H353" s="23">
        <v>20.28</v>
      </c>
      <c r="I353" s="23">
        <v>20.28</v>
      </c>
      <c r="J353" s="23">
        <v>20.28</v>
      </c>
      <c r="K353" s="23">
        <v>20.28</v>
      </c>
      <c r="L353" s="23">
        <v>20.28</v>
      </c>
      <c r="M353" s="23">
        <v>91</v>
      </c>
      <c r="N353" s="23">
        <v>2.6</v>
      </c>
      <c r="O353" s="24">
        <v>0.66370000000000007</v>
      </c>
    </row>
    <row r="354" spans="1:15" x14ac:dyDescent="0.25">
      <c r="A354" s="18" t="s">
        <v>348</v>
      </c>
      <c r="B354" s="22">
        <v>22.6</v>
      </c>
      <c r="C354" s="23">
        <v>22.6</v>
      </c>
      <c r="D354" s="23">
        <v>22.64</v>
      </c>
      <c r="E354" s="23">
        <v>22.44</v>
      </c>
      <c r="F354" s="23">
        <v>22.44</v>
      </c>
      <c r="G354" s="23">
        <v>22.76</v>
      </c>
      <c r="H354" s="23">
        <v>22.64</v>
      </c>
      <c r="I354" s="23">
        <v>22.64</v>
      </c>
      <c r="J354" s="23">
        <v>22.44</v>
      </c>
      <c r="K354" s="23">
        <v>22.64</v>
      </c>
      <c r="L354" s="23">
        <v>22.44</v>
      </c>
      <c r="M354" s="23">
        <v>93</v>
      </c>
      <c r="N354" s="23">
        <v>4.8</v>
      </c>
      <c r="O354" s="24">
        <v>0.6664000000000001</v>
      </c>
    </row>
    <row r="355" spans="1:15" x14ac:dyDescent="0.25">
      <c r="A355" s="18" t="s">
        <v>349</v>
      </c>
      <c r="B355" s="22">
        <v>18.88</v>
      </c>
      <c r="C355" s="23">
        <v>18.84</v>
      </c>
      <c r="D355" s="23">
        <v>18.88</v>
      </c>
      <c r="E355" s="23">
        <v>18.88</v>
      </c>
      <c r="F355" s="23">
        <v>18.88</v>
      </c>
      <c r="G355" s="23">
        <v>18.88</v>
      </c>
      <c r="H355" s="23">
        <v>18.88</v>
      </c>
      <c r="I355" s="23">
        <v>18.88</v>
      </c>
      <c r="J355" s="23">
        <v>18.88</v>
      </c>
      <c r="K355" s="23">
        <v>18.88</v>
      </c>
      <c r="L355" s="23">
        <v>18.84</v>
      </c>
      <c r="M355" s="23">
        <v>91</v>
      </c>
      <c r="N355" s="23">
        <v>0.8</v>
      </c>
      <c r="O355" s="24">
        <v>0.65959999999999996</v>
      </c>
    </row>
    <row r="356" spans="1:15" x14ac:dyDescent="0.25">
      <c r="A356" s="18" t="s">
        <v>350</v>
      </c>
      <c r="B356" s="22">
        <v>20.2</v>
      </c>
      <c r="C356" s="23">
        <v>20</v>
      </c>
      <c r="D356" s="23">
        <v>20</v>
      </c>
      <c r="E356" s="23">
        <v>20</v>
      </c>
      <c r="F356" s="23">
        <v>20</v>
      </c>
      <c r="G356" s="23">
        <v>20.2</v>
      </c>
      <c r="H356" s="23">
        <v>20</v>
      </c>
      <c r="I356" s="23">
        <v>20</v>
      </c>
      <c r="J356" s="23">
        <v>20</v>
      </c>
      <c r="K356" s="23">
        <v>20.96</v>
      </c>
      <c r="L356" s="23">
        <v>20</v>
      </c>
      <c r="M356" s="23">
        <v>100</v>
      </c>
      <c r="N356" s="23">
        <v>0</v>
      </c>
      <c r="O356" s="24">
        <v>0.77300000000000002</v>
      </c>
    </row>
    <row r="357" spans="1:15" x14ac:dyDescent="0.25">
      <c r="A357" s="18" t="s">
        <v>351</v>
      </c>
      <c r="B357" s="22">
        <v>18.600000000000001</v>
      </c>
      <c r="C357" s="23">
        <v>18.600000000000001</v>
      </c>
      <c r="D357" s="23">
        <v>18.600000000000001</v>
      </c>
      <c r="E357" s="23">
        <v>18.600000000000001</v>
      </c>
      <c r="F357" s="23">
        <v>18.600000000000001</v>
      </c>
      <c r="G357" s="23">
        <v>18.600000000000001</v>
      </c>
      <c r="H357" s="23">
        <v>18.8</v>
      </c>
      <c r="I357" s="23">
        <v>18.600000000000001</v>
      </c>
      <c r="J357" s="23">
        <v>18.600000000000001</v>
      </c>
      <c r="K357" s="23">
        <v>18.600000000000001</v>
      </c>
      <c r="L357" s="23">
        <v>18.600000000000001</v>
      </c>
      <c r="M357" s="23">
        <v>93</v>
      </c>
      <c r="N357" s="23">
        <v>0</v>
      </c>
      <c r="O357" s="24">
        <v>0.70269999999999999</v>
      </c>
    </row>
    <row r="358" spans="1:15" x14ac:dyDescent="0.25">
      <c r="A358" s="18" t="s">
        <v>352</v>
      </c>
      <c r="B358" s="22">
        <v>23.24</v>
      </c>
      <c r="C358" s="23">
        <v>23.2</v>
      </c>
      <c r="D358" s="23">
        <v>23.24</v>
      </c>
      <c r="E358" s="23">
        <v>23.24</v>
      </c>
      <c r="F358" s="23">
        <v>23.2</v>
      </c>
      <c r="G358" s="23">
        <v>23.24</v>
      </c>
      <c r="H358" s="23">
        <v>23.24</v>
      </c>
      <c r="I358" s="23">
        <v>23.24</v>
      </c>
      <c r="J358" s="23">
        <v>23.24</v>
      </c>
      <c r="K358" s="23">
        <v>23.2</v>
      </c>
      <c r="L358" s="23">
        <v>23.2</v>
      </c>
      <c r="M358" s="23">
        <v>100</v>
      </c>
      <c r="N358" s="23">
        <v>4</v>
      </c>
      <c r="O358" s="24">
        <v>0.72509999999999997</v>
      </c>
    </row>
    <row r="359" spans="1:15" x14ac:dyDescent="0.25">
      <c r="A359" s="18" t="s">
        <v>353</v>
      </c>
      <c r="B359" s="22">
        <v>19.96</v>
      </c>
      <c r="C359" s="23">
        <v>20.6</v>
      </c>
      <c r="D359" s="23">
        <v>21.08</v>
      </c>
      <c r="E359" s="23">
        <v>20.6</v>
      </c>
      <c r="F359" s="23">
        <v>20.92</v>
      </c>
      <c r="G359" s="23">
        <v>20.92</v>
      </c>
      <c r="H359" s="23">
        <v>21.12</v>
      </c>
      <c r="I359" s="23">
        <v>20.76</v>
      </c>
      <c r="J359" s="23">
        <v>20.440000000000001</v>
      </c>
      <c r="K359" s="23">
        <v>20.76</v>
      </c>
      <c r="L359" s="23">
        <v>19.96</v>
      </c>
      <c r="M359" s="23">
        <v>95</v>
      </c>
      <c r="N359" s="23">
        <v>1.2</v>
      </c>
      <c r="O359" s="24">
        <v>0.70150000000000001</v>
      </c>
    </row>
    <row r="360" spans="1:15" x14ac:dyDescent="0.25">
      <c r="A360" s="18" t="s">
        <v>354</v>
      </c>
      <c r="B360" s="22">
        <v>18.2</v>
      </c>
      <c r="C360" s="23">
        <v>18.2</v>
      </c>
      <c r="D360" s="23">
        <v>18.2</v>
      </c>
      <c r="E360" s="23">
        <v>18.2</v>
      </c>
      <c r="F360" s="23">
        <v>18.2</v>
      </c>
      <c r="G360" s="23">
        <v>18.2</v>
      </c>
      <c r="H360" s="23">
        <v>18.2</v>
      </c>
      <c r="I360" s="23">
        <v>18</v>
      </c>
      <c r="J360" s="23">
        <v>18.2</v>
      </c>
      <c r="K360" s="23">
        <v>18.2</v>
      </c>
      <c r="L360" s="23">
        <v>18</v>
      </c>
      <c r="M360" s="23">
        <v>90</v>
      </c>
      <c r="N360" s="23">
        <v>0</v>
      </c>
      <c r="O360" s="24">
        <v>1.0791999999999999</v>
      </c>
    </row>
    <row r="361" spans="1:15" x14ac:dyDescent="0.25">
      <c r="A361" s="18" t="s">
        <v>355</v>
      </c>
      <c r="B361" s="22">
        <v>21.68</v>
      </c>
      <c r="C361" s="23">
        <v>21.64</v>
      </c>
      <c r="D361" s="23">
        <v>21.68</v>
      </c>
      <c r="E361" s="23">
        <v>21.68</v>
      </c>
      <c r="F361" s="23">
        <v>21.84</v>
      </c>
      <c r="G361" s="23">
        <v>21.68</v>
      </c>
      <c r="H361" s="23">
        <v>21.68</v>
      </c>
      <c r="I361" s="23">
        <v>21.68</v>
      </c>
      <c r="J361" s="23">
        <v>21.68</v>
      </c>
      <c r="K361" s="23">
        <v>21.68</v>
      </c>
      <c r="L361" s="23">
        <v>21.64</v>
      </c>
      <c r="M361" s="23">
        <v>97</v>
      </c>
      <c r="N361" s="23">
        <v>2.8</v>
      </c>
      <c r="O361" s="24">
        <v>1.1267</v>
      </c>
    </row>
    <row r="362" spans="1:15" x14ac:dyDescent="0.25">
      <c r="A362" s="18" t="s">
        <v>356</v>
      </c>
      <c r="B362" s="22">
        <v>19.559999999999999</v>
      </c>
      <c r="C362" s="23">
        <v>19.36</v>
      </c>
      <c r="D362" s="23">
        <v>19.36</v>
      </c>
      <c r="E362" s="23">
        <v>19.84</v>
      </c>
      <c r="F362" s="23">
        <v>19.36</v>
      </c>
      <c r="G362" s="23">
        <v>19.36</v>
      </c>
      <c r="H362" s="23">
        <v>19.36</v>
      </c>
      <c r="I362" s="23">
        <v>19.36</v>
      </c>
      <c r="J362" s="23">
        <v>19.36</v>
      </c>
      <c r="K362" s="23">
        <v>19.84</v>
      </c>
      <c r="L362" s="23">
        <v>19.36</v>
      </c>
      <c r="M362" s="23">
        <v>96</v>
      </c>
      <c r="N362" s="23">
        <v>0.2</v>
      </c>
      <c r="O362" s="24">
        <v>1.1005</v>
      </c>
    </row>
    <row r="363" spans="1:15" x14ac:dyDescent="0.25">
      <c r="A363" s="18" t="s">
        <v>357</v>
      </c>
      <c r="B363" s="22">
        <v>27.48</v>
      </c>
      <c r="C363" s="23">
        <v>27.64</v>
      </c>
      <c r="D363" s="23">
        <v>27.48</v>
      </c>
      <c r="E363" s="23">
        <v>27.48</v>
      </c>
      <c r="F363" s="23">
        <v>27.64</v>
      </c>
      <c r="G363" s="23">
        <v>27.64</v>
      </c>
      <c r="H363" s="23">
        <v>27.48</v>
      </c>
      <c r="I363" s="23">
        <v>27.64</v>
      </c>
      <c r="J363" s="23">
        <v>27.64</v>
      </c>
      <c r="K363" s="23">
        <v>27.48</v>
      </c>
      <c r="L363" s="23">
        <v>27.48</v>
      </c>
      <c r="M363" s="23">
        <v>99</v>
      </c>
      <c r="N363" s="23">
        <v>9.6</v>
      </c>
      <c r="O363" s="24">
        <v>1.1428</v>
      </c>
    </row>
    <row r="364" spans="1:15" x14ac:dyDescent="0.25">
      <c r="A364" s="18" t="s">
        <v>358</v>
      </c>
      <c r="B364" s="22">
        <v>24.76</v>
      </c>
      <c r="C364" s="23">
        <v>24.56</v>
      </c>
      <c r="D364" s="23">
        <v>24.76</v>
      </c>
      <c r="E364" s="23">
        <v>24.72</v>
      </c>
      <c r="F364" s="23">
        <v>24.76</v>
      </c>
      <c r="G364" s="23">
        <v>24.76</v>
      </c>
      <c r="H364" s="23">
        <v>24.56</v>
      </c>
      <c r="I364" s="23">
        <v>24.6</v>
      </c>
      <c r="J364" s="23">
        <v>24.76</v>
      </c>
      <c r="K364" s="23">
        <v>24.76</v>
      </c>
      <c r="L364" s="23">
        <v>24.56</v>
      </c>
      <c r="M364" s="23">
        <v>94</v>
      </c>
      <c r="N364" s="23">
        <v>7.2</v>
      </c>
      <c r="O364" s="24">
        <v>1.1449</v>
      </c>
    </row>
    <row r="365" spans="1:15" x14ac:dyDescent="0.25">
      <c r="A365" s="18" t="s">
        <v>359</v>
      </c>
      <c r="B365" s="22">
        <v>18.600000000000001</v>
      </c>
      <c r="C365" s="23">
        <v>18.600000000000001</v>
      </c>
      <c r="D365" s="23">
        <v>18.600000000000001</v>
      </c>
      <c r="E365" s="23">
        <v>18.600000000000001</v>
      </c>
      <c r="F365" s="23">
        <v>18.600000000000001</v>
      </c>
      <c r="G365" s="23">
        <v>18.600000000000001</v>
      </c>
      <c r="H365" s="23">
        <v>18.600000000000001</v>
      </c>
      <c r="I365" s="23">
        <v>18.600000000000001</v>
      </c>
      <c r="J365" s="23">
        <v>18.600000000000001</v>
      </c>
      <c r="K365" s="23">
        <v>18.600000000000001</v>
      </c>
      <c r="L365" s="23">
        <v>18.600000000000001</v>
      </c>
      <c r="M365" s="23">
        <v>89</v>
      </c>
      <c r="N365" s="23">
        <v>1</v>
      </c>
      <c r="O365" s="24">
        <v>1.0528</v>
      </c>
    </row>
    <row r="366" spans="1:15" x14ac:dyDescent="0.25">
      <c r="A366" s="18" t="s">
        <v>360</v>
      </c>
      <c r="B366" s="22">
        <v>21.88</v>
      </c>
      <c r="C366" s="23">
        <v>21.88</v>
      </c>
      <c r="D366" s="23">
        <v>21.88</v>
      </c>
      <c r="E366" s="23">
        <v>21.88</v>
      </c>
      <c r="F366" s="23">
        <v>22.04</v>
      </c>
      <c r="G366" s="23">
        <v>21.68</v>
      </c>
      <c r="H366" s="23">
        <v>22.2</v>
      </c>
      <c r="I366" s="23">
        <v>21.88</v>
      </c>
      <c r="J366" s="23">
        <v>22.04</v>
      </c>
      <c r="K366" s="23">
        <v>21.88</v>
      </c>
      <c r="L366" s="23">
        <v>21.68</v>
      </c>
      <c r="M366" s="23">
        <v>98</v>
      </c>
      <c r="N366" s="23">
        <v>2.6</v>
      </c>
      <c r="O366" s="24">
        <v>1.1064000000000001</v>
      </c>
    </row>
    <row r="367" spans="1:15" x14ac:dyDescent="0.25">
      <c r="A367" s="18" t="s">
        <v>361</v>
      </c>
      <c r="B367" s="22">
        <v>18.2</v>
      </c>
      <c r="C367" s="23">
        <v>18.36</v>
      </c>
      <c r="D367" s="23">
        <v>18.399999999999999</v>
      </c>
      <c r="E367" s="23">
        <v>18.2</v>
      </c>
      <c r="F367" s="23">
        <v>18.2</v>
      </c>
      <c r="G367" s="23">
        <v>18.52</v>
      </c>
      <c r="H367" s="23">
        <v>18.399999999999999</v>
      </c>
      <c r="I367" s="23">
        <v>18.52</v>
      </c>
      <c r="J367" s="23">
        <v>18.399999999999999</v>
      </c>
      <c r="K367" s="23">
        <v>18.52</v>
      </c>
      <c r="L367" s="23">
        <v>18.2</v>
      </c>
      <c r="M367" s="23">
        <v>91</v>
      </c>
      <c r="N367" s="23">
        <v>0</v>
      </c>
      <c r="O367" s="24">
        <v>1.1724000000000001</v>
      </c>
    </row>
    <row r="368" spans="1:15" x14ac:dyDescent="0.25">
      <c r="A368" s="18" t="s">
        <v>362</v>
      </c>
      <c r="B368" s="22">
        <v>22.08</v>
      </c>
      <c r="C368" s="23">
        <v>22.4</v>
      </c>
      <c r="D368" s="23">
        <v>21.92</v>
      </c>
      <c r="E368" s="23">
        <v>21.76</v>
      </c>
      <c r="F368" s="23">
        <v>22.08</v>
      </c>
      <c r="G368" s="23">
        <v>22.08</v>
      </c>
      <c r="H368" s="23">
        <v>22.24</v>
      </c>
      <c r="I368" s="23">
        <v>22.08</v>
      </c>
      <c r="J368" s="23">
        <v>22.08</v>
      </c>
      <c r="K368" s="23">
        <v>22.4</v>
      </c>
      <c r="L368" s="23">
        <v>21.76</v>
      </c>
      <c r="M368" s="23">
        <v>92</v>
      </c>
      <c r="N368" s="23">
        <v>4.2</v>
      </c>
      <c r="O368" s="24">
        <v>1.0863</v>
      </c>
    </row>
    <row r="369" spans="1:15" x14ac:dyDescent="0.25">
      <c r="A369" s="18" t="s">
        <v>363</v>
      </c>
      <c r="B369" s="22">
        <v>23.8</v>
      </c>
      <c r="C369" s="23">
        <v>23.32</v>
      </c>
      <c r="D369" s="23">
        <v>23.8</v>
      </c>
      <c r="E369" s="23">
        <v>23.96</v>
      </c>
      <c r="F369" s="23">
        <v>23.64</v>
      </c>
      <c r="G369" s="23">
        <v>23.48</v>
      </c>
      <c r="H369" s="23">
        <v>23.8</v>
      </c>
      <c r="I369" s="23">
        <v>23.16</v>
      </c>
      <c r="J369" s="23">
        <v>23.8</v>
      </c>
      <c r="K369" s="23">
        <v>23.64</v>
      </c>
      <c r="L369" s="23">
        <v>23.16</v>
      </c>
      <c r="M369" s="23">
        <v>99</v>
      </c>
      <c r="N369" s="23">
        <v>4.2</v>
      </c>
      <c r="O369" s="24">
        <v>1.2201</v>
      </c>
    </row>
    <row r="370" spans="1:15" x14ac:dyDescent="0.25">
      <c r="A370" s="18" t="s">
        <v>364</v>
      </c>
      <c r="B370" s="22">
        <v>24.2</v>
      </c>
      <c r="C370" s="23">
        <v>24.2</v>
      </c>
      <c r="D370" s="23">
        <v>24.36</v>
      </c>
      <c r="E370" s="23">
        <v>24.2</v>
      </c>
      <c r="F370" s="23">
        <v>24.32</v>
      </c>
      <c r="G370" s="23">
        <v>24.2</v>
      </c>
      <c r="H370" s="23">
        <v>24.36</v>
      </c>
      <c r="I370" s="23">
        <v>25</v>
      </c>
      <c r="J370" s="23">
        <v>24.2</v>
      </c>
      <c r="K370" s="23">
        <v>24.2</v>
      </c>
      <c r="L370" s="23">
        <v>24.2</v>
      </c>
      <c r="M370" s="23">
        <v>101</v>
      </c>
      <c r="N370" s="23">
        <v>5</v>
      </c>
      <c r="O370" s="24">
        <v>1.7395</v>
      </c>
    </row>
    <row r="371" spans="1:15" x14ac:dyDescent="0.25">
      <c r="A371" s="18" t="s">
        <v>365</v>
      </c>
      <c r="B371" s="22">
        <v>19.32</v>
      </c>
      <c r="C371" s="23">
        <v>19.32</v>
      </c>
      <c r="D371" s="23">
        <v>19.32</v>
      </c>
      <c r="E371" s="23">
        <v>19.32</v>
      </c>
      <c r="F371" s="23">
        <v>19.32</v>
      </c>
      <c r="G371" s="23">
        <v>19.32</v>
      </c>
      <c r="H371" s="23">
        <v>19.32</v>
      </c>
      <c r="I371" s="23">
        <v>19.32</v>
      </c>
      <c r="J371" s="23">
        <v>19.32</v>
      </c>
      <c r="K371" s="23">
        <v>19.32</v>
      </c>
      <c r="L371" s="23">
        <v>19.32</v>
      </c>
      <c r="M371" s="23">
        <v>95</v>
      </c>
      <c r="N371" s="23">
        <v>0.4</v>
      </c>
      <c r="O371" s="24">
        <v>1.5106999999999999</v>
      </c>
    </row>
    <row r="372" spans="1:15" x14ac:dyDescent="0.25">
      <c r="A372" s="18" t="s">
        <v>366</v>
      </c>
      <c r="B372" s="22">
        <v>21.44</v>
      </c>
      <c r="C372" s="23">
        <v>21.24</v>
      </c>
      <c r="D372" s="23">
        <v>21.44</v>
      </c>
      <c r="E372" s="23">
        <v>21.44</v>
      </c>
      <c r="F372" s="23">
        <v>21.44</v>
      </c>
      <c r="G372" s="23">
        <v>21.44</v>
      </c>
      <c r="H372" s="23">
        <v>21.44</v>
      </c>
      <c r="I372" s="23">
        <v>21.24</v>
      </c>
      <c r="J372" s="23">
        <v>21.44</v>
      </c>
      <c r="K372" s="23">
        <v>21.44</v>
      </c>
      <c r="L372" s="23">
        <v>21.24</v>
      </c>
      <c r="M372" s="23">
        <v>99</v>
      </c>
      <c r="N372" s="23">
        <v>1.8</v>
      </c>
      <c r="O372" s="24">
        <v>1.6066</v>
      </c>
    </row>
    <row r="373" spans="1:15" x14ac:dyDescent="0.25">
      <c r="A373" s="18" t="s">
        <v>367</v>
      </c>
      <c r="B373" s="22">
        <v>21.76</v>
      </c>
      <c r="C373" s="23">
        <v>21.96</v>
      </c>
      <c r="D373" s="23">
        <v>21.96</v>
      </c>
      <c r="E373" s="23">
        <v>21.96</v>
      </c>
      <c r="F373" s="23">
        <v>21.96</v>
      </c>
      <c r="G373" s="23">
        <v>21.96</v>
      </c>
      <c r="H373" s="23">
        <v>22.12</v>
      </c>
      <c r="I373" s="23">
        <v>21.96</v>
      </c>
      <c r="J373" s="23">
        <v>21.96</v>
      </c>
      <c r="K373" s="23">
        <v>21.96</v>
      </c>
      <c r="L373" s="23">
        <v>21.76</v>
      </c>
      <c r="M373" s="23">
        <v>96</v>
      </c>
      <c r="N373" s="23">
        <v>3.2</v>
      </c>
      <c r="O373" s="24">
        <v>1.7186999999999999</v>
      </c>
    </row>
    <row r="374" spans="1:15" x14ac:dyDescent="0.25">
      <c r="A374" s="18" t="s">
        <v>368</v>
      </c>
      <c r="B374" s="22">
        <v>25</v>
      </c>
      <c r="C374" s="23">
        <v>25.04</v>
      </c>
      <c r="D374" s="23">
        <v>25</v>
      </c>
      <c r="E374" s="23">
        <v>24.68</v>
      </c>
      <c r="F374" s="23">
        <v>25.2</v>
      </c>
      <c r="G374" s="23">
        <v>24.88</v>
      </c>
      <c r="H374" s="23">
        <v>24.84</v>
      </c>
      <c r="I374" s="23">
        <v>25.2</v>
      </c>
      <c r="J374" s="23">
        <v>25.16</v>
      </c>
      <c r="K374" s="23">
        <v>24.68</v>
      </c>
      <c r="L374" s="23">
        <v>24.68</v>
      </c>
      <c r="M374" s="23">
        <v>93</v>
      </c>
      <c r="N374" s="23">
        <v>7.6</v>
      </c>
      <c r="O374" s="24">
        <v>1.6297999999999999</v>
      </c>
    </row>
    <row r="375" spans="1:15" x14ac:dyDescent="0.25">
      <c r="A375" s="18" t="s">
        <v>369</v>
      </c>
      <c r="B375" s="22">
        <v>19.68</v>
      </c>
      <c r="C375" s="23">
        <v>20</v>
      </c>
      <c r="D375" s="23">
        <v>19.68</v>
      </c>
      <c r="E375" s="23">
        <v>19.68</v>
      </c>
      <c r="F375" s="23">
        <v>19.68</v>
      </c>
      <c r="G375" s="23">
        <v>19.68</v>
      </c>
      <c r="H375" s="23">
        <v>20</v>
      </c>
      <c r="I375" s="23">
        <v>19.52</v>
      </c>
      <c r="J375" s="23">
        <v>19.84</v>
      </c>
      <c r="K375" s="23">
        <v>19.52</v>
      </c>
      <c r="L375" s="23">
        <v>19.52</v>
      </c>
      <c r="M375" s="23">
        <v>88</v>
      </c>
      <c r="N375" s="23">
        <v>2.4</v>
      </c>
      <c r="O375" s="24">
        <v>1.5333000000000001</v>
      </c>
    </row>
    <row r="376" spans="1:15" x14ac:dyDescent="0.25">
      <c r="A376" s="18" t="s">
        <v>370</v>
      </c>
      <c r="B376" s="22">
        <v>19.64</v>
      </c>
      <c r="C376" s="23">
        <v>19.48</v>
      </c>
      <c r="D376" s="23">
        <v>19.48</v>
      </c>
      <c r="E376" s="23">
        <v>19.68</v>
      </c>
      <c r="F376" s="23">
        <v>19.48</v>
      </c>
      <c r="G376" s="23">
        <v>19.48</v>
      </c>
      <c r="H376" s="23">
        <v>19.48</v>
      </c>
      <c r="I376" s="23">
        <v>19.64</v>
      </c>
      <c r="J376" s="23">
        <v>19.48</v>
      </c>
      <c r="K376" s="23">
        <v>19.64</v>
      </c>
      <c r="L376" s="23">
        <v>19.48</v>
      </c>
      <c r="M376" s="23">
        <v>91</v>
      </c>
      <c r="N376" s="23">
        <v>1.6</v>
      </c>
      <c r="O376" s="24">
        <v>1.4524999999999999</v>
      </c>
    </row>
    <row r="377" spans="1:15" x14ac:dyDescent="0.25">
      <c r="A377" s="18" t="s">
        <v>371</v>
      </c>
      <c r="B377" s="22">
        <v>19.68</v>
      </c>
      <c r="C377" s="23">
        <v>19.48</v>
      </c>
      <c r="D377" s="23">
        <v>19.68</v>
      </c>
      <c r="E377" s="23">
        <v>19.68</v>
      </c>
      <c r="F377" s="23">
        <v>19.68</v>
      </c>
      <c r="G377" s="23">
        <v>19.48</v>
      </c>
      <c r="H377" s="23">
        <v>19.68</v>
      </c>
      <c r="I377" s="23">
        <v>19.68</v>
      </c>
      <c r="J377" s="23">
        <v>19.68</v>
      </c>
      <c r="K377" s="23">
        <v>19.68</v>
      </c>
      <c r="L377" s="23">
        <v>19.48</v>
      </c>
      <c r="M377" s="23">
        <v>95</v>
      </c>
      <c r="N377" s="23">
        <v>0.6</v>
      </c>
      <c r="O377" s="24">
        <v>1.5308999999999999</v>
      </c>
    </row>
    <row r="378" spans="1:15" x14ac:dyDescent="0.25">
      <c r="A378" s="18" t="s">
        <v>372</v>
      </c>
      <c r="B378" s="22">
        <v>19.64</v>
      </c>
      <c r="C378" s="23">
        <v>19.64</v>
      </c>
      <c r="D378" s="23">
        <v>19.64</v>
      </c>
      <c r="E378" s="23">
        <v>19.64</v>
      </c>
      <c r="F378" s="23">
        <v>19.64</v>
      </c>
      <c r="G378" s="23">
        <v>19.64</v>
      </c>
      <c r="H378" s="23">
        <v>19.64</v>
      </c>
      <c r="I378" s="23">
        <v>19.64</v>
      </c>
      <c r="J378" s="23">
        <v>19.64</v>
      </c>
      <c r="K378" s="23">
        <v>19.84</v>
      </c>
      <c r="L378" s="23">
        <v>19.64</v>
      </c>
      <c r="M378" s="23">
        <v>95</v>
      </c>
      <c r="N378" s="23">
        <v>0.8</v>
      </c>
      <c r="O378" s="24">
        <v>1.6244000000000001</v>
      </c>
    </row>
    <row r="379" spans="1:15" x14ac:dyDescent="0.25">
      <c r="A379" s="18" t="s">
        <v>373</v>
      </c>
      <c r="B379" s="22">
        <v>21</v>
      </c>
      <c r="C379" s="23">
        <v>21</v>
      </c>
      <c r="D379" s="23">
        <v>21</v>
      </c>
      <c r="E379" s="23">
        <v>21.16</v>
      </c>
      <c r="F379" s="23">
        <v>21.04</v>
      </c>
      <c r="G379" s="23">
        <v>21</v>
      </c>
      <c r="H379" s="23">
        <v>21</v>
      </c>
      <c r="I379" s="23">
        <v>21</v>
      </c>
      <c r="J379" s="23">
        <v>21</v>
      </c>
      <c r="K379" s="23">
        <v>21</v>
      </c>
      <c r="L379" s="23">
        <v>21</v>
      </c>
      <c r="M379" s="23">
        <v>97</v>
      </c>
      <c r="N379" s="23">
        <v>2</v>
      </c>
      <c r="O379" s="24">
        <v>1.6537999999999999</v>
      </c>
    </row>
    <row r="380" spans="1:15" x14ac:dyDescent="0.25">
      <c r="A380" s="18" t="s">
        <v>374</v>
      </c>
      <c r="B380" s="22">
        <v>23.44</v>
      </c>
      <c r="C380" s="23">
        <v>22.12</v>
      </c>
      <c r="D380" s="23">
        <v>21.96</v>
      </c>
      <c r="E380" s="23">
        <v>21.64</v>
      </c>
      <c r="F380" s="23">
        <v>23.08</v>
      </c>
      <c r="G380" s="23">
        <v>22.12</v>
      </c>
      <c r="H380" s="23">
        <v>22.12</v>
      </c>
      <c r="I380" s="23">
        <v>22.32</v>
      </c>
      <c r="J380" s="23">
        <v>23.24</v>
      </c>
      <c r="K380" s="23">
        <v>22.16</v>
      </c>
      <c r="L380" s="23">
        <v>21.64</v>
      </c>
      <c r="M380" s="23">
        <v>101</v>
      </c>
      <c r="N380" s="23">
        <v>1.8</v>
      </c>
      <c r="O380" s="24">
        <v>1.8935999999999999</v>
      </c>
    </row>
    <row r="381" spans="1:15" x14ac:dyDescent="0.25">
      <c r="A381" s="18" t="s">
        <v>375</v>
      </c>
      <c r="B381" s="22">
        <v>23.08</v>
      </c>
      <c r="C381" s="23">
        <v>22.92</v>
      </c>
      <c r="D381" s="23">
        <v>23.12</v>
      </c>
      <c r="E381" s="23">
        <v>23.6</v>
      </c>
      <c r="F381" s="23">
        <v>23.24</v>
      </c>
      <c r="G381" s="23">
        <v>22.76</v>
      </c>
      <c r="H381" s="23">
        <v>23.24</v>
      </c>
      <c r="I381" s="23">
        <v>23.24</v>
      </c>
      <c r="J381" s="23">
        <v>22.96</v>
      </c>
      <c r="K381" s="23">
        <v>22.76</v>
      </c>
      <c r="L381" s="23">
        <v>22.76</v>
      </c>
      <c r="M381" s="23">
        <v>93</v>
      </c>
      <c r="N381" s="23">
        <v>5.2</v>
      </c>
      <c r="O381" s="24">
        <v>1.7236</v>
      </c>
    </row>
    <row r="382" spans="1:15" x14ac:dyDescent="0.25">
      <c r="A382" s="18" t="s">
        <v>376</v>
      </c>
      <c r="B382" s="22">
        <v>23</v>
      </c>
      <c r="C382" s="23">
        <v>23.16</v>
      </c>
      <c r="D382" s="23">
        <v>23</v>
      </c>
      <c r="E382" s="23">
        <v>23.16</v>
      </c>
      <c r="F382" s="23">
        <v>23.16</v>
      </c>
      <c r="G382" s="23">
        <v>23.16</v>
      </c>
      <c r="H382" s="23">
        <v>23.16</v>
      </c>
      <c r="I382" s="23">
        <v>23</v>
      </c>
      <c r="J382" s="23">
        <v>23.16</v>
      </c>
      <c r="K382" s="23">
        <v>23.16</v>
      </c>
      <c r="L382" s="23">
        <v>23</v>
      </c>
      <c r="M382" s="23">
        <v>87</v>
      </c>
      <c r="N382" s="23">
        <v>7</v>
      </c>
      <c r="O382" s="24">
        <v>1.9664999999999999</v>
      </c>
    </row>
    <row r="383" spans="1:15" x14ac:dyDescent="0.25">
      <c r="A383" s="18" t="s">
        <v>377</v>
      </c>
      <c r="B383" s="22">
        <v>27.72</v>
      </c>
      <c r="C383" s="23">
        <v>27.72</v>
      </c>
      <c r="D383" s="23">
        <v>27.72</v>
      </c>
      <c r="E383" s="23">
        <v>27.72</v>
      </c>
      <c r="F383" s="23">
        <v>27.72</v>
      </c>
      <c r="G383" s="23">
        <v>27.72</v>
      </c>
      <c r="H383" s="23">
        <v>27.72</v>
      </c>
      <c r="I383" s="23">
        <v>27.72</v>
      </c>
      <c r="J383" s="23">
        <v>27.88</v>
      </c>
      <c r="K383" s="23">
        <v>27.72</v>
      </c>
      <c r="L383" s="23">
        <v>27.72</v>
      </c>
      <c r="M383" s="23">
        <v>93</v>
      </c>
      <c r="N383" s="23">
        <v>11.4</v>
      </c>
      <c r="O383" s="24">
        <v>1.8046</v>
      </c>
    </row>
    <row r="384" spans="1:15" x14ac:dyDescent="0.25">
      <c r="A384" s="18" t="s">
        <v>378</v>
      </c>
      <c r="B384" s="22">
        <v>21</v>
      </c>
      <c r="C384" s="23">
        <v>21</v>
      </c>
      <c r="D384" s="23">
        <v>21</v>
      </c>
      <c r="E384" s="23">
        <v>21</v>
      </c>
      <c r="F384" s="23">
        <v>21</v>
      </c>
      <c r="G384" s="23">
        <v>21</v>
      </c>
      <c r="H384" s="23">
        <v>21</v>
      </c>
      <c r="I384" s="23">
        <v>21</v>
      </c>
      <c r="J384" s="23">
        <v>20.84</v>
      </c>
      <c r="K384" s="23">
        <v>21</v>
      </c>
      <c r="L384" s="23">
        <v>20.84</v>
      </c>
      <c r="M384" s="23">
        <v>93</v>
      </c>
      <c r="N384" s="23">
        <v>2.8</v>
      </c>
      <c r="O384" s="24">
        <v>1.9585999999999999</v>
      </c>
    </row>
    <row r="385" spans="1:15" x14ac:dyDescent="0.25">
      <c r="A385" s="18" t="s">
        <v>379</v>
      </c>
      <c r="B385" s="22">
        <v>21.04</v>
      </c>
      <c r="C385" s="23">
        <v>20.84</v>
      </c>
      <c r="D385" s="23">
        <v>21.04</v>
      </c>
      <c r="E385" s="23">
        <v>21</v>
      </c>
      <c r="F385" s="23">
        <v>21</v>
      </c>
      <c r="G385" s="23">
        <v>21</v>
      </c>
      <c r="H385" s="23">
        <v>20.84</v>
      </c>
      <c r="I385" s="23">
        <v>21</v>
      </c>
      <c r="J385" s="23">
        <v>21</v>
      </c>
      <c r="K385" s="23">
        <v>21.04</v>
      </c>
      <c r="L385" s="23">
        <v>20.84</v>
      </c>
      <c r="M385" s="23">
        <v>97</v>
      </c>
      <c r="N385" s="23">
        <v>1.8</v>
      </c>
      <c r="O385" s="24">
        <v>1.7865</v>
      </c>
    </row>
    <row r="386" spans="1:15" x14ac:dyDescent="0.25">
      <c r="A386" s="18" t="s">
        <v>380</v>
      </c>
      <c r="B386" s="22">
        <v>20.84</v>
      </c>
      <c r="C386" s="23">
        <v>20.84</v>
      </c>
      <c r="D386" s="23">
        <v>20.84</v>
      </c>
      <c r="E386" s="23">
        <v>20.8</v>
      </c>
      <c r="F386" s="23">
        <v>20.84</v>
      </c>
      <c r="G386" s="23">
        <v>20.84</v>
      </c>
      <c r="H386" s="23">
        <v>20.84</v>
      </c>
      <c r="I386" s="23">
        <v>20.84</v>
      </c>
      <c r="J386" s="23">
        <v>20.84</v>
      </c>
      <c r="K386" s="23">
        <v>20.84</v>
      </c>
      <c r="L386" s="23">
        <v>20.8</v>
      </c>
      <c r="M386" s="23">
        <v>96</v>
      </c>
      <c r="N386" s="23">
        <v>2</v>
      </c>
      <c r="O386" s="24">
        <v>2.105</v>
      </c>
    </row>
    <row r="387" spans="1:15" x14ac:dyDescent="0.25">
      <c r="A387" s="18" t="s">
        <v>381</v>
      </c>
      <c r="B387" s="22">
        <v>25.36</v>
      </c>
      <c r="C387" s="23">
        <v>24.4</v>
      </c>
      <c r="D387" s="23">
        <v>24.44</v>
      </c>
      <c r="E387" s="23">
        <v>25.52</v>
      </c>
      <c r="F387" s="23">
        <v>25.2</v>
      </c>
      <c r="G387" s="23">
        <v>25.08</v>
      </c>
      <c r="H387" s="23">
        <v>25.24</v>
      </c>
      <c r="I387" s="23">
        <v>25.24</v>
      </c>
      <c r="J387" s="23">
        <v>25.36</v>
      </c>
      <c r="K387" s="23">
        <v>24.6</v>
      </c>
      <c r="L387" s="23">
        <v>24.4</v>
      </c>
      <c r="M387" s="23">
        <v>90</v>
      </c>
      <c r="N387" s="23">
        <v>8</v>
      </c>
      <c r="O387" s="24">
        <v>1.9871000000000001</v>
      </c>
    </row>
    <row r="388" spans="1:15" x14ac:dyDescent="0.25">
      <c r="A388" s="18" t="s">
        <v>382</v>
      </c>
      <c r="B388" s="22">
        <v>24.28</v>
      </c>
      <c r="C388" s="23">
        <v>24.28</v>
      </c>
      <c r="D388" s="23">
        <v>24.44</v>
      </c>
      <c r="E388" s="23">
        <v>25.6</v>
      </c>
      <c r="F388" s="23">
        <v>24.76</v>
      </c>
      <c r="G388" s="23">
        <v>24.44</v>
      </c>
      <c r="H388" s="23">
        <v>24.12</v>
      </c>
      <c r="I388" s="23">
        <v>24.92</v>
      </c>
      <c r="J388" s="23">
        <v>24.28</v>
      </c>
      <c r="K388" s="23">
        <v>24.12</v>
      </c>
      <c r="L388" s="23">
        <v>24.12</v>
      </c>
      <c r="M388" s="23">
        <v>107</v>
      </c>
      <c r="N388" s="23">
        <v>3.4</v>
      </c>
      <c r="O388" s="24">
        <v>2.3864999999999998</v>
      </c>
    </row>
    <row r="389" spans="1:15" x14ac:dyDescent="0.25">
      <c r="A389" s="18" t="s">
        <v>383</v>
      </c>
      <c r="B389" s="22">
        <v>22.36</v>
      </c>
      <c r="C389" s="23">
        <v>21.68</v>
      </c>
      <c r="D389" s="23">
        <v>21.52</v>
      </c>
      <c r="E389" s="23">
        <v>21.08</v>
      </c>
      <c r="F389" s="23">
        <v>21.56</v>
      </c>
      <c r="G389" s="23">
        <v>22.68</v>
      </c>
      <c r="H389" s="23">
        <v>21.56</v>
      </c>
      <c r="I389" s="23">
        <v>22.36</v>
      </c>
      <c r="J389" s="23">
        <v>21.4</v>
      </c>
      <c r="K389" s="23">
        <v>22.36</v>
      </c>
      <c r="L389" s="23">
        <v>21.08</v>
      </c>
      <c r="M389" s="23">
        <v>95</v>
      </c>
      <c r="N389" s="23">
        <v>2.6</v>
      </c>
      <c r="O389" s="24">
        <v>1.8347</v>
      </c>
    </row>
    <row r="390" spans="1:15" x14ac:dyDescent="0.25">
      <c r="A390" s="18" t="s">
        <v>384</v>
      </c>
      <c r="B390" s="22">
        <v>18.399999999999999</v>
      </c>
      <c r="C390" s="23">
        <v>18.399999999999999</v>
      </c>
      <c r="D390" s="23">
        <v>18.399999999999999</v>
      </c>
      <c r="E390" s="23">
        <v>18.559999999999999</v>
      </c>
      <c r="F390" s="23">
        <v>18.399999999999999</v>
      </c>
      <c r="G390" s="23">
        <v>18.559999999999999</v>
      </c>
      <c r="H390" s="23">
        <v>18.399999999999999</v>
      </c>
      <c r="I390" s="23">
        <v>18.559999999999999</v>
      </c>
      <c r="J390" s="23">
        <v>18.399999999999999</v>
      </c>
      <c r="K390" s="23">
        <v>18.399999999999999</v>
      </c>
      <c r="L390" s="23">
        <v>18.399999999999999</v>
      </c>
      <c r="M390" s="23">
        <v>84</v>
      </c>
      <c r="N390" s="23">
        <v>2</v>
      </c>
      <c r="O390" s="24">
        <v>0.20930000000000001</v>
      </c>
    </row>
    <row r="391" spans="1:15" x14ac:dyDescent="0.25">
      <c r="A391" s="18" t="s">
        <v>385</v>
      </c>
      <c r="B391" s="22">
        <v>20.72</v>
      </c>
      <c r="C391" s="23">
        <v>20.84</v>
      </c>
      <c r="D391" s="23">
        <v>20.84</v>
      </c>
      <c r="E391" s="23">
        <v>21.04</v>
      </c>
      <c r="F391" s="23">
        <v>20.84</v>
      </c>
      <c r="G391" s="23">
        <v>20.84</v>
      </c>
      <c r="H391" s="23">
        <v>20.84</v>
      </c>
      <c r="I391" s="23">
        <v>20.88</v>
      </c>
      <c r="J391" s="23">
        <v>21</v>
      </c>
      <c r="K391" s="23">
        <v>20.84</v>
      </c>
      <c r="L391" s="23">
        <v>20.72</v>
      </c>
      <c r="M391" s="23">
        <v>94</v>
      </c>
      <c r="N391" s="23">
        <v>2.4</v>
      </c>
      <c r="O391" s="24">
        <v>0.2374</v>
      </c>
    </row>
    <row r="392" spans="1:15" x14ac:dyDescent="0.25">
      <c r="A392" s="18" t="s">
        <v>386</v>
      </c>
      <c r="B392" s="22">
        <v>21.44</v>
      </c>
      <c r="C392" s="23">
        <v>21.44</v>
      </c>
      <c r="D392" s="23">
        <v>21.6</v>
      </c>
      <c r="E392" s="23">
        <v>21.44</v>
      </c>
      <c r="F392" s="23">
        <v>21.64</v>
      </c>
      <c r="G392" s="23">
        <v>21.64</v>
      </c>
      <c r="H392" s="23">
        <v>21.64</v>
      </c>
      <c r="I392" s="23">
        <v>21.44</v>
      </c>
      <c r="J392" s="23">
        <v>21.44</v>
      </c>
      <c r="K392" s="23">
        <v>21.64</v>
      </c>
      <c r="L392" s="23">
        <v>21.44</v>
      </c>
      <c r="M392" s="23">
        <v>88</v>
      </c>
      <c r="N392" s="23">
        <v>4.8</v>
      </c>
      <c r="O392" s="24">
        <v>0.23169999999999999</v>
      </c>
    </row>
    <row r="393" spans="1:15" x14ac:dyDescent="0.25">
      <c r="A393" s="18" t="s">
        <v>387</v>
      </c>
      <c r="B393" s="22">
        <v>20.84</v>
      </c>
      <c r="C393" s="23">
        <v>20.84</v>
      </c>
      <c r="D393" s="23">
        <v>21.04</v>
      </c>
      <c r="E393" s="23">
        <v>20.84</v>
      </c>
      <c r="F393" s="23">
        <v>21.04</v>
      </c>
      <c r="G393" s="23">
        <v>20.84</v>
      </c>
      <c r="H393" s="23">
        <v>20.84</v>
      </c>
      <c r="I393" s="23">
        <v>20.84</v>
      </c>
      <c r="J393" s="23">
        <v>21.04</v>
      </c>
      <c r="K393" s="23">
        <v>20.84</v>
      </c>
      <c r="L393" s="23">
        <v>20.84</v>
      </c>
      <c r="M393" s="23">
        <v>93</v>
      </c>
      <c r="N393" s="23">
        <v>2.8</v>
      </c>
      <c r="O393" s="24">
        <v>0.2331</v>
      </c>
    </row>
    <row r="394" spans="1:15" x14ac:dyDescent="0.25">
      <c r="A394" s="18" t="s">
        <v>388</v>
      </c>
      <c r="B394" s="22">
        <v>18.96</v>
      </c>
      <c r="C394" s="23">
        <v>18.760000000000002</v>
      </c>
      <c r="D394" s="23">
        <v>18.96</v>
      </c>
      <c r="E394" s="23">
        <v>18.760000000000002</v>
      </c>
      <c r="F394" s="23">
        <v>18.760000000000002</v>
      </c>
      <c r="G394" s="23">
        <v>18.96</v>
      </c>
      <c r="H394" s="23">
        <v>18.96</v>
      </c>
      <c r="I394" s="23">
        <v>18.96</v>
      </c>
      <c r="J394" s="23">
        <v>18.96</v>
      </c>
      <c r="K394" s="23">
        <v>18.760000000000002</v>
      </c>
      <c r="L394" s="23">
        <v>18.760000000000002</v>
      </c>
      <c r="M394" s="23">
        <v>93</v>
      </c>
      <c r="N394" s="23">
        <v>0.2</v>
      </c>
      <c r="O394" s="24">
        <v>0.2412</v>
      </c>
    </row>
    <row r="395" spans="1:15" x14ac:dyDescent="0.25">
      <c r="A395" s="18" t="s">
        <v>389</v>
      </c>
      <c r="B395" s="22">
        <v>19.36</v>
      </c>
      <c r="C395" s="23">
        <v>19.36</v>
      </c>
      <c r="D395" s="23">
        <v>19.16</v>
      </c>
      <c r="E395" s="23">
        <v>19.36</v>
      </c>
      <c r="F395" s="23">
        <v>19.36</v>
      </c>
      <c r="G395" s="23">
        <v>19.36</v>
      </c>
      <c r="H395" s="23">
        <v>19.36</v>
      </c>
      <c r="I395" s="23">
        <v>19.36</v>
      </c>
      <c r="J395" s="23">
        <v>19.36</v>
      </c>
      <c r="K395" s="23">
        <v>19.36</v>
      </c>
      <c r="L395" s="23">
        <v>19.16</v>
      </c>
      <c r="M395" s="23">
        <v>95</v>
      </c>
      <c r="N395" s="23">
        <v>0.2</v>
      </c>
      <c r="O395" s="24">
        <v>0.23960000000000001</v>
      </c>
    </row>
    <row r="396" spans="1:15" x14ac:dyDescent="0.25">
      <c r="A396" s="18" t="s">
        <v>390</v>
      </c>
      <c r="B396" s="22">
        <v>19.760000000000002</v>
      </c>
      <c r="C396" s="23">
        <v>19.760000000000002</v>
      </c>
      <c r="D396" s="23">
        <v>19.760000000000002</v>
      </c>
      <c r="E396" s="23">
        <v>19.760000000000002</v>
      </c>
      <c r="F396" s="23">
        <v>19.760000000000002</v>
      </c>
      <c r="G396" s="23">
        <v>19.760000000000002</v>
      </c>
      <c r="H396" s="23">
        <v>19.760000000000002</v>
      </c>
      <c r="I396" s="23">
        <v>19.760000000000002</v>
      </c>
      <c r="J396" s="23">
        <v>19.760000000000002</v>
      </c>
      <c r="K396" s="23">
        <v>19.760000000000002</v>
      </c>
      <c r="L396" s="23">
        <v>19.760000000000002</v>
      </c>
      <c r="M396" s="23">
        <v>98</v>
      </c>
      <c r="N396" s="23">
        <v>0.2</v>
      </c>
      <c r="O396" s="24">
        <v>0.2525</v>
      </c>
    </row>
    <row r="397" spans="1:15" x14ac:dyDescent="0.25">
      <c r="A397" s="18" t="s">
        <v>391</v>
      </c>
      <c r="B397" s="22">
        <v>20.079999999999998</v>
      </c>
      <c r="C397" s="23">
        <v>20.079999999999998</v>
      </c>
      <c r="D397" s="23">
        <v>20.079999999999998</v>
      </c>
      <c r="E397" s="23">
        <v>20.079999999999998</v>
      </c>
      <c r="F397" s="23">
        <v>20.04</v>
      </c>
      <c r="G397" s="23">
        <v>20.079999999999998</v>
      </c>
      <c r="H397" s="23">
        <v>20.04</v>
      </c>
      <c r="I397" s="23">
        <v>20.079999999999998</v>
      </c>
      <c r="J397" s="23">
        <v>20.079999999999998</v>
      </c>
      <c r="K397" s="23">
        <v>20.079999999999998</v>
      </c>
      <c r="L397" s="23">
        <v>20.04</v>
      </c>
      <c r="M397" s="23">
        <v>89</v>
      </c>
      <c r="N397" s="23">
        <v>2.8</v>
      </c>
      <c r="O397" s="24">
        <v>0.23630000000000001</v>
      </c>
    </row>
    <row r="398" spans="1:15" x14ac:dyDescent="0.25">
      <c r="A398" s="18" t="s">
        <v>392</v>
      </c>
      <c r="B398" s="22">
        <v>19.16</v>
      </c>
      <c r="C398" s="23">
        <v>19.16</v>
      </c>
      <c r="D398" s="23">
        <v>19.16</v>
      </c>
      <c r="E398" s="23">
        <v>19.16</v>
      </c>
      <c r="F398" s="23">
        <v>19.16</v>
      </c>
      <c r="G398" s="23">
        <v>19.16</v>
      </c>
      <c r="H398" s="23">
        <v>19.16</v>
      </c>
      <c r="I398" s="23">
        <v>19.16</v>
      </c>
      <c r="J398" s="23">
        <v>19.32</v>
      </c>
      <c r="K398" s="23">
        <v>19.16</v>
      </c>
      <c r="L398" s="23">
        <v>19.16</v>
      </c>
      <c r="M398" s="23">
        <v>87</v>
      </c>
      <c r="N398" s="23">
        <v>2.2000000000000002</v>
      </c>
      <c r="O398" s="24">
        <v>0.22070000000000001</v>
      </c>
    </row>
    <row r="399" spans="1:15" x14ac:dyDescent="0.25">
      <c r="A399" s="18" t="s">
        <v>393</v>
      </c>
      <c r="B399" s="22">
        <v>21.56</v>
      </c>
      <c r="C399" s="23">
        <v>21.56</v>
      </c>
      <c r="D399" s="23">
        <v>21.56</v>
      </c>
      <c r="E399" s="23">
        <v>21.56</v>
      </c>
      <c r="F399" s="23">
        <v>21.56</v>
      </c>
      <c r="G399" s="23">
        <v>21.56</v>
      </c>
      <c r="H399" s="23">
        <v>21.56</v>
      </c>
      <c r="I399" s="23">
        <v>21.56</v>
      </c>
      <c r="J399" s="23">
        <v>21.56</v>
      </c>
      <c r="K399" s="23">
        <v>21.56</v>
      </c>
      <c r="L399" s="23">
        <v>21.56</v>
      </c>
      <c r="M399" s="23">
        <v>91</v>
      </c>
      <c r="N399" s="23">
        <v>4.2</v>
      </c>
      <c r="O399" s="24">
        <v>0.2331</v>
      </c>
    </row>
    <row r="400" spans="1:15" x14ac:dyDescent="0.25">
      <c r="A400" s="18" t="s">
        <v>394</v>
      </c>
      <c r="B400" s="22">
        <v>26.92</v>
      </c>
      <c r="C400" s="23">
        <v>27.24</v>
      </c>
      <c r="D400" s="23">
        <v>26.8</v>
      </c>
      <c r="E400" s="23">
        <v>26.76</v>
      </c>
      <c r="F400" s="23">
        <v>26.96</v>
      </c>
      <c r="G400" s="23">
        <v>26.76</v>
      </c>
      <c r="H400" s="23">
        <v>27.08</v>
      </c>
      <c r="I400" s="23">
        <v>27.12</v>
      </c>
      <c r="J400" s="23">
        <v>26.92</v>
      </c>
      <c r="K400" s="23">
        <v>26.8</v>
      </c>
      <c r="L400" s="23">
        <v>26.76</v>
      </c>
      <c r="M400" s="23">
        <v>93</v>
      </c>
      <c r="N400" s="23">
        <v>10.199999999999999</v>
      </c>
      <c r="O400" s="24">
        <v>2.8721000000000001</v>
      </c>
    </row>
    <row r="401" spans="1:15" x14ac:dyDescent="0.25">
      <c r="A401" s="18" t="s">
        <v>395</v>
      </c>
      <c r="B401" s="22">
        <v>23.68</v>
      </c>
      <c r="C401" s="23">
        <v>23.68</v>
      </c>
      <c r="D401" s="23">
        <v>23.68</v>
      </c>
      <c r="E401" s="23">
        <v>22.76</v>
      </c>
      <c r="F401" s="23">
        <v>23.72</v>
      </c>
      <c r="G401" s="23">
        <v>23.84</v>
      </c>
      <c r="H401" s="23">
        <v>23.88</v>
      </c>
      <c r="I401" s="23">
        <v>23.68</v>
      </c>
      <c r="J401" s="23">
        <v>23.88</v>
      </c>
      <c r="K401" s="23">
        <v>23.88</v>
      </c>
      <c r="L401" s="23">
        <v>22.76</v>
      </c>
      <c r="M401" s="23">
        <v>93</v>
      </c>
      <c r="N401" s="23">
        <v>5.2</v>
      </c>
      <c r="O401" s="24">
        <v>3.1473</v>
      </c>
    </row>
    <row r="402" spans="1:15" x14ac:dyDescent="0.25">
      <c r="A402" s="18" t="s">
        <v>396</v>
      </c>
      <c r="B402" s="22">
        <v>23.6</v>
      </c>
      <c r="C402" s="23">
        <v>23.6</v>
      </c>
      <c r="D402" s="23">
        <v>23.6</v>
      </c>
      <c r="E402" s="23">
        <v>23.76</v>
      </c>
      <c r="F402" s="23">
        <v>23.6</v>
      </c>
      <c r="G402" s="23">
        <v>23.6</v>
      </c>
      <c r="H402" s="23">
        <v>23.6</v>
      </c>
      <c r="I402" s="23">
        <v>23.6</v>
      </c>
      <c r="J402" s="23">
        <v>23.76</v>
      </c>
      <c r="K402" s="23">
        <v>23.6</v>
      </c>
      <c r="L402" s="23">
        <v>23.6</v>
      </c>
      <c r="M402" s="23">
        <v>94</v>
      </c>
      <c r="N402" s="23">
        <v>6</v>
      </c>
      <c r="O402" s="24">
        <v>2.4891000000000001</v>
      </c>
    </row>
    <row r="403" spans="1:15" x14ac:dyDescent="0.25">
      <c r="A403" s="18" t="s">
        <v>397</v>
      </c>
      <c r="B403" s="22">
        <v>25.48</v>
      </c>
      <c r="C403" s="23">
        <v>25.48</v>
      </c>
      <c r="D403" s="23">
        <v>24.52</v>
      </c>
      <c r="E403" s="23">
        <v>25.8</v>
      </c>
      <c r="F403" s="23">
        <v>24.84</v>
      </c>
      <c r="G403" s="23">
        <v>25.48</v>
      </c>
      <c r="H403" s="23">
        <v>25.64</v>
      </c>
      <c r="I403" s="23">
        <v>25.8</v>
      </c>
      <c r="J403" s="23">
        <v>25.48</v>
      </c>
      <c r="K403" s="23">
        <v>25.8</v>
      </c>
      <c r="L403" s="23">
        <v>24.52</v>
      </c>
      <c r="M403" s="23">
        <v>93</v>
      </c>
      <c r="N403" s="23">
        <v>7.4</v>
      </c>
      <c r="O403" s="24">
        <v>2.8791000000000002</v>
      </c>
    </row>
    <row r="404" spans="1:15" x14ac:dyDescent="0.25">
      <c r="A404" s="18" t="s">
        <v>398</v>
      </c>
      <c r="B404" s="22">
        <v>20.079999999999998</v>
      </c>
      <c r="C404" s="23">
        <v>20.079999999999998</v>
      </c>
      <c r="D404" s="23">
        <v>19.88</v>
      </c>
      <c r="E404" s="23">
        <v>20.079999999999998</v>
      </c>
      <c r="F404" s="23">
        <v>20.079999999999998</v>
      </c>
      <c r="G404" s="23">
        <v>20.079999999999998</v>
      </c>
      <c r="H404" s="23">
        <v>20.079999999999998</v>
      </c>
      <c r="I404" s="23">
        <v>20.079999999999998</v>
      </c>
      <c r="J404" s="23">
        <v>20.079999999999998</v>
      </c>
      <c r="K404" s="23">
        <v>20.079999999999998</v>
      </c>
      <c r="L404" s="23">
        <v>19.88</v>
      </c>
      <c r="M404" s="23">
        <v>93</v>
      </c>
      <c r="N404" s="23">
        <v>1.6</v>
      </c>
      <c r="O404" s="24">
        <v>2.6684999999999999</v>
      </c>
    </row>
    <row r="405" spans="1:15" x14ac:dyDescent="0.25">
      <c r="A405" s="18" t="s">
        <v>399</v>
      </c>
      <c r="B405" s="22">
        <v>20.88</v>
      </c>
      <c r="C405" s="23">
        <v>21.36</v>
      </c>
      <c r="D405" s="23">
        <v>20.88</v>
      </c>
      <c r="E405" s="23">
        <v>21.2</v>
      </c>
      <c r="F405" s="23">
        <v>21.36</v>
      </c>
      <c r="G405" s="23">
        <v>21.04</v>
      </c>
      <c r="H405" s="23">
        <v>21.4</v>
      </c>
      <c r="I405" s="23">
        <v>21.04</v>
      </c>
      <c r="J405" s="23">
        <v>21.68</v>
      </c>
      <c r="K405" s="23">
        <v>21.04</v>
      </c>
      <c r="L405" s="23">
        <v>20.88</v>
      </c>
      <c r="M405" s="23">
        <v>90</v>
      </c>
      <c r="N405" s="23">
        <v>3.6</v>
      </c>
      <c r="O405" s="24">
        <v>2.6837</v>
      </c>
    </row>
    <row r="406" spans="1:15" x14ac:dyDescent="0.25">
      <c r="A406" s="18" t="s">
        <v>400</v>
      </c>
      <c r="B406" s="22">
        <v>21.2</v>
      </c>
      <c r="C406" s="23">
        <v>21.16</v>
      </c>
      <c r="D406" s="23">
        <v>21.04</v>
      </c>
      <c r="E406" s="23">
        <v>21.2</v>
      </c>
      <c r="F406" s="23">
        <v>21.04</v>
      </c>
      <c r="G406" s="23">
        <v>21.2</v>
      </c>
      <c r="H406" s="23">
        <v>20.84</v>
      </c>
      <c r="I406" s="23">
        <v>21.08</v>
      </c>
      <c r="J406" s="23">
        <v>20.84</v>
      </c>
      <c r="K406" s="23">
        <v>20.84</v>
      </c>
      <c r="L406" s="23">
        <v>20.84</v>
      </c>
      <c r="M406" s="23">
        <v>93</v>
      </c>
      <c r="N406" s="23">
        <v>2.8</v>
      </c>
      <c r="O406" s="24">
        <v>2.6111</v>
      </c>
    </row>
    <row r="407" spans="1:15" x14ac:dyDescent="0.25">
      <c r="A407" s="18" t="s">
        <v>401</v>
      </c>
      <c r="B407" s="22">
        <v>21.24</v>
      </c>
      <c r="C407" s="23">
        <v>21.08</v>
      </c>
      <c r="D407" s="23">
        <v>20.92</v>
      </c>
      <c r="E407" s="23">
        <v>20.76</v>
      </c>
      <c r="F407" s="23">
        <v>21.44</v>
      </c>
      <c r="G407" s="23">
        <v>21.28</v>
      </c>
      <c r="H407" s="23">
        <v>21.08</v>
      </c>
      <c r="I407" s="23">
        <v>21.08</v>
      </c>
      <c r="J407" s="23">
        <v>21.28</v>
      </c>
      <c r="K407" s="23">
        <v>21.08</v>
      </c>
      <c r="L407" s="23">
        <v>20.76</v>
      </c>
      <c r="M407" s="23">
        <v>95</v>
      </c>
      <c r="N407" s="23">
        <v>2.2000000000000002</v>
      </c>
      <c r="O407" s="24">
        <v>3.9217</v>
      </c>
    </row>
    <row r="408" spans="1:15" x14ac:dyDescent="0.25">
      <c r="A408" s="18" t="s">
        <v>402</v>
      </c>
      <c r="B408" s="22">
        <v>19.600000000000001</v>
      </c>
      <c r="C408" s="23">
        <v>19.760000000000002</v>
      </c>
      <c r="D408" s="23">
        <v>19.600000000000001</v>
      </c>
      <c r="E408" s="23">
        <v>19.760000000000002</v>
      </c>
      <c r="F408" s="23">
        <v>19.600000000000001</v>
      </c>
      <c r="G408" s="23">
        <v>19.760000000000002</v>
      </c>
      <c r="H408" s="23">
        <v>19.600000000000001</v>
      </c>
      <c r="I408" s="23">
        <v>19.760000000000002</v>
      </c>
      <c r="J408" s="23">
        <v>19.8</v>
      </c>
      <c r="K408" s="23">
        <v>19.760000000000002</v>
      </c>
      <c r="L408" s="23">
        <v>19.600000000000001</v>
      </c>
      <c r="M408" s="23">
        <v>90</v>
      </c>
      <c r="N408" s="23">
        <v>2</v>
      </c>
      <c r="O408" s="24">
        <v>2.7787999999999999</v>
      </c>
    </row>
    <row r="409" spans="1:15" x14ac:dyDescent="0.25">
      <c r="A409" s="18" t="s">
        <v>403</v>
      </c>
      <c r="B409" s="22">
        <v>23.08</v>
      </c>
      <c r="C409" s="23">
        <v>22.76</v>
      </c>
      <c r="D409" s="23">
        <v>23.08</v>
      </c>
      <c r="E409" s="23">
        <v>23.24</v>
      </c>
      <c r="F409" s="23">
        <v>22.96</v>
      </c>
      <c r="G409" s="23">
        <v>22.92</v>
      </c>
      <c r="H409" s="23">
        <v>23.08</v>
      </c>
      <c r="I409" s="23">
        <v>23.12</v>
      </c>
      <c r="J409" s="23">
        <v>22.92</v>
      </c>
      <c r="K409" s="23">
        <v>22.76</v>
      </c>
      <c r="L409" s="23">
        <v>22.76</v>
      </c>
      <c r="M409" s="23">
        <v>101</v>
      </c>
      <c r="N409" s="23">
        <v>3.2</v>
      </c>
      <c r="O409" s="24">
        <v>4.0465</v>
      </c>
    </row>
    <row r="410" spans="1:15" x14ac:dyDescent="0.25">
      <c r="A410" s="18" t="s">
        <v>404</v>
      </c>
      <c r="B410" s="22">
        <v>20.239999999999998</v>
      </c>
      <c r="C410" s="23">
        <v>20.28</v>
      </c>
      <c r="D410" s="23">
        <v>20.239999999999998</v>
      </c>
      <c r="E410" s="23">
        <v>20.48</v>
      </c>
      <c r="F410" s="23">
        <v>20.239999999999998</v>
      </c>
      <c r="G410" s="23">
        <v>20.28</v>
      </c>
      <c r="H410" s="23">
        <v>20.28</v>
      </c>
      <c r="I410" s="23">
        <v>20.28</v>
      </c>
      <c r="J410" s="23">
        <v>20.28</v>
      </c>
      <c r="K410" s="23">
        <v>20.239999999999998</v>
      </c>
      <c r="L410" s="23">
        <v>20.239999999999998</v>
      </c>
      <c r="M410" s="23">
        <v>90</v>
      </c>
      <c r="N410" s="23">
        <v>2.8</v>
      </c>
      <c r="O410" s="24">
        <v>0.29330000000000001</v>
      </c>
    </row>
    <row r="411" spans="1:15" x14ac:dyDescent="0.25">
      <c r="A411" s="18" t="s">
        <v>405</v>
      </c>
      <c r="B411" s="22">
        <v>20.48</v>
      </c>
      <c r="C411" s="23">
        <v>20.64</v>
      </c>
      <c r="D411" s="23">
        <v>20.68</v>
      </c>
      <c r="E411" s="23">
        <v>20.48</v>
      </c>
      <c r="F411" s="23">
        <v>20.68</v>
      </c>
      <c r="G411" s="23">
        <v>20.48</v>
      </c>
      <c r="H411" s="23">
        <v>20.48</v>
      </c>
      <c r="I411" s="23">
        <v>20.48</v>
      </c>
      <c r="J411" s="23">
        <v>20.64</v>
      </c>
      <c r="K411" s="23">
        <v>20.68</v>
      </c>
      <c r="L411" s="23">
        <v>20.48</v>
      </c>
      <c r="M411" s="23">
        <v>92</v>
      </c>
      <c r="N411" s="23">
        <v>2.6</v>
      </c>
      <c r="O411" s="24">
        <v>0.2974</v>
      </c>
    </row>
    <row r="412" spans="1:15" x14ac:dyDescent="0.25">
      <c r="A412" s="18" t="s">
        <v>406</v>
      </c>
      <c r="B412" s="22">
        <v>17.96</v>
      </c>
      <c r="C412" s="23">
        <v>18.16</v>
      </c>
      <c r="D412" s="23">
        <v>17.96</v>
      </c>
      <c r="E412" s="23">
        <v>18.16</v>
      </c>
      <c r="F412" s="23">
        <v>17.96</v>
      </c>
      <c r="G412" s="23">
        <v>18.16</v>
      </c>
      <c r="H412" s="23">
        <v>18.16</v>
      </c>
      <c r="I412" s="23">
        <v>18.16</v>
      </c>
      <c r="J412" s="23">
        <v>18.16</v>
      </c>
      <c r="K412" s="23">
        <v>18.16</v>
      </c>
      <c r="L412" s="23">
        <v>17.96</v>
      </c>
      <c r="M412" s="23">
        <v>89</v>
      </c>
      <c r="N412" s="23">
        <v>0.2</v>
      </c>
      <c r="O412" s="24">
        <v>0.28670000000000001</v>
      </c>
    </row>
    <row r="413" spans="1:15" x14ac:dyDescent="0.25">
      <c r="A413" s="18" t="s">
        <v>407</v>
      </c>
      <c r="B413" s="22">
        <v>26.64</v>
      </c>
      <c r="C413" s="23">
        <v>26.48</v>
      </c>
      <c r="D413" s="23">
        <v>26.48</v>
      </c>
      <c r="E413" s="23">
        <v>25.84</v>
      </c>
      <c r="F413" s="23">
        <v>26.64</v>
      </c>
      <c r="G413" s="23">
        <v>26.64</v>
      </c>
      <c r="H413" s="23">
        <v>26.48</v>
      </c>
      <c r="I413" s="23">
        <v>26.48</v>
      </c>
      <c r="J413" s="23">
        <v>26.48</v>
      </c>
      <c r="K413" s="23">
        <v>26.64</v>
      </c>
      <c r="L413" s="23">
        <v>25.84</v>
      </c>
      <c r="M413" s="23">
        <v>106</v>
      </c>
      <c r="N413" s="23">
        <v>5.8</v>
      </c>
      <c r="O413" s="24">
        <v>0.3281</v>
      </c>
    </row>
    <row r="414" spans="1:15" x14ac:dyDescent="0.25">
      <c r="A414" s="18" t="s">
        <v>408</v>
      </c>
      <c r="B414" s="22">
        <v>19.64</v>
      </c>
      <c r="C414" s="23">
        <v>19.440000000000001</v>
      </c>
      <c r="D414" s="23">
        <v>19.600000000000001</v>
      </c>
      <c r="E414" s="23">
        <v>19.440000000000001</v>
      </c>
      <c r="F414" s="23">
        <v>19.440000000000001</v>
      </c>
      <c r="G414" s="23">
        <v>19.8</v>
      </c>
      <c r="H414" s="23">
        <v>19.64</v>
      </c>
      <c r="I414" s="23">
        <v>19.440000000000001</v>
      </c>
      <c r="J414" s="23">
        <v>19.440000000000001</v>
      </c>
      <c r="K414" s="23">
        <v>19.600000000000001</v>
      </c>
      <c r="L414" s="23">
        <v>19.440000000000001</v>
      </c>
      <c r="M414" s="23">
        <v>94</v>
      </c>
      <c r="N414" s="23">
        <v>0.8</v>
      </c>
      <c r="O414" s="24">
        <v>0.30630000000000002</v>
      </c>
    </row>
    <row r="415" spans="1:15" x14ac:dyDescent="0.25">
      <c r="A415" s="18" t="s">
        <v>409</v>
      </c>
      <c r="B415" s="22">
        <v>21.76</v>
      </c>
      <c r="C415" s="23">
        <v>21.76</v>
      </c>
      <c r="D415" s="23">
        <v>21.76</v>
      </c>
      <c r="E415" s="23">
        <v>21.76</v>
      </c>
      <c r="F415" s="23">
        <v>21.76</v>
      </c>
      <c r="G415" s="23">
        <v>21.76</v>
      </c>
      <c r="H415" s="23">
        <v>21.76</v>
      </c>
      <c r="I415" s="23">
        <v>21.76</v>
      </c>
      <c r="J415" s="23">
        <v>21.76</v>
      </c>
      <c r="K415" s="23">
        <v>21.76</v>
      </c>
      <c r="L415" s="23">
        <v>21.76</v>
      </c>
      <c r="M415" s="23">
        <v>92</v>
      </c>
      <c r="N415" s="23">
        <v>4.2</v>
      </c>
      <c r="O415" s="24">
        <v>0.29780000000000001</v>
      </c>
    </row>
    <row r="416" spans="1:15" x14ac:dyDescent="0.25">
      <c r="A416" s="18" t="s">
        <v>410</v>
      </c>
      <c r="B416" s="22">
        <v>22.56</v>
      </c>
      <c r="C416" s="23">
        <v>22.56</v>
      </c>
      <c r="D416" s="23">
        <v>22.56</v>
      </c>
      <c r="E416" s="23">
        <v>22.56</v>
      </c>
      <c r="F416" s="23">
        <v>22.56</v>
      </c>
      <c r="G416" s="23">
        <v>22.56</v>
      </c>
      <c r="H416" s="23">
        <v>22.56</v>
      </c>
      <c r="I416" s="23">
        <v>22.56</v>
      </c>
      <c r="J416" s="23">
        <v>22.56</v>
      </c>
      <c r="K416" s="23">
        <v>22.56</v>
      </c>
      <c r="L416" s="23">
        <v>22.56</v>
      </c>
      <c r="M416" s="23">
        <v>88</v>
      </c>
      <c r="N416" s="23">
        <v>6.2</v>
      </c>
      <c r="O416" s="24">
        <v>0.28799999999999998</v>
      </c>
    </row>
    <row r="417" spans="1:15" x14ac:dyDescent="0.25">
      <c r="A417" s="18" t="s">
        <v>411</v>
      </c>
      <c r="B417" s="22">
        <v>22.4</v>
      </c>
      <c r="C417" s="23">
        <v>22.4</v>
      </c>
      <c r="D417" s="23">
        <v>22.2</v>
      </c>
      <c r="E417" s="23">
        <v>22.56</v>
      </c>
      <c r="F417" s="23">
        <v>22.4</v>
      </c>
      <c r="G417" s="23">
        <v>22.4</v>
      </c>
      <c r="H417" s="23">
        <v>22.4</v>
      </c>
      <c r="I417" s="23">
        <v>22.4</v>
      </c>
      <c r="J417" s="23">
        <v>22.24</v>
      </c>
      <c r="K417" s="23">
        <v>21.88</v>
      </c>
      <c r="L417" s="23">
        <v>21.88</v>
      </c>
      <c r="M417" s="23">
        <v>95</v>
      </c>
      <c r="N417" s="23">
        <v>3.6</v>
      </c>
      <c r="O417" s="24">
        <v>0.30299999999999999</v>
      </c>
    </row>
    <row r="418" spans="1:15" x14ac:dyDescent="0.25">
      <c r="A418" s="18" t="s">
        <v>412</v>
      </c>
      <c r="B418" s="22">
        <v>22.16</v>
      </c>
      <c r="C418" s="23">
        <v>22.16</v>
      </c>
      <c r="D418" s="23">
        <v>22.16</v>
      </c>
      <c r="E418" s="23">
        <v>22.12</v>
      </c>
      <c r="F418" s="23">
        <v>22.16</v>
      </c>
      <c r="G418" s="23">
        <v>22.16</v>
      </c>
      <c r="H418" s="23">
        <v>22.16</v>
      </c>
      <c r="I418" s="23">
        <v>22.16</v>
      </c>
      <c r="J418" s="23">
        <v>22.12</v>
      </c>
      <c r="K418" s="23">
        <v>22.16</v>
      </c>
      <c r="L418" s="23">
        <v>22.12</v>
      </c>
      <c r="M418" s="23">
        <v>89</v>
      </c>
      <c r="N418" s="23">
        <v>5.4</v>
      </c>
      <c r="O418" s="24">
        <v>0.29680000000000001</v>
      </c>
    </row>
    <row r="419" spans="1:15" x14ac:dyDescent="0.25">
      <c r="A419" s="18" t="s">
        <v>413</v>
      </c>
      <c r="B419" s="22">
        <v>26.72</v>
      </c>
      <c r="C419" s="23">
        <v>26.84</v>
      </c>
      <c r="D419" s="23">
        <v>26.72</v>
      </c>
      <c r="E419" s="23">
        <v>26.72</v>
      </c>
      <c r="F419" s="23">
        <v>26.72</v>
      </c>
      <c r="G419" s="23">
        <v>26.72</v>
      </c>
      <c r="H419" s="23">
        <v>26.72</v>
      </c>
      <c r="I419" s="23">
        <v>26.72</v>
      </c>
      <c r="J419" s="23">
        <v>26.72</v>
      </c>
      <c r="K419" s="23">
        <v>26.72</v>
      </c>
      <c r="L419" s="23">
        <v>26.72</v>
      </c>
      <c r="M419" s="23">
        <v>96</v>
      </c>
      <c r="N419" s="23">
        <v>9.4</v>
      </c>
      <c r="O419" s="24">
        <v>0.31319999999999998</v>
      </c>
    </row>
    <row r="420" spans="1:15" x14ac:dyDescent="0.25">
      <c r="A420" s="18" t="s">
        <v>414</v>
      </c>
      <c r="B420" s="22">
        <v>10.88</v>
      </c>
      <c r="C420" s="23">
        <v>10.88</v>
      </c>
      <c r="D420" s="23">
        <v>10.88</v>
      </c>
      <c r="E420" s="23">
        <v>10.88</v>
      </c>
      <c r="F420" s="23">
        <v>10.88</v>
      </c>
      <c r="G420" s="23">
        <v>10.88</v>
      </c>
      <c r="H420" s="23">
        <v>10.88</v>
      </c>
      <c r="I420" s="23">
        <v>10.88</v>
      </c>
      <c r="J420" s="23">
        <v>10.88</v>
      </c>
      <c r="K420" s="23">
        <v>10.88</v>
      </c>
      <c r="L420" s="23">
        <v>10.88</v>
      </c>
      <c r="M420" s="23">
        <v>24</v>
      </c>
      <c r="N420" s="23">
        <v>7.6</v>
      </c>
      <c r="O420" s="24">
        <v>0.21890000000000001</v>
      </c>
    </row>
    <row r="421" spans="1:15" x14ac:dyDescent="0.25">
      <c r="A421" s="18" t="s">
        <v>415</v>
      </c>
      <c r="B421" s="22">
        <v>10.88</v>
      </c>
      <c r="C421" s="23">
        <v>10.88</v>
      </c>
      <c r="D421" s="23">
        <v>10.88</v>
      </c>
      <c r="E421" s="23">
        <v>10.88</v>
      </c>
      <c r="F421" s="23">
        <v>10.88</v>
      </c>
      <c r="G421" s="23">
        <v>10.88</v>
      </c>
      <c r="H421" s="23">
        <v>10.88</v>
      </c>
      <c r="I421" s="23">
        <v>10.88</v>
      </c>
      <c r="J421" s="23">
        <v>10.88</v>
      </c>
      <c r="K421" s="23">
        <v>10.88</v>
      </c>
      <c r="L421" s="23">
        <v>10.88</v>
      </c>
      <c r="M421" s="23">
        <v>24</v>
      </c>
      <c r="N421" s="23">
        <v>7.6</v>
      </c>
      <c r="O421" s="24">
        <v>0.21360000000000001</v>
      </c>
    </row>
    <row r="422" spans="1:15" x14ac:dyDescent="0.25">
      <c r="A422" s="18" t="s">
        <v>416</v>
      </c>
      <c r="B422" s="22">
        <v>10.36</v>
      </c>
      <c r="C422" s="23">
        <v>9.8800000000000008</v>
      </c>
      <c r="D422" s="23">
        <v>9.8800000000000008</v>
      </c>
      <c r="E422" s="23">
        <v>9.8800000000000008</v>
      </c>
      <c r="F422" s="23">
        <v>10.199999999999999</v>
      </c>
      <c r="G422" s="23">
        <v>9.8800000000000008</v>
      </c>
      <c r="H422" s="23">
        <v>10.039999999999999</v>
      </c>
      <c r="I422" s="23">
        <v>9.8800000000000008</v>
      </c>
      <c r="J422" s="23">
        <v>9.8800000000000008</v>
      </c>
      <c r="K422" s="23">
        <v>9.8800000000000008</v>
      </c>
      <c r="L422" s="23">
        <v>9.8800000000000008</v>
      </c>
      <c r="M422" s="23">
        <v>23</v>
      </c>
      <c r="N422" s="23">
        <v>6.6</v>
      </c>
      <c r="O422" s="24">
        <v>0.2117</v>
      </c>
    </row>
    <row r="423" spans="1:15" x14ac:dyDescent="0.25">
      <c r="A423" s="18" t="s">
        <v>417</v>
      </c>
      <c r="B423" s="22">
        <v>10.44</v>
      </c>
      <c r="C423" s="23">
        <v>10.44</v>
      </c>
      <c r="D423" s="23">
        <v>10.44</v>
      </c>
      <c r="E423" s="23">
        <v>10.44</v>
      </c>
      <c r="F423" s="23">
        <v>10.44</v>
      </c>
      <c r="G423" s="23">
        <v>10.44</v>
      </c>
      <c r="H423" s="23">
        <v>10.44</v>
      </c>
      <c r="I423" s="23">
        <v>10.44</v>
      </c>
      <c r="J423" s="23">
        <v>10.44</v>
      </c>
      <c r="K423" s="23">
        <v>10.44</v>
      </c>
      <c r="L423" s="23">
        <v>10.44</v>
      </c>
      <c r="M423" s="23">
        <v>25</v>
      </c>
      <c r="N423" s="23">
        <v>6.8</v>
      </c>
      <c r="O423" s="24">
        <v>0.22420000000000001</v>
      </c>
    </row>
    <row r="424" spans="1:15" x14ac:dyDescent="0.25">
      <c r="A424" s="18" t="s">
        <v>418</v>
      </c>
      <c r="B424" s="22">
        <v>6.6</v>
      </c>
      <c r="C424" s="23">
        <v>6.6</v>
      </c>
      <c r="D424" s="23">
        <v>6.6</v>
      </c>
      <c r="E424" s="23">
        <v>6.44</v>
      </c>
      <c r="F424" s="23">
        <v>6.56</v>
      </c>
      <c r="G424" s="23">
        <v>6.6</v>
      </c>
      <c r="H424" s="23">
        <v>6.56</v>
      </c>
      <c r="I424" s="23">
        <v>6.6</v>
      </c>
      <c r="J424" s="23">
        <v>6.56</v>
      </c>
      <c r="K424" s="23">
        <v>6.6</v>
      </c>
      <c r="L424" s="23">
        <v>6.44</v>
      </c>
      <c r="M424" s="23">
        <v>25</v>
      </c>
      <c r="N424" s="23">
        <v>1.8</v>
      </c>
      <c r="O424" s="24">
        <v>0.2155</v>
      </c>
    </row>
    <row r="425" spans="1:15" x14ac:dyDescent="0.25">
      <c r="A425" s="18" t="s">
        <v>419</v>
      </c>
      <c r="B425" s="22">
        <v>6.56</v>
      </c>
      <c r="C425" s="23">
        <v>6.56</v>
      </c>
      <c r="D425" s="23">
        <v>6.56</v>
      </c>
      <c r="E425" s="23">
        <v>6.56</v>
      </c>
      <c r="F425" s="23">
        <v>6.56</v>
      </c>
      <c r="G425" s="23">
        <v>6.56</v>
      </c>
      <c r="H425" s="23">
        <v>6.56</v>
      </c>
      <c r="I425" s="23">
        <v>6.56</v>
      </c>
      <c r="J425" s="23">
        <v>6.56</v>
      </c>
      <c r="K425" s="23">
        <v>6.56</v>
      </c>
      <c r="L425" s="23">
        <v>6.56</v>
      </c>
      <c r="M425" s="23">
        <v>28</v>
      </c>
      <c r="N425" s="23">
        <v>1.2</v>
      </c>
      <c r="O425" s="24">
        <v>0.23860000000000001</v>
      </c>
    </row>
    <row r="426" spans="1:15" x14ac:dyDescent="0.25">
      <c r="A426" s="18" t="s">
        <v>420</v>
      </c>
      <c r="B426" s="22">
        <v>5.88</v>
      </c>
      <c r="C426" s="23">
        <v>5.88</v>
      </c>
      <c r="D426" s="23">
        <v>5.88</v>
      </c>
      <c r="E426" s="23">
        <v>5.88</v>
      </c>
      <c r="F426" s="23">
        <v>5.88</v>
      </c>
      <c r="G426" s="23">
        <v>5.88</v>
      </c>
      <c r="H426" s="23">
        <v>5.88</v>
      </c>
      <c r="I426" s="23">
        <v>5.88</v>
      </c>
      <c r="J426" s="23">
        <v>5.88</v>
      </c>
      <c r="K426" s="23">
        <v>6.04</v>
      </c>
      <c r="L426" s="23">
        <v>5.88</v>
      </c>
      <c r="M426" s="23">
        <v>23</v>
      </c>
      <c r="N426" s="23">
        <v>1.6</v>
      </c>
      <c r="O426" s="24">
        <v>0.20349999999999999</v>
      </c>
    </row>
    <row r="427" spans="1:15" x14ac:dyDescent="0.25">
      <c r="A427" s="18" t="s">
        <v>421</v>
      </c>
      <c r="B427" s="22">
        <v>5.6</v>
      </c>
      <c r="C427" s="23">
        <v>5.6</v>
      </c>
      <c r="D427" s="23">
        <v>5.6</v>
      </c>
      <c r="E427" s="23">
        <v>5.6</v>
      </c>
      <c r="F427" s="23">
        <v>5.6</v>
      </c>
      <c r="G427" s="23">
        <v>5.6</v>
      </c>
      <c r="H427" s="23">
        <v>5.8</v>
      </c>
      <c r="I427" s="23">
        <v>5.6</v>
      </c>
      <c r="J427" s="23">
        <v>5.6</v>
      </c>
      <c r="K427" s="23">
        <v>5.6</v>
      </c>
      <c r="L427" s="23">
        <v>5.6</v>
      </c>
      <c r="M427" s="23">
        <v>24</v>
      </c>
      <c r="N427" s="23">
        <v>1</v>
      </c>
      <c r="O427" s="24">
        <v>0.21629999999999999</v>
      </c>
    </row>
    <row r="428" spans="1:15" x14ac:dyDescent="0.25">
      <c r="A428" s="18" t="s">
        <v>422</v>
      </c>
      <c r="B428" s="22">
        <v>5.8</v>
      </c>
      <c r="C428" s="23">
        <v>5.8</v>
      </c>
      <c r="D428" s="23">
        <v>5.8</v>
      </c>
      <c r="E428" s="23">
        <v>5.8</v>
      </c>
      <c r="F428" s="23">
        <v>5.8</v>
      </c>
      <c r="G428" s="23">
        <v>5.8</v>
      </c>
      <c r="H428" s="23">
        <v>5.8</v>
      </c>
      <c r="I428" s="23">
        <v>5.8</v>
      </c>
      <c r="J428" s="23">
        <v>5.8</v>
      </c>
      <c r="K428" s="23">
        <v>5.8</v>
      </c>
      <c r="L428" s="23">
        <v>5.8</v>
      </c>
      <c r="M428" s="23">
        <v>21</v>
      </c>
      <c r="N428" s="23">
        <v>2</v>
      </c>
      <c r="O428" s="24">
        <v>0.19539999999999999</v>
      </c>
    </row>
    <row r="429" spans="1:15" x14ac:dyDescent="0.25">
      <c r="A429" s="18" t="s">
        <v>423</v>
      </c>
      <c r="B429" s="22">
        <v>6.36</v>
      </c>
      <c r="C429" s="23">
        <v>6.4</v>
      </c>
      <c r="D429" s="23">
        <v>6.4</v>
      </c>
      <c r="E429" s="23">
        <v>6.4</v>
      </c>
      <c r="F429" s="23">
        <v>6.4</v>
      </c>
      <c r="G429" s="23">
        <v>6.4</v>
      </c>
      <c r="H429" s="23">
        <v>6.4</v>
      </c>
      <c r="I429" s="23">
        <v>6.4</v>
      </c>
      <c r="J429" s="23">
        <v>6.4</v>
      </c>
      <c r="K429" s="23">
        <v>6.4</v>
      </c>
      <c r="L429" s="23">
        <v>6.36</v>
      </c>
      <c r="M429" s="23">
        <v>23</v>
      </c>
      <c r="N429" s="23">
        <v>2.2000000000000002</v>
      </c>
      <c r="O429" s="24">
        <v>0.21579999999999999</v>
      </c>
    </row>
    <row r="430" spans="1:15" x14ac:dyDescent="0.25">
      <c r="A430" s="18" t="s">
        <v>424</v>
      </c>
      <c r="B430" s="22">
        <v>6.16</v>
      </c>
      <c r="C430" s="23">
        <v>6.16</v>
      </c>
      <c r="D430" s="23">
        <v>6.16</v>
      </c>
      <c r="E430" s="23">
        <v>6.16</v>
      </c>
      <c r="F430" s="23">
        <v>6.16</v>
      </c>
      <c r="G430" s="23">
        <v>6.16</v>
      </c>
      <c r="H430" s="23">
        <v>6.16</v>
      </c>
      <c r="I430" s="23">
        <v>6.16</v>
      </c>
      <c r="J430" s="23">
        <v>6.16</v>
      </c>
      <c r="K430" s="23">
        <v>6.16</v>
      </c>
      <c r="L430" s="23">
        <v>6.16</v>
      </c>
      <c r="M430" s="23">
        <v>30</v>
      </c>
      <c r="N430" s="23">
        <v>0.2</v>
      </c>
      <c r="O430" s="24">
        <v>2.18E-2</v>
      </c>
    </row>
    <row r="431" spans="1:15" x14ac:dyDescent="0.25">
      <c r="A431" s="18" t="s">
        <v>425</v>
      </c>
      <c r="B431" s="22">
        <v>5.88</v>
      </c>
      <c r="C431" s="23">
        <v>5.88</v>
      </c>
      <c r="D431" s="23">
        <v>5.88</v>
      </c>
      <c r="E431" s="23">
        <v>5.88</v>
      </c>
      <c r="F431" s="23">
        <v>5.88</v>
      </c>
      <c r="G431" s="23">
        <v>5.88</v>
      </c>
      <c r="H431" s="23">
        <v>5.88</v>
      </c>
      <c r="I431" s="23">
        <v>5.88</v>
      </c>
      <c r="J431" s="23">
        <v>5.88</v>
      </c>
      <c r="K431" s="23">
        <v>5.88</v>
      </c>
      <c r="L431" s="23">
        <v>5.88</v>
      </c>
      <c r="M431" s="23">
        <v>27</v>
      </c>
      <c r="N431" s="23">
        <v>0.6</v>
      </c>
      <c r="O431" s="24">
        <v>2.0299999999999999E-2</v>
      </c>
    </row>
    <row r="432" spans="1:15" x14ac:dyDescent="0.25">
      <c r="A432" s="18" t="s">
        <v>426</v>
      </c>
      <c r="B432" s="22">
        <v>5.44</v>
      </c>
      <c r="C432" s="23">
        <v>5.28</v>
      </c>
      <c r="D432" s="23">
        <v>5.44</v>
      </c>
      <c r="E432" s="23">
        <v>5.44</v>
      </c>
      <c r="F432" s="23">
        <v>5.44</v>
      </c>
      <c r="G432" s="23">
        <v>5.28</v>
      </c>
      <c r="H432" s="23">
        <v>5.28</v>
      </c>
      <c r="I432" s="23">
        <v>5.28</v>
      </c>
      <c r="J432" s="23">
        <v>5.28</v>
      </c>
      <c r="K432" s="23">
        <v>5.48</v>
      </c>
      <c r="L432" s="23">
        <v>5.28</v>
      </c>
      <c r="M432" s="23">
        <v>24</v>
      </c>
      <c r="N432" s="23">
        <v>0.6</v>
      </c>
      <c r="O432" s="24">
        <v>1.9300000000000001E-2</v>
      </c>
    </row>
    <row r="433" spans="1:15" x14ac:dyDescent="0.25">
      <c r="A433" s="18" t="s">
        <v>427</v>
      </c>
      <c r="B433" s="22">
        <v>4.68</v>
      </c>
      <c r="C433" s="23">
        <v>4.68</v>
      </c>
      <c r="D433" s="23">
        <v>4.68</v>
      </c>
      <c r="E433" s="23">
        <v>4.68</v>
      </c>
      <c r="F433" s="23">
        <v>4.68</v>
      </c>
      <c r="G433" s="23">
        <v>4.68</v>
      </c>
      <c r="H433" s="23">
        <v>4.68</v>
      </c>
      <c r="I433" s="23">
        <v>4.68</v>
      </c>
      <c r="J433" s="23">
        <v>4.68</v>
      </c>
      <c r="K433" s="23">
        <v>4.68</v>
      </c>
      <c r="L433" s="23">
        <v>4.68</v>
      </c>
      <c r="M433" s="23">
        <v>21</v>
      </c>
      <c r="N433" s="23">
        <v>0.6</v>
      </c>
      <c r="O433" s="24">
        <v>1.6400000000000001E-2</v>
      </c>
    </row>
    <row r="434" spans="1:15" x14ac:dyDescent="0.25">
      <c r="A434" s="18" t="s">
        <v>428</v>
      </c>
      <c r="B434" s="22">
        <v>5.2</v>
      </c>
      <c r="C434" s="23">
        <v>5.16</v>
      </c>
      <c r="D434" s="23">
        <v>5.2</v>
      </c>
      <c r="E434" s="23">
        <v>5.2</v>
      </c>
      <c r="F434" s="23">
        <v>5.2</v>
      </c>
      <c r="G434" s="23">
        <v>5.2</v>
      </c>
      <c r="H434" s="23">
        <v>5.2</v>
      </c>
      <c r="I434" s="23">
        <v>5.16</v>
      </c>
      <c r="J434" s="23">
        <v>5.2</v>
      </c>
      <c r="K434" s="23">
        <v>5.2</v>
      </c>
      <c r="L434" s="23">
        <v>5.16</v>
      </c>
      <c r="M434" s="23">
        <v>25</v>
      </c>
      <c r="N434" s="23">
        <v>0.2</v>
      </c>
      <c r="O434" s="24">
        <v>1.9300000000000001E-2</v>
      </c>
    </row>
    <row r="435" spans="1:15" x14ac:dyDescent="0.25">
      <c r="A435" s="18" t="s">
        <v>429</v>
      </c>
      <c r="B435" s="22">
        <v>5.6</v>
      </c>
      <c r="C435" s="23">
        <v>5.6</v>
      </c>
      <c r="D435" s="23">
        <v>5.6</v>
      </c>
      <c r="E435" s="23">
        <v>5.6</v>
      </c>
      <c r="F435" s="23">
        <v>5.6</v>
      </c>
      <c r="G435" s="23">
        <v>5.6</v>
      </c>
      <c r="H435" s="23">
        <v>5.6</v>
      </c>
      <c r="I435" s="23">
        <v>5.6</v>
      </c>
      <c r="J435" s="23">
        <v>5.6</v>
      </c>
      <c r="K435" s="23">
        <v>5.6</v>
      </c>
      <c r="L435" s="23">
        <v>5.6</v>
      </c>
      <c r="M435" s="23">
        <v>24</v>
      </c>
      <c r="N435" s="23">
        <v>1</v>
      </c>
      <c r="O435" s="24">
        <v>1.8499999999999999E-2</v>
      </c>
    </row>
    <row r="436" spans="1:15" x14ac:dyDescent="0.25">
      <c r="A436" s="18" t="s">
        <v>430</v>
      </c>
      <c r="B436" s="22">
        <v>5.64</v>
      </c>
      <c r="C436" s="23">
        <v>5.64</v>
      </c>
      <c r="D436" s="23">
        <v>5.64</v>
      </c>
      <c r="E436" s="23">
        <v>5.64</v>
      </c>
      <c r="F436" s="23">
        <v>5.64</v>
      </c>
      <c r="G436" s="23">
        <v>5.64</v>
      </c>
      <c r="H436" s="23">
        <v>5.64</v>
      </c>
      <c r="I436" s="23">
        <v>5.64</v>
      </c>
      <c r="J436" s="23">
        <v>5.64</v>
      </c>
      <c r="K436" s="23">
        <v>5.64</v>
      </c>
      <c r="L436" s="23">
        <v>5.64</v>
      </c>
      <c r="M436" s="23">
        <v>25</v>
      </c>
      <c r="N436" s="23">
        <v>0.8</v>
      </c>
      <c r="O436" s="24">
        <v>1.9900000000000001E-2</v>
      </c>
    </row>
    <row r="437" spans="1:15" x14ac:dyDescent="0.25">
      <c r="A437" s="18" t="s">
        <v>431</v>
      </c>
      <c r="B437" s="22">
        <v>6.76</v>
      </c>
      <c r="C437" s="23">
        <v>6.72</v>
      </c>
      <c r="D437" s="23">
        <v>6.96</v>
      </c>
      <c r="E437" s="23">
        <v>6.76</v>
      </c>
      <c r="F437" s="23">
        <v>6.76</v>
      </c>
      <c r="G437" s="23">
        <v>6.72</v>
      </c>
      <c r="H437" s="23">
        <v>6.76</v>
      </c>
      <c r="I437" s="23">
        <v>6.76</v>
      </c>
      <c r="J437" s="23">
        <v>6.76</v>
      </c>
      <c r="K437" s="23">
        <v>6.76</v>
      </c>
      <c r="L437" s="23">
        <v>6.72</v>
      </c>
      <c r="M437" s="23">
        <v>24</v>
      </c>
      <c r="N437" s="23">
        <v>2.4</v>
      </c>
      <c r="O437" s="24">
        <v>2.0199999999999999E-2</v>
      </c>
    </row>
    <row r="438" spans="1:15" x14ac:dyDescent="0.25">
      <c r="A438" s="18" t="s">
        <v>432</v>
      </c>
      <c r="B438" s="22">
        <v>4.5199999999999996</v>
      </c>
      <c r="C438" s="23">
        <v>4.5199999999999996</v>
      </c>
      <c r="D438" s="23">
        <v>4.5199999999999996</v>
      </c>
      <c r="E438" s="23">
        <v>4.5199999999999996</v>
      </c>
      <c r="F438" s="23">
        <v>4.5199999999999996</v>
      </c>
      <c r="G438" s="23">
        <v>4.5199999999999996</v>
      </c>
      <c r="H438" s="23">
        <v>4.5199999999999996</v>
      </c>
      <c r="I438" s="23">
        <v>4.5199999999999996</v>
      </c>
      <c r="J438" s="23">
        <v>4.5199999999999996</v>
      </c>
      <c r="K438" s="23">
        <v>4.5199999999999996</v>
      </c>
      <c r="L438" s="23">
        <v>4.5199999999999996</v>
      </c>
      <c r="M438" s="23">
        <v>21</v>
      </c>
      <c r="N438" s="23">
        <v>0.4</v>
      </c>
      <c r="O438" s="24">
        <v>1.8100000000000002E-2</v>
      </c>
    </row>
    <row r="439" spans="1:15" x14ac:dyDescent="0.25">
      <c r="A439" s="18" t="s">
        <v>433</v>
      </c>
      <c r="B439" s="22">
        <v>5.72</v>
      </c>
      <c r="C439" s="23">
        <v>5.72</v>
      </c>
      <c r="D439" s="23">
        <v>5.88</v>
      </c>
      <c r="E439" s="23">
        <v>5.88</v>
      </c>
      <c r="F439" s="23">
        <v>5.72</v>
      </c>
      <c r="G439" s="23">
        <v>5.92</v>
      </c>
      <c r="H439" s="23">
        <v>5.92</v>
      </c>
      <c r="I439" s="23">
        <v>5.88</v>
      </c>
      <c r="J439" s="23">
        <v>5.72</v>
      </c>
      <c r="K439" s="23">
        <v>5.72</v>
      </c>
      <c r="L439" s="23">
        <v>5.72</v>
      </c>
      <c r="M439" s="23">
        <v>23</v>
      </c>
      <c r="N439" s="23">
        <v>1.4</v>
      </c>
      <c r="O439" s="24">
        <v>1.9400000000000001E-2</v>
      </c>
    </row>
    <row r="440" spans="1:15" x14ac:dyDescent="0.25">
      <c r="A440" s="18" t="s">
        <v>434</v>
      </c>
      <c r="B440" s="22">
        <v>6</v>
      </c>
      <c r="C440" s="23">
        <v>6</v>
      </c>
      <c r="D440" s="23">
        <v>6</v>
      </c>
      <c r="E440" s="23">
        <v>6</v>
      </c>
      <c r="F440" s="23">
        <v>6</v>
      </c>
      <c r="G440" s="23">
        <v>6</v>
      </c>
      <c r="H440" s="23">
        <v>6</v>
      </c>
      <c r="I440" s="23">
        <v>6</v>
      </c>
      <c r="J440" s="23">
        <v>6</v>
      </c>
      <c r="K440" s="23">
        <v>6</v>
      </c>
      <c r="L440" s="23">
        <v>6</v>
      </c>
      <c r="M440" s="23">
        <v>26</v>
      </c>
      <c r="N440" s="23">
        <v>1</v>
      </c>
      <c r="O440" s="24">
        <v>2.7400000000000001E-2</v>
      </c>
    </row>
    <row r="441" spans="1:15" x14ac:dyDescent="0.25">
      <c r="A441" s="18" t="s">
        <v>435</v>
      </c>
      <c r="B441" s="22">
        <v>4.2</v>
      </c>
      <c r="C441" s="23">
        <v>4.4000000000000004</v>
      </c>
      <c r="D441" s="23">
        <v>4.4000000000000004</v>
      </c>
      <c r="E441" s="23">
        <v>4.2</v>
      </c>
      <c r="F441" s="23">
        <v>4.4000000000000004</v>
      </c>
      <c r="G441" s="23">
        <v>4.4000000000000004</v>
      </c>
      <c r="H441" s="23">
        <v>4.4000000000000004</v>
      </c>
      <c r="I441" s="23">
        <v>4.4000000000000004</v>
      </c>
      <c r="J441" s="23">
        <v>4.4000000000000004</v>
      </c>
      <c r="K441" s="23">
        <v>4.4000000000000004</v>
      </c>
      <c r="L441" s="23">
        <v>4.2</v>
      </c>
      <c r="M441" s="23">
        <v>21</v>
      </c>
      <c r="N441" s="23">
        <v>0</v>
      </c>
      <c r="O441" s="24">
        <v>2.35E-2</v>
      </c>
    </row>
    <row r="442" spans="1:15" x14ac:dyDescent="0.25">
      <c r="A442" s="18" t="s">
        <v>436</v>
      </c>
      <c r="B442" s="22">
        <v>7.56</v>
      </c>
      <c r="C442" s="23">
        <v>7.6</v>
      </c>
      <c r="D442" s="23">
        <v>7.6</v>
      </c>
      <c r="E442" s="23">
        <v>7.6</v>
      </c>
      <c r="F442" s="23">
        <v>7.56</v>
      </c>
      <c r="G442" s="23">
        <v>7.6</v>
      </c>
      <c r="H442" s="23">
        <v>7.6</v>
      </c>
      <c r="I442" s="23">
        <v>7.6</v>
      </c>
      <c r="J442" s="23">
        <v>7.4</v>
      </c>
      <c r="K442" s="23">
        <v>7.4</v>
      </c>
      <c r="L442" s="23">
        <v>7.4</v>
      </c>
      <c r="M442" s="23">
        <v>25</v>
      </c>
      <c r="N442" s="23">
        <v>3</v>
      </c>
      <c r="O442" s="24">
        <v>2.81E-2</v>
      </c>
    </row>
    <row r="443" spans="1:15" x14ac:dyDescent="0.25">
      <c r="A443" s="18" t="s">
        <v>437</v>
      </c>
      <c r="B443" s="22">
        <v>5.56</v>
      </c>
      <c r="C443" s="23">
        <v>5.56</v>
      </c>
      <c r="D443" s="23">
        <v>5.56</v>
      </c>
      <c r="E443" s="23">
        <v>5.56</v>
      </c>
      <c r="F443" s="23">
        <v>5.56</v>
      </c>
      <c r="G443" s="23">
        <v>5.56</v>
      </c>
      <c r="H443" s="23">
        <v>5.56</v>
      </c>
      <c r="I443" s="23">
        <v>5.56</v>
      </c>
      <c r="J443" s="23">
        <v>5.56</v>
      </c>
      <c r="K443" s="23">
        <v>5.56</v>
      </c>
      <c r="L443" s="23">
        <v>5.56</v>
      </c>
      <c r="M443" s="23">
        <v>23</v>
      </c>
      <c r="N443" s="23">
        <v>1.2</v>
      </c>
      <c r="O443" s="24">
        <v>2.5399999999999999E-2</v>
      </c>
    </row>
    <row r="444" spans="1:15" x14ac:dyDescent="0.25">
      <c r="A444" s="18" t="s">
        <v>438</v>
      </c>
      <c r="B444" s="22">
        <v>8.56</v>
      </c>
      <c r="C444" s="23">
        <v>8.7200000000000006</v>
      </c>
      <c r="D444" s="23">
        <v>8.7200000000000006</v>
      </c>
      <c r="E444" s="23">
        <v>8.56</v>
      </c>
      <c r="F444" s="23">
        <v>8.56</v>
      </c>
      <c r="G444" s="23">
        <v>8.68</v>
      </c>
      <c r="H444" s="23">
        <v>8.56</v>
      </c>
      <c r="I444" s="23">
        <v>8.56</v>
      </c>
      <c r="J444" s="23">
        <v>8.56</v>
      </c>
      <c r="K444" s="23">
        <v>8.56</v>
      </c>
      <c r="L444" s="23">
        <v>8.56</v>
      </c>
      <c r="M444" s="23">
        <v>26</v>
      </c>
      <c r="N444" s="23">
        <v>4.2</v>
      </c>
      <c r="O444" s="24">
        <v>2.8000000000000001E-2</v>
      </c>
    </row>
    <row r="445" spans="1:15" x14ac:dyDescent="0.25">
      <c r="A445" s="18" t="s">
        <v>439</v>
      </c>
      <c r="B445" s="22">
        <v>4.92</v>
      </c>
      <c r="C445" s="23">
        <v>4.92</v>
      </c>
      <c r="D445" s="23">
        <v>4.92</v>
      </c>
      <c r="E445" s="23">
        <v>4.92</v>
      </c>
      <c r="F445" s="23">
        <v>4.92</v>
      </c>
      <c r="G445" s="23">
        <v>4.92</v>
      </c>
      <c r="H445" s="23">
        <v>4.92</v>
      </c>
      <c r="I445" s="23">
        <v>4.92</v>
      </c>
      <c r="J445" s="23">
        <v>4.92</v>
      </c>
      <c r="K445" s="23">
        <v>4.92</v>
      </c>
      <c r="L445" s="23">
        <v>4.92</v>
      </c>
      <c r="M445" s="23">
        <v>23</v>
      </c>
      <c r="N445" s="23">
        <v>0.4</v>
      </c>
      <c r="O445" s="24">
        <v>2.5700000000000001E-2</v>
      </c>
    </row>
    <row r="446" spans="1:15" x14ac:dyDescent="0.25">
      <c r="A446" s="18" t="s">
        <v>440</v>
      </c>
      <c r="B446" s="22">
        <v>6.36</v>
      </c>
      <c r="C446" s="23">
        <v>6.36</v>
      </c>
      <c r="D446" s="23">
        <v>6.36</v>
      </c>
      <c r="E446" s="23">
        <v>6.36</v>
      </c>
      <c r="F446" s="23">
        <v>6.36</v>
      </c>
      <c r="G446" s="23">
        <v>6.36</v>
      </c>
      <c r="H446" s="23">
        <v>6.36</v>
      </c>
      <c r="I446" s="23">
        <v>6.36</v>
      </c>
      <c r="J446" s="23">
        <v>6.36</v>
      </c>
      <c r="K446" s="23">
        <v>6.36</v>
      </c>
      <c r="L446" s="23">
        <v>6.36</v>
      </c>
      <c r="M446" s="23">
        <v>23</v>
      </c>
      <c r="N446" s="23">
        <v>2.2000000000000002</v>
      </c>
      <c r="O446" s="24">
        <v>2.5399999999999999E-2</v>
      </c>
    </row>
    <row r="447" spans="1:15" x14ac:dyDescent="0.25">
      <c r="A447" s="18" t="s">
        <v>441</v>
      </c>
      <c r="B447" s="22">
        <v>8.44</v>
      </c>
      <c r="C447" s="23">
        <v>8.44</v>
      </c>
      <c r="D447" s="23">
        <v>8.44</v>
      </c>
      <c r="E447" s="23">
        <v>8.44</v>
      </c>
      <c r="F447" s="23">
        <v>8.44</v>
      </c>
      <c r="G447" s="23">
        <v>8.2799999999999994</v>
      </c>
      <c r="H447" s="23">
        <v>8.44</v>
      </c>
      <c r="I447" s="23">
        <v>8.44</v>
      </c>
      <c r="J447" s="23">
        <v>8.44</v>
      </c>
      <c r="K447" s="23">
        <v>8.44</v>
      </c>
      <c r="L447" s="23">
        <v>8.2799999999999994</v>
      </c>
      <c r="M447" s="23">
        <v>23</v>
      </c>
      <c r="N447" s="23">
        <v>4.5999999999999996</v>
      </c>
      <c r="O447" s="24">
        <v>2.5499999999999998E-2</v>
      </c>
    </row>
    <row r="448" spans="1:15" x14ac:dyDescent="0.25">
      <c r="A448" s="18" t="s">
        <v>442</v>
      </c>
      <c r="B448" s="22">
        <v>6.52</v>
      </c>
      <c r="C448" s="23">
        <v>6.68</v>
      </c>
      <c r="D448" s="23">
        <v>6.72</v>
      </c>
      <c r="E448" s="23">
        <v>6.52</v>
      </c>
      <c r="F448" s="23">
        <v>6.52</v>
      </c>
      <c r="G448" s="23">
        <v>6.52</v>
      </c>
      <c r="H448" s="23">
        <v>6.68</v>
      </c>
      <c r="I448" s="23">
        <v>6.68</v>
      </c>
      <c r="J448" s="23">
        <v>6.68</v>
      </c>
      <c r="K448" s="23">
        <v>6.52</v>
      </c>
      <c r="L448" s="23">
        <v>6.52</v>
      </c>
      <c r="M448" s="23">
        <v>23</v>
      </c>
      <c r="N448" s="23">
        <v>2.4</v>
      </c>
      <c r="O448" s="24">
        <v>2.5700000000000001E-2</v>
      </c>
    </row>
    <row r="449" spans="1:15" x14ac:dyDescent="0.25">
      <c r="A449" s="18" t="s">
        <v>443</v>
      </c>
      <c r="B449" s="22">
        <v>7.92</v>
      </c>
      <c r="C449" s="23">
        <v>7.92</v>
      </c>
      <c r="D449" s="23">
        <v>7.92</v>
      </c>
      <c r="E449" s="23">
        <v>7.92</v>
      </c>
      <c r="F449" s="23">
        <v>8.1199999999999992</v>
      </c>
      <c r="G449" s="23">
        <v>7.92</v>
      </c>
      <c r="H449" s="23">
        <v>7.92</v>
      </c>
      <c r="I449" s="23">
        <v>7.92</v>
      </c>
      <c r="J449" s="23">
        <v>7.92</v>
      </c>
      <c r="K449" s="23">
        <v>7.92</v>
      </c>
      <c r="L449" s="23">
        <v>7.92</v>
      </c>
      <c r="M449" s="23">
        <v>22</v>
      </c>
      <c r="N449" s="23">
        <v>4.4000000000000004</v>
      </c>
      <c r="O449" s="24">
        <v>2.5100000000000001E-2</v>
      </c>
    </row>
    <row r="450" spans="1:15" x14ac:dyDescent="0.25">
      <c r="A450" s="18" t="s">
        <v>444</v>
      </c>
      <c r="B450" s="22">
        <v>6.2</v>
      </c>
      <c r="C450" s="23">
        <v>6.4</v>
      </c>
      <c r="D450" s="23">
        <v>6.2</v>
      </c>
      <c r="E450" s="23">
        <v>6.2</v>
      </c>
      <c r="F450" s="23">
        <v>6.2</v>
      </c>
      <c r="G450" s="23">
        <v>6.2</v>
      </c>
      <c r="H450" s="23">
        <v>6.4</v>
      </c>
      <c r="I450" s="23">
        <v>6.2</v>
      </c>
      <c r="J450" s="23">
        <v>6.36</v>
      </c>
      <c r="K450" s="23">
        <v>6.4</v>
      </c>
      <c r="L450" s="23">
        <v>6.2</v>
      </c>
      <c r="M450" s="23">
        <v>27</v>
      </c>
      <c r="N450" s="23">
        <v>1</v>
      </c>
      <c r="O450" s="24">
        <v>3.1399999999999997E-2</v>
      </c>
    </row>
    <row r="451" spans="1:15" x14ac:dyDescent="0.25">
      <c r="A451" s="18" t="s">
        <v>445</v>
      </c>
      <c r="B451" s="22">
        <v>5.44</v>
      </c>
      <c r="C451" s="23">
        <v>5.44</v>
      </c>
      <c r="D451" s="23">
        <v>5.44</v>
      </c>
      <c r="E451" s="23">
        <v>5.44</v>
      </c>
      <c r="F451" s="23">
        <v>5.44</v>
      </c>
      <c r="G451" s="23">
        <v>5.44</v>
      </c>
      <c r="H451" s="23">
        <v>5.44</v>
      </c>
      <c r="I451" s="23">
        <v>5.44</v>
      </c>
      <c r="J451" s="23">
        <v>5.44</v>
      </c>
      <c r="K451" s="23">
        <v>5.44</v>
      </c>
      <c r="L451" s="23">
        <v>5.44</v>
      </c>
      <c r="M451" s="23">
        <v>24</v>
      </c>
      <c r="N451" s="23">
        <v>0.8</v>
      </c>
      <c r="O451" s="24">
        <v>2.76E-2</v>
      </c>
    </row>
    <row r="452" spans="1:15" x14ac:dyDescent="0.25">
      <c r="A452" s="18" t="s">
        <v>446</v>
      </c>
      <c r="B452" s="22">
        <v>5.04</v>
      </c>
      <c r="C452" s="23">
        <v>5.04</v>
      </c>
      <c r="D452" s="23">
        <v>5.04</v>
      </c>
      <c r="E452" s="23">
        <v>5.04</v>
      </c>
      <c r="F452" s="23">
        <v>5.04</v>
      </c>
      <c r="G452" s="23">
        <v>5.04</v>
      </c>
      <c r="H452" s="23">
        <v>5.04</v>
      </c>
      <c r="I452" s="23">
        <v>5.04</v>
      </c>
      <c r="J452" s="23">
        <v>5.04</v>
      </c>
      <c r="K452" s="23">
        <v>5.04</v>
      </c>
      <c r="L452" s="23">
        <v>5.04</v>
      </c>
      <c r="M452" s="23">
        <v>22</v>
      </c>
      <c r="N452" s="23">
        <v>0.8</v>
      </c>
      <c r="O452" s="24">
        <v>2.6800000000000001E-2</v>
      </c>
    </row>
    <row r="453" spans="1:15" x14ac:dyDescent="0.25">
      <c r="A453" s="18" t="s">
        <v>447</v>
      </c>
      <c r="B453" s="22">
        <v>8.7200000000000006</v>
      </c>
      <c r="C453" s="23">
        <v>8.7200000000000006</v>
      </c>
      <c r="D453" s="23">
        <v>8.7200000000000006</v>
      </c>
      <c r="E453" s="23">
        <v>8.7200000000000006</v>
      </c>
      <c r="F453" s="23">
        <v>8.7200000000000006</v>
      </c>
      <c r="G453" s="23">
        <v>8.7200000000000006</v>
      </c>
      <c r="H453" s="23">
        <v>8.7200000000000006</v>
      </c>
      <c r="I453" s="23">
        <v>8.7200000000000006</v>
      </c>
      <c r="J453" s="23">
        <v>8.7200000000000006</v>
      </c>
      <c r="K453" s="23">
        <v>8.84</v>
      </c>
      <c r="L453" s="23">
        <v>8.7200000000000006</v>
      </c>
      <c r="M453" s="23">
        <v>30</v>
      </c>
      <c r="N453" s="23">
        <v>3.4</v>
      </c>
      <c r="O453" s="24">
        <v>3.1800000000000002E-2</v>
      </c>
    </row>
    <row r="454" spans="1:15" x14ac:dyDescent="0.25">
      <c r="A454" s="18" t="s">
        <v>448</v>
      </c>
      <c r="B454" s="22">
        <v>6.28</v>
      </c>
      <c r="C454" s="23">
        <v>6.28</v>
      </c>
      <c r="D454" s="23">
        <v>6.28</v>
      </c>
      <c r="E454" s="23">
        <v>6.28</v>
      </c>
      <c r="F454" s="23">
        <v>6.28</v>
      </c>
      <c r="G454" s="23">
        <v>6.28</v>
      </c>
      <c r="H454" s="23">
        <v>6.28</v>
      </c>
      <c r="I454" s="23">
        <v>6.28</v>
      </c>
      <c r="J454" s="23">
        <v>6.28</v>
      </c>
      <c r="K454" s="23">
        <v>6.28</v>
      </c>
      <c r="L454" s="23">
        <v>6.28</v>
      </c>
      <c r="M454" s="23">
        <v>25</v>
      </c>
      <c r="N454" s="23">
        <v>1.6</v>
      </c>
      <c r="O454" s="24">
        <v>0.03</v>
      </c>
    </row>
    <row r="455" spans="1:15" x14ac:dyDescent="0.25">
      <c r="A455" s="18" t="s">
        <v>449</v>
      </c>
      <c r="B455" s="22">
        <v>8.2799999999999994</v>
      </c>
      <c r="C455" s="23">
        <v>8.2799999999999994</v>
      </c>
      <c r="D455" s="23">
        <v>8.2799999999999994</v>
      </c>
      <c r="E455" s="23">
        <v>8.2799999999999994</v>
      </c>
      <c r="F455" s="23">
        <v>8.2799999999999994</v>
      </c>
      <c r="G455" s="23">
        <v>8.2799999999999994</v>
      </c>
      <c r="H455" s="23">
        <v>8.2799999999999994</v>
      </c>
      <c r="I455" s="23">
        <v>8.2799999999999994</v>
      </c>
      <c r="J455" s="23">
        <v>8.2799999999999994</v>
      </c>
      <c r="K455" s="23">
        <v>8.2799999999999994</v>
      </c>
      <c r="L455" s="23">
        <v>8.2799999999999994</v>
      </c>
      <c r="M455" s="23">
        <v>31</v>
      </c>
      <c r="N455" s="23">
        <v>2.6</v>
      </c>
      <c r="O455" s="24">
        <v>3.3500000000000002E-2</v>
      </c>
    </row>
    <row r="456" spans="1:15" x14ac:dyDescent="0.25">
      <c r="A456" s="18" t="s">
        <v>450</v>
      </c>
      <c r="B456" s="22">
        <v>7.32</v>
      </c>
      <c r="C456" s="23">
        <v>7.32</v>
      </c>
      <c r="D456" s="23">
        <v>7.32</v>
      </c>
      <c r="E456" s="23">
        <v>7.32</v>
      </c>
      <c r="F456" s="23">
        <v>7.32</v>
      </c>
      <c r="G456" s="23">
        <v>7.32</v>
      </c>
      <c r="H456" s="23">
        <v>7.32</v>
      </c>
      <c r="I456" s="23">
        <v>7.32</v>
      </c>
      <c r="J456" s="23">
        <v>7.32</v>
      </c>
      <c r="K456" s="23">
        <v>7.32</v>
      </c>
      <c r="L456" s="23">
        <v>7.32</v>
      </c>
      <c r="M456" s="23">
        <v>27</v>
      </c>
      <c r="N456" s="23">
        <v>2.4</v>
      </c>
      <c r="O456" s="24">
        <v>3.0200000000000001E-2</v>
      </c>
    </row>
    <row r="457" spans="1:15" x14ac:dyDescent="0.25">
      <c r="A457" s="18" t="s">
        <v>451</v>
      </c>
      <c r="B457" s="22">
        <v>7.32</v>
      </c>
      <c r="C457" s="23">
        <v>7.32</v>
      </c>
      <c r="D457" s="23">
        <v>7.48</v>
      </c>
      <c r="E457" s="23">
        <v>7.48</v>
      </c>
      <c r="F457" s="23">
        <v>7.32</v>
      </c>
      <c r="G457" s="23">
        <v>7.32</v>
      </c>
      <c r="H457" s="23">
        <v>7.32</v>
      </c>
      <c r="I457" s="23">
        <v>7.64</v>
      </c>
      <c r="J457" s="23">
        <v>7.48</v>
      </c>
      <c r="K457" s="23">
        <v>7.32</v>
      </c>
      <c r="L457" s="23">
        <v>7.32</v>
      </c>
      <c r="M457" s="23">
        <v>27</v>
      </c>
      <c r="N457" s="23">
        <v>2.4</v>
      </c>
      <c r="O457" s="24">
        <v>3.1899999999999998E-2</v>
      </c>
    </row>
    <row r="458" spans="1:15" x14ac:dyDescent="0.25">
      <c r="A458" s="18" t="s">
        <v>452</v>
      </c>
      <c r="B458" s="22">
        <v>6.48</v>
      </c>
      <c r="C458" s="23">
        <v>6.32</v>
      </c>
      <c r="D458" s="23">
        <v>6.48</v>
      </c>
      <c r="E458" s="23">
        <v>6.32</v>
      </c>
      <c r="F458" s="23">
        <v>6.32</v>
      </c>
      <c r="G458" s="23">
        <v>6.32</v>
      </c>
      <c r="H458" s="23">
        <v>6.48</v>
      </c>
      <c r="I458" s="23">
        <v>6.48</v>
      </c>
      <c r="J458" s="23">
        <v>6.48</v>
      </c>
      <c r="K458" s="23">
        <v>6.48</v>
      </c>
      <c r="L458" s="23">
        <v>6.32</v>
      </c>
      <c r="M458" s="23">
        <v>22</v>
      </c>
      <c r="N458" s="23">
        <v>2.4</v>
      </c>
      <c r="O458" s="24">
        <v>2.5999999999999999E-2</v>
      </c>
    </row>
    <row r="459" spans="1:15" x14ac:dyDescent="0.25">
      <c r="A459" s="18" t="s">
        <v>453</v>
      </c>
      <c r="B459" s="22">
        <v>7.72</v>
      </c>
      <c r="C459" s="23">
        <v>7.88</v>
      </c>
      <c r="D459" s="23">
        <v>7.68</v>
      </c>
      <c r="E459" s="23">
        <v>7.88</v>
      </c>
      <c r="F459" s="23">
        <v>7.88</v>
      </c>
      <c r="G459" s="23">
        <v>7.72</v>
      </c>
      <c r="H459" s="23">
        <v>7.88</v>
      </c>
      <c r="I459" s="23">
        <v>7.72</v>
      </c>
      <c r="J459" s="23">
        <v>7.88</v>
      </c>
      <c r="K459" s="23">
        <v>8.08</v>
      </c>
      <c r="L459" s="23">
        <v>7.68</v>
      </c>
      <c r="M459" s="23">
        <v>24</v>
      </c>
      <c r="N459" s="23">
        <v>3.6</v>
      </c>
      <c r="O459" s="24">
        <v>2.92E-2</v>
      </c>
    </row>
    <row r="460" spans="1:15" x14ac:dyDescent="0.25">
      <c r="A460" s="18" t="s">
        <v>454</v>
      </c>
      <c r="B460" s="22">
        <v>4.92</v>
      </c>
      <c r="C460" s="23">
        <v>4.92</v>
      </c>
      <c r="D460" s="23">
        <v>4.92</v>
      </c>
      <c r="E460" s="23">
        <v>4.92</v>
      </c>
      <c r="F460" s="23">
        <v>4.92</v>
      </c>
      <c r="G460" s="23">
        <v>4.92</v>
      </c>
      <c r="H460" s="23">
        <v>4.92</v>
      </c>
      <c r="I460" s="23">
        <v>4.92</v>
      </c>
      <c r="J460" s="23">
        <v>4.92</v>
      </c>
      <c r="K460" s="23">
        <v>4.92</v>
      </c>
      <c r="L460" s="23">
        <v>4.92</v>
      </c>
      <c r="M460" s="23">
        <v>23</v>
      </c>
      <c r="N460" s="23">
        <v>0.4</v>
      </c>
      <c r="O460" s="24">
        <v>3.4700000000000002E-2</v>
      </c>
    </row>
    <row r="461" spans="1:15" x14ac:dyDescent="0.25">
      <c r="A461" s="18" t="s">
        <v>455</v>
      </c>
      <c r="B461" s="22">
        <v>6.72</v>
      </c>
      <c r="C461" s="23">
        <v>6.72</v>
      </c>
      <c r="D461" s="23">
        <v>6.72</v>
      </c>
      <c r="E461" s="23">
        <v>6.72</v>
      </c>
      <c r="F461" s="23">
        <v>6.72</v>
      </c>
      <c r="G461" s="23">
        <v>6.72</v>
      </c>
      <c r="H461" s="23">
        <v>6.72</v>
      </c>
      <c r="I461" s="23">
        <v>6.72</v>
      </c>
      <c r="J461" s="23">
        <v>6.72</v>
      </c>
      <c r="K461" s="23">
        <v>6.72</v>
      </c>
      <c r="L461" s="23">
        <v>6.72</v>
      </c>
      <c r="M461" s="23">
        <v>28</v>
      </c>
      <c r="N461" s="23">
        <v>1.4</v>
      </c>
      <c r="O461" s="24">
        <v>3.8899999999999997E-2</v>
      </c>
    </row>
    <row r="462" spans="1:15" x14ac:dyDescent="0.25">
      <c r="A462" s="18" t="s">
        <v>456</v>
      </c>
      <c r="B462" s="22">
        <v>7.4</v>
      </c>
      <c r="C462" s="23">
        <v>7.4</v>
      </c>
      <c r="D462" s="23">
        <v>7.4</v>
      </c>
      <c r="E462" s="23">
        <v>7.4</v>
      </c>
      <c r="F462" s="23">
        <v>7.4</v>
      </c>
      <c r="G462" s="23">
        <v>7.4</v>
      </c>
      <c r="H462" s="23">
        <v>7.4</v>
      </c>
      <c r="I462" s="23">
        <v>7.4</v>
      </c>
      <c r="J462" s="23">
        <v>7.4</v>
      </c>
      <c r="K462" s="23">
        <v>7.4</v>
      </c>
      <c r="L462" s="23">
        <v>7.4</v>
      </c>
      <c r="M462" s="23">
        <v>25</v>
      </c>
      <c r="N462" s="23">
        <v>3</v>
      </c>
      <c r="O462" s="24">
        <v>3.6499999999999998E-2</v>
      </c>
    </row>
    <row r="463" spans="1:15" x14ac:dyDescent="0.25">
      <c r="A463" s="18" t="s">
        <v>457</v>
      </c>
      <c r="B463" s="22">
        <v>7.76</v>
      </c>
      <c r="C463" s="23">
        <v>7.76</v>
      </c>
      <c r="D463" s="23">
        <v>7.76</v>
      </c>
      <c r="E463" s="23">
        <v>7.76</v>
      </c>
      <c r="F463" s="23">
        <v>7.76</v>
      </c>
      <c r="G463" s="23">
        <v>7.76</v>
      </c>
      <c r="H463" s="23">
        <v>7.76</v>
      </c>
      <c r="I463" s="23">
        <v>7.76</v>
      </c>
      <c r="J463" s="23">
        <v>7.72</v>
      </c>
      <c r="K463" s="23">
        <v>7.76</v>
      </c>
      <c r="L463" s="23">
        <v>7.72</v>
      </c>
      <c r="M463" s="23">
        <v>25</v>
      </c>
      <c r="N463" s="23">
        <v>3.4</v>
      </c>
      <c r="O463" s="24">
        <v>3.6299999999999999E-2</v>
      </c>
    </row>
    <row r="464" spans="1:15" x14ac:dyDescent="0.25">
      <c r="A464" s="18" t="s">
        <v>458</v>
      </c>
      <c r="B464" s="22">
        <v>4.84</v>
      </c>
      <c r="C464" s="23">
        <v>4.84</v>
      </c>
      <c r="D464" s="23">
        <v>4.84</v>
      </c>
      <c r="E464" s="23">
        <v>4.84</v>
      </c>
      <c r="F464" s="23">
        <v>4.84</v>
      </c>
      <c r="G464" s="23">
        <v>4.84</v>
      </c>
      <c r="H464" s="23">
        <v>4.84</v>
      </c>
      <c r="I464" s="23">
        <v>4.84</v>
      </c>
      <c r="J464" s="23">
        <v>4.84</v>
      </c>
      <c r="K464" s="23">
        <v>4.84</v>
      </c>
      <c r="L464" s="23">
        <v>4.84</v>
      </c>
      <c r="M464" s="23">
        <v>21</v>
      </c>
      <c r="N464" s="23">
        <v>0.8</v>
      </c>
      <c r="O464" s="24">
        <v>0.03</v>
      </c>
    </row>
    <row r="465" spans="1:15" x14ac:dyDescent="0.25">
      <c r="A465" s="18" t="s">
        <v>459</v>
      </c>
      <c r="B465" s="22">
        <v>6.12</v>
      </c>
      <c r="C465" s="23">
        <v>6.12</v>
      </c>
      <c r="D465" s="23">
        <v>6.12</v>
      </c>
      <c r="E465" s="23">
        <v>6.12</v>
      </c>
      <c r="F465" s="23">
        <v>6.12</v>
      </c>
      <c r="G465" s="23">
        <v>6.12</v>
      </c>
      <c r="H465" s="23">
        <v>6.12</v>
      </c>
      <c r="I465" s="23">
        <v>6.12</v>
      </c>
      <c r="J465" s="23">
        <v>6.12</v>
      </c>
      <c r="K465" s="23">
        <v>6.12</v>
      </c>
      <c r="L465" s="23">
        <v>6.12</v>
      </c>
      <c r="M465" s="23">
        <v>25</v>
      </c>
      <c r="N465" s="23">
        <v>1.4</v>
      </c>
      <c r="O465" s="24">
        <v>3.5200000000000002E-2</v>
      </c>
    </row>
    <row r="466" spans="1:15" x14ac:dyDescent="0.25">
      <c r="A466" s="18" t="s">
        <v>460</v>
      </c>
      <c r="B466" s="22">
        <v>5.52</v>
      </c>
      <c r="C466" s="23">
        <v>5.52</v>
      </c>
      <c r="D466" s="23">
        <v>5.52</v>
      </c>
      <c r="E466" s="23">
        <v>5.52</v>
      </c>
      <c r="F466" s="23">
        <v>5.52</v>
      </c>
      <c r="G466" s="23">
        <v>5.52</v>
      </c>
      <c r="H466" s="23">
        <v>5.52</v>
      </c>
      <c r="I466" s="23">
        <v>5.52</v>
      </c>
      <c r="J466" s="23">
        <v>5.52</v>
      </c>
      <c r="K466" s="23">
        <v>5.52</v>
      </c>
      <c r="L466" s="23">
        <v>5.52</v>
      </c>
      <c r="M466" s="23">
        <v>22</v>
      </c>
      <c r="N466" s="23">
        <v>1.4</v>
      </c>
      <c r="O466" s="24">
        <v>3.2500000000000001E-2</v>
      </c>
    </row>
    <row r="467" spans="1:15" x14ac:dyDescent="0.25">
      <c r="A467" s="18" t="s">
        <v>461</v>
      </c>
      <c r="B467" s="22">
        <v>5.72</v>
      </c>
      <c r="C467" s="23">
        <v>5.72</v>
      </c>
      <c r="D467" s="23">
        <v>5.72</v>
      </c>
      <c r="E467" s="23">
        <v>5.72</v>
      </c>
      <c r="F467" s="23">
        <v>5.72</v>
      </c>
      <c r="G467" s="23">
        <v>5.72</v>
      </c>
      <c r="H467" s="23">
        <v>5.72</v>
      </c>
      <c r="I467" s="23">
        <v>5.72</v>
      </c>
      <c r="J467" s="23">
        <v>5.72</v>
      </c>
      <c r="K467" s="23">
        <v>5.72</v>
      </c>
      <c r="L467" s="23">
        <v>5.72</v>
      </c>
      <c r="M467" s="23">
        <v>23</v>
      </c>
      <c r="N467" s="23">
        <v>1.4</v>
      </c>
      <c r="O467" s="24">
        <v>3.4299999999999997E-2</v>
      </c>
    </row>
    <row r="468" spans="1:15" x14ac:dyDescent="0.25">
      <c r="A468" s="18" t="s">
        <v>462</v>
      </c>
      <c r="B468" s="22">
        <v>5.24</v>
      </c>
      <c r="C468" s="23">
        <v>5.44</v>
      </c>
      <c r="D468" s="23">
        <v>5.08</v>
      </c>
      <c r="E468" s="23">
        <v>5.24</v>
      </c>
      <c r="F468" s="23">
        <v>5.24</v>
      </c>
      <c r="G468" s="23">
        <v>5.24</v>
      </c>
      <c r="H468" s="23">
        <v>5.24</v>
      </c>
      <c r="I468" s="23">
        <v>5.24</v>
      </c>
      <c r="J468" s="23">
        <v>5.24</v>
      </c>
      <c r="K468" s="23">
        <v>5.24</v>
      </c>
      <c r="L468" s="23">
        <v>5.08</v>
      </c>
      <c r="M468" s="23">
        <v>23</v>
      </c>
      <c r="N468" s="23">
        <v>0.6</v>
      </c>
      <c r="O468" s="24">
        <v>3.2800000000000003E-2</v>
      </c>
    </row>
    <row r="469" spans="1:15" x14ac:dyDescent="0.25">
      <c r="A469" s="18" t="s">
        <v>463</v>
      </c>
      <c r="B469" s="22">
        <v>5.72</v>
      </c>
      <c r="C469" s="23">
        <v>5.72</v>
      </c>
      <c r="D469" s="23">
        <v>5.72</v>
      </c>
      <c r="E469" s="23">
        <v>5.72</v>
      </c>
      <c r="F469" s="23">
        <v>5.72</v>
      </c>
      <c r="G469" s="23">
        <v>5.72</v>
      </c>
      <c r="H469" s="23">
        <v>5.72</v>
      </c>
      <c r="I469" s="23">
        <v>5.72</v>
      </c>
      <c r="J469" s="23">
        <v>5.72</v>
      </c>
      <c r="K469" s="23">
        <v>5.72</v>
      </c>
      <c r="L469" s="23">
        <v>5.72</v>
      </c>
      <c r="M469" s="23">
        <v>23</v>
      </c>
      <c r="N469" s="23">
        <v>1.4</v>
      </c>
      <c r="O469" s="24">
        <v>3.3700000000000001E-2</v>
      </c>
    </row>
    <row r="470" spans="1:15" x14ac:dyDescent="0.25">
      <c r="A470" s="18" t="s">
        <v>464</v>
      </c>
      <c r="B470" s="22">
        <v>7.04</v>
      </c>
      <c r="C470" s="23">
        <v>7.04</v>
      </c>
      <c r="D470" s="23">
        <v>7.04</v>
      </c>
      <c r="E470" s="23">
        <v>7.04</v>
      </c>
      <c r="F470" s="23">
        <v>7.04</v>
      </c>
      <c r="G470" s="23">
        <v>7.04</v>
      </c>
      <c r="H470" s="23">
        <v>7.04</v>
      </c>
      <c r="I470" s="23">
        <v>7.04</v>
      </c>
      <c r="J470" s="23">
        <v>7.04</v>
      </c>
      <c r="K470" s="23">
        <v>7.04</v>
      </c>
      <c r="L470" s="23">
        <v>7.04</v>
      </c>
      <c r="M470" s="23">
        <v>24</v>
      </c>
      <c r="N470" s="23">
        <v>2.8</v>
      </c>
      <c r="O470" s="24">
        <v>4.5900000000000003E-2</v>
      </c>
    </row>
    <row r="471" spans="1:15" x14ac:dyDescent="0.25">
      <c r="A471" s="18" t="s">
        <v>465</v>
      </c>
      <c r="B471" s="22">
        <v>5.16</v>
      </c>
      <c r="C471" s="23">
        <v>5.16</v>
      </c>
      <c r="D471" s="23">
        <v>5.16</v>
      </c>
      <c r="E471" s="23">
        <v>5.16</v>
      </c>
      <c r="F471" s="23">
        <v>5.16</v>
      </c>
      <c r="G471" s="23">
        <v>5.16</v>
      </c>
      <c r="H471" s="23">
        <v>5.16</v>
      </c>
      <c r="I471" s="23">
        <v>5.16</v>
      </c>
      <c r="J471" s="23">
        <v>5.16</v>
      </c>
      <c r="K471" s="23">
        <v>5.16</v>
      </c>
      <c r="L471" s="23">
        <v>5.16</v>
      </c>
      <c r="M471" s="23">
        <v>25</v>
      </c>
      <c r="N471" s="23">
        <v>0.2</v>
      </c>
      <c r="O471" s="24">
        <v>4.5299999999999993E-2</v>
      </c>
    </row>
    <row r="472" spans="1:15" x14ac:dyDescent="0.25">
      <c r="A472" s="18" t="s">
        <v>466</v>
      </c>
      <c r="B472" s="22">
        <v>4.3600000000000003</v>
      </c>
      <c r="C472" s="23">
        <v>4.3600000000000003</v>
      </c>
      <c r="D472" s="23">
        <v>4.3600000000000003</v>
      </c>
      <c r="E472" s="23">
        <v>4.3600000000000003</v>
      </c>
      <c r="F472" s="23">
        <v>4.3600000000000003</v>
      </c>
      <c r="G472" s="23">
        <v>4.3600000000000003</v>
      </c>
      <c r="H472" s="23">
        <v>4.3600000000000003</v>
      </c>
      <c r="I472" s="23">
        <v>4.3600000000000003</v>
      </c>
      <c r="J472" s="23">
        <v>4.3600000000000003</v>
      </c>
      <c r="K472" s="23">
        <v>4.3600000000000003</v>
      </c>
      <c r="L472" s="23">
        <v>4.3600000000000003</v>
      </c>
      <c r="M472" s="23">
        <v>21</v>
      </c>
      <c r="N472" s="23">
        <v>0.2</v>
      </c>
      <c r="O472" s="24">
        <v>4.1900000000000007E-2</v>
      </c>
    </row>
    <row r="473" spans="1:15" x14ac:dyDescent="0.25">
      <c r="A473" s="18" t="s">
        <v>467</v>
      </c>
      <c r="B473" s="22">
        <v>4.76</v>
      </c>
      <c r="C473" s="23">
        <v>4.76</v>
      </c>
      <c r="D473" s="23">
        <v>4.76</v>
      </c>
      <c r="E473" s="23">
        <v>4.76</v>
      </c>
      <c r="F473" s="23">
        <v>4.76</v>
      </c>
      <c r="G473" s="23">
        <v>4.76</v>
      </c>
      <c r="H473" s="23">
        <v>4.76</v>
      </c>
      <c r="I473" s="23">
        <v>4.76</v>
      </c>
      <c r="J473" s="23">
        <v>4.76</v>
      </c>
      <c r="K473" s="23">
        <v>4.76</v>
      </c>
      <c r="L473" s="23">
        <v>4.76</v>
      </c>
      <c r="M473" s="23">
        <v>23</v>
      </c>
      <c r="N473" s="23">
        <v>0.2</v>
      </c>
      <c r="O473" s="24">
        <v>4.3099999999999999E-2</v>
      </c>
    </row>
    <row r="474" spans="1:15" x14ac:dyDescent="0.25">
      <c r="A474" s="18" t="s">
        <v>468</v>
      </c>
      <c r="B474" s="22">
        <v>6</v>
      </c>
      <c r="C474" s="23">
        <v>6</v>
      </c>
      <c r="D474" s="23">
        <v>6</v>
      </c>
      <c r="E474" s="23">
        <v>6</v>
      </c>
      <c r="F474" s="23">
        <v>6</v>
      </c>
      <c r="G474" s="23">
        <v>6</v>
      </c>
      <c r="H474" s="23">
        <v>6</v>
      </c>
      <c r="I474" s="23">
        <v>6</v>
      </c>
      <c r="J474" s="23">
        <v>6</v>
      </c>
      <c r="K474" s="23">
        <v>6</v>
      </c>
      <c r="L474" s="23">
        <v>6</v>
      </c>
      <c r="M474" s="23">
        <v>26</v>
      </c>
      <c r="N474" s="23">
        <v>1</v>
      </c>
      <c r="O474" s="24">
        <v>4.82E-2</v>
      </c>
    </row>
    <row r="475" spans="1:15" x14ac:dyDescent="0.25">
      <c r="A475" s="18" t="s">
        <v>469</v>
      </c>
      <c r="B475" s="22">
        <v>7.32</v>
      </c>
      <c r="C475" s="23">
        <v>7.32</v>
      </c>
      <c r="D475" s="23">
        <v>7.32</v>
      </c>
      <c r="E475" s="23">
        <v>7.32</v>
      </c>
      <c r="F475" s="23">
        <v>7.32</v>
      </c>
      <c r="G475" s="23">
        <v>7.32</v>
      </c>
      <c r="H475" s="23">
        <v>7.32</v>
      </c>
      <c r="I475" s="23">
        <v>7.32</v>
      </c>
      <c r="J475" s="23">
        <v>7.32</v>
      </c>
      <c r="K475" s="23">
        <v>7.32</v>
      </c>
      <c r="L475" s="23">
        <v>7.32</v>
      </c>
      <c r="M475" s="23">
        <v>31</v>
      </c>
      <c r="N475" s="23">
        <v>1.4</v>
      </c>
      <c r="O475" s="24">
        <v>5.5200000000000013E-2</v>
      </c>
    </row>
    <row r="476" spans="1:15" x14ac:dyDescent="0.25">
      <c r="A476" s="18" t="s">
        <v>470</v>
      </c>
      <c r="B476" s="22">
        <v>5.08</v>
      </c>
      <c r="C476" s="23">
        <v>5.08</v>
      </c>
      <c r="D476" s="23">
        <v>5.08</v>
      </c>
      <c r="E476" s="23">
        <v>5.08</v>
      </c>
      <c r="F476" s="23">
        <v>5.08</v>
      </c>
      <c r="G476" s="23">
        <v>5.08</v>
      </c>
      <c r="H476" s="23">
        <v>5.08</v>
      </c>
      <c r="I476" s="23">
        <v>5.08</v>
      </c>
      <c r="J476" s="23">
        <v>5.08</v>
      </c>
      <c r="K476" s="23">
        <v>5.08</v>
      </c>
      <c r="L476" s="23">
        <v>5.08</v>
      </c>
      <c r="M476" s="23">
        <v>23</v>
      </c>
      <c r="N476" s="23">
        <v>0.6</v>
      </c>
      <c r="O476" s="24">
        <v>4.4200000000000003E-2</v>
      </c>
    </row>
    <row r="477" spans="1:15" x14ac:dyDescent="0.25">
      <c r="A477" s="18" t="s">
        <v>471</v>
      </c>
      <c r="B477" s="22">
        <v>8.16</v>
      </c>
      <c r="C477" s="23">
        <v>8.16</v>
      </c>
      <c r="D477" s="23">
        <v>8.16</v>
      </c>
      <c r="E477" s="23">
        <v>8.16</v>
      </c>
      <c r="F477" s="23">
        <v>8.16</v>
      </c>
      <c r="G477" s="23">
        <v>8.16</v>
      </c>
      <c r="H477" s="23">
        <v>8.16</v>
      </c>
      <c r="I477" s="23">
        <v>8.16</v>
      </c>
      <c r="J477" s="23">
        <v>8.16</v>
      </c>
      <c r="K477" s="23">
        <v>8.16</v>
      </c>
      <c r="L477" s="23">
        <v>8.16</v>
      </c>
      <c r="M477" s="23">
        <v>24</v>
      </c>
      <c r="N477" s="23">
        <v>4.2</v>
      </c>
      <c r="O477" s="24">
        <v>4.6199999999999998E-2</v>
      </c>
    </row>
    <row r="478" spans="1:15" x14ac:dyDescent="0.25">
      <c r="A478" s="18" t="s">
        <v>472</v>
      </c>
      <c r="B478" s="22">
        <v>5.32</v>
      </c>
      <c r="C478" s="23">
        <v>5.12</v>
      </c>
      <c r="D478" s="23">
        <v>5.32</v>
      </c>
      <c r="E478" s="23">
        <v>5.32</v>
      </c>
      <c r="F478" s="23">
        <v>5.12</v>
      </c>
      <c r="G478" s="23">
        <v>5.32</v>
      </c>
      <c r="H478" s="23">
        <v>5.32</v>
      </c>
      <c r="I478" s="23">
        <v>5.32</v>
      </c>
      <c r="J478" s="23">
        <v>5.32</v>
      </c>
      <c r="K478" s="23">
        <v>5.32</v>
      </c>
      <c r="L478" s="23">
        <v>5.12</v>
      </c>
      <c r="M478" s="23">
        <v>24</v>
      </c>
      <c r="N478" s="23">
        <v>0.4</v>
      </c>
      <c r="O478" s="24">
        <v>4.4499999999999998E-2</v>
      </c>
    </row>
    <row r="479" spans="1:15" x14ac:dyDescent="0.25">
      <c r="A479" s="18" t="s">
        <v>473</v>
      </c>
      <c r="B479" s="22">
        <v>8.36</v>
      </c>
      <c r="C479" s="23">
        <v>8.36</v>
      </c>
      <c r="D479" s="23">
        <v>8.36</v>
      </c>
      <c r="E479" s="23">
        <v>8.36</v>
      </c>
      <c r="F479" s="23">
        <v>8.36</v>
      </c>
      <c r="G479" s="23">
        <v>8.36</v>
      </c>
      <c r="H479" s="23">
        <v>8.36</v>
      </c>
      <c r="I479" s="23">
        <v>8.36</v>
      </c>
      <c r="J479" s="23">
        <v>8.36</v>
      </c>
      <c r="K479" s="23">
        <v>8.36</v>
      </c>
      <c r="L479" s="23">
        <v>8.36</v>
      </c>
      <c r="M479" s="23">
        <v>25</v>
      </c>
      <c r="N479" s="23">
        <v>4.2</v>
      </c>
      <c r="O479" s="24">
        <v>4.7199999999999999E-2</v>
      </c>
    </row>
    <row r="480" spans="1:15" x14ac:dyDescent="0.25">
      <c r="A480" s="18" t="s">
        <v>474</v>
      </c>
      <c r="B480" s="22">
        <v>7.24</v>
      </c>
      <c r="C480" s="23">
        <v>7.24</v>
      </c>
      <c r="D480" s="23">
        <v>7.24</v>
      </c>
      <c r="E480" s="23">
        <v>7.24</v>
      </c>
      <c r="F480" s="23">
        <v>7.24</v>
      </c>
      <c r="G480" s="23">
        <v>7.24</v>
      </c>
      <c r="H480" s="23">
        <v>7.24</v>
      </c>
      <c r="I480" s="23">
        <v>7.24</v>
      </c>
      <c r="J480" s="23">
        <v>7.24</v>
      </c>
      <c r="K480" s="23">
        <v>7.24</v>
      </c>
      <c r="L480" s="23">
        <v>7.24</v>
      </c>
      <c r="M480" s="23">
        <v>25</v>
      </c>
      <c r="N480" s="23">
        <v>2.8</v>
      </c>
      <c r="O480" s="24">
        <v>7.4499999999999997E-2</v>
      </c>
    </row>
    <row r="481" spans="1:15" x14ac:dyDescent="0.25">
      <c r="A481" s="18" t="s">
        <v>475</v>
      </c>
      <c r="B481" s="22">
        <v>6.88</v>
      </c>
      <c r="C481" s="23">
        <v>6.88</v>
      </c>
      <c r="D481" s="23">
        <v>6.88</v>
      </c>
      <c r="E481" s="23">
        <v>6.88</v>
      </c>
      <c r="F481" s="23">
        <v>6.88</v>
      </c>
      <c r="G481" s="23">
        <v>6.88</v>
      </c>
      <c r="H481" s="23">
        <v>6.88</v>
      </c>
      <c r="I481" s="23">
        <v>6.72</v>
      </c>
      <c r="J481" s="23">
        <v>6.88</v>
      </c>
      <c r="K481" s="23">
        <v>6.88</v>
      </c>
      <c r="L481" s="23">
        <v>6.72</v>
      </c>
      <c r="M481" s="23">
        <v>24</v>
      </c>
      <c r="N481" s="23">
        <v>2.4</v>
      </c>
      <c r="O481" s="24">
        <v>7.0000000000000007E-2</v>
      </c>
    </row>
    <row r="482" spans="1:15" x14ac:dyDescent="0.25">
      <c r="A482" s="18" t="s">
        <v>476</v>
      </c>
      <c r="B482" s="22">
        <v>8.1199999999999992</v>
      </c>
      <c r="C482" s="23">
        <v>8.1199999999999992</v>
      </c>
      <c r="D482" s="23">
        <v>8.1199999999999992</v>
      </c>
      <c r="E482" s="23">
        <v>8.1199999999999992</v>
      </c>
      <c r="F482" s="23">
        <v>8.1199999999999992</v>
      </c>
      <c r="G482" s="23">
        <v>8.1199999999999992</v>
      </c>
      <c r="H482" s="23">
        <v>8.1199999999999992</v>
      </c>
      <c r="I482" s="23">
        <v>8.1199999999999992</v>
      </c>
      <c r="J482" s="23">
        <v>8.1199999999999992</v>
      </c>
      <c r="K482" s="23">
        <v>8.1199999999999992</v>
      </c>
      <c r="L482" s="23">
        <v>8.1199999999999992</v>
      </c>
      <c r="M482" s="23">
        <v>27</v>
      </c>
      <c r="N482" s="23">
        <v>3.4</v>
      </c>
      <c r="O482" s="24">
        <v>7.6999999999999999E-2</v>
      </c>
    </row>
    <row r="483" spans="1:15" x14ac:dyDescent="0.25">
      <c r="A483" s="18" t="s">
        <v>477</v>
      </c>
      <c r="B483" s="22">
        <v>7.6</v>
      </c>
      <c r="C483" s="23">
        <v>7.6</v>
      </c>
      <c r="D483" s="23">
        <v>7.6</v>
      </c>
      <c r="E483" s="23">
        <v>7.6</v>
      </c>
      <c r="F483" s="23">
        <v>7.6</v>
      </c>
      <c r="G483" s="23">
        <v>7.6</v>
      </c>
      <c r="H483" s="23">
        <v>7.6</v>
      </c>
      <c r="I483" s="23">
        <v>7.6</v>
      </c>
      <c r="J483" s="23">
        <v>7.6</v>
      </c>
      <c r="K483" s="23">
        <v>7.6</v>
      </c>
      <c r="L483" s="23">
        <v>7.6</v>
      </c>
      <c r="M483" s="23">
        <v>26</v>
      </c>
      <c r="N483" s="23">
        <v>3</v>
      </c>
      <c r="O483" s="24">
        <v>7.5200000000000003E-2</v>
      </c>
    </row>
    <row r="484" spans="1:15" x14ac:dyDescent="0.25">
      <c r="A484" s="18" t="s">
        <v>478</v>
      </c>
      <c r="B484" s="22">
        <v>8.64</v>
      </c>
      <c r="C484" s="23">
        <v>8.64</v>
      </c>
      <c r="D484" s="23">
        <v>8.64</v>
      </c>
      <c r="E484" s="23">
        <v>8.64</v>
      </c>
      <c r="F484" s="23">
        <v>8.64</v>
      </c>
      <c r="G484" s="23">
        <v>8.64</v>
      </c>
      <c r="H484" s="23">
        <v>8.64</v>
      </c>
      <c r="I484" s="23">
        <v>8.64</v>
      </c>
      <c r="J484" s="23">
        <v>8.64</v>
      </c>
      <c r="K484" s="23">
        <v>8.64</v>
      </c>
      <c r="L484" s="23">
        <v>8.64</v>
      </c>
      <c r="M484" s="23">
        <v>28</v>
      </c>
      <c r="N484" s="23">
        <v>3.8</v>
      </c>
      <c r="O484" s="24">
        <v>7.8399999999999997E-2</v>
      </c>
    </row>
    <row r="485" spans="1:15" x14ac:dyDescent="0.25">
      <c r="A485" s="18" t="s">
        <v>479</v>
      </c>
      <c r="B485" s="22">
        <v>7.76</v>
      </c>
      <c r="C485" s="23">
        <v>7.8</v>
      </c>
      <c r="D485" s="23">
        <v>7.76</v>
      </c>
      <c r="E485" s="23">
        <v>7.8</v>
      </c>
      <c r="F485" s="23">
        <v>7.8</v>
      </c>
      <c r="G485" s="23">
        <v>7.8</v>
      </c>
      <c r="H485" s="23">
        <v>7.8</v>
      </c>
      <c r="I485" s="23">
        <v>7.76</v>
      </c>
      <c r="J485" s="23">
        <v>7.8</v>
      </c>
      <c r="K485" s="23">
        <v>7.8</v>
      </c>
      <c r="L485" s="23">
        <v>7.76</v>
      </c>
      <c r="M485" s="23">
        <v>22</v>
      </c>
      <c r="N485" s="23">
        <v>4.2</v>
      </c>
      <c r="O485" s="24">
        <v>6.6500000000000004E-2</v>
      </c>
    </row>
    <row r="486" spans="1:15" x14ac:dyDescent="0.25">
      <c r="A486" s="18" t="s">
        <v>480</v>
      </c>
      <c r="B486" s="22">
        <v>7.24</v>
      </c>
      <c r="C486" s="23">
        <v>7.44</v>
      </c>
      <c r="D486" s="23">
        <v>7.24</v>
      </c>
      <c r="E486" s="23">
        <v>7.44</v>
      </c>
      <c r="F486" s="23">
        <v>7.24</v>
      </c>
      <c r="G486" s="23">
        <v>7.44</v>
      </c>
      <c r="H486" s="23">
        <v>7.24</v>
      </c>
      <c r="I486" s="23">
        <v>7.24</v>
      </c>
      <c r="J486" s="23">
        <v>7.4</v>
      </c>
      <c r="K486" s="23">
        <v>7.24</v>
      </c>
      <c r="L486" s="23">
        <v>7.24</v>
      </c>
      <c r="M486" s="23">
        <v>21</v>
      </c>
      <c r="N486" s="23">
        <v>3.8</v>
      </c>
      <c r="O486" s="24">
        <v>6.3E-2</v>
      </c>
    </row>
    <row r="487" spans="1:15" x14ac:dyDescent="0.25">
      <c r="A487" s="18" t="s">
        <v>481</v>
      </c>
      <c r="B487" s="22">
        <v>8.16</v>
      </c>
      <c r="C487" s="23">
        <v>8</v>
      </c>
      <c r="D487" s="23">
        <v>8.16</v>
      </c>
      <c r="E487" s="23">
        <v>8.16</v>
      </c>
      <c r="F487" s="23">
        <v>8</v>
      </c>
      <c r="G487" s="23">
        <v>7.68</v>
      </c>
      <c r="H487" s="23">
        <v>8</v>
      </c>
      <c r="I487" s="23">
        <v>8.16</v>
      </c>
      <c r="J487" s="23">
        <v>7.68</v>
      </c>
      <c r="K487" s="23">
        <v>7.68</v>
      </c>
      <c r="L487" s="23">
        <v>7.68</v>
      </c>
      <c r="M487" s="23">
        <v>28</v>
      </c>
      <c r="N487" s="23">
        <v>2.6</v>
      </c>
      <c r="O487" s="24">
        <v>7.85E-2</v>
      </c>
    </row>
    <row r="488" spans="1:15" x14ac:dyDescent="0.25">
      <c r="A488" s="18" t="s">
        <v>482</v>
      </c>
      <c r="B488" s="22">
        <v>8.1999999999999993</v>
      </c>
      <c r="C488" s="23">
        <v>8.1999999999999993</v>
      </c>
      <c r="D488" s="23">
        <v>8.1999999999999993</v>
      </c>
      <c r="E488" s="23">
        <v>8.1999999999999993</v>
      </c>
      <c r="F488" s="23">
        <v>8.1999999999999993</v>
      </c>
      <c r="G488" s="23">
        <v>8.1999999999999993</v>
      </c>
      <c r="H488" s="23">
        <v>8.1999999999999993</v>
      </c>
      <c r="I488" s="23">
        <v>8.1999999999999993</v>
      </c>
      <c r="J488" s="23">
        <v>8.1999999999999993</v>
      </c>
      <c r="K488" s="23">
        <v>8.1999999999999993</v>
      </c>
      <c r="L488" s="23">
        <v>8.1999999999999993</v>
      </c>
      <c r="M488" s="23">
        <v>29</v>
      </c>
      <c r="N488" s="23">
        <v>3</v>
      </c>
      <c r="O488" s="24">
        <v>8.1300000000000011E-2</v>
      </c>
    </row>
    <row r="489" spans="1:15" x14ac:dyDescent="0.25">
      <c r="A489" s="18" t="s">
        <v>483</v>
      </c>
      <c r="B489" s="22">
        <v>7.04</v>
      </c>
      <c r="C489" s="23">
        <v>7.04</v>
      </c>
      <c r="D489" s="23">
        <v>7.04</v>
      </c>
      <c r="E489" s="23">
        <v>7.04</v>
      </c>
      <c r="F489" s="23">
        <v>7.04</v>
      </c>
      <c r="G489" s="23">
        <v>7.04</v>
      </c>
      <c r="H489" s="23">
        <v>7.04</v>
      </c>
      <c r="I489" s="23">
        <v>7.04</v>
      </c>
      <c r="J489" s="23">
        <v>7.04</v>
      </c>
      <c r="K489" s="23">
        <v>7.36</v>
      </c>
      <c r="L489" s="23">
        <v>7.04</v>
      </c>
      <c r="M489" s="23">
        <v>28</v>
      </c>
      <c r="N489" s="23">
        <v>1.8</v>
      </c>
      <c r="O489" s="24">
        <v>7.9600000000000004E-2</v>
      </c>
    </row>
    <row r="490" spans="1:15" x14ac:dyDescent="0.25">
      <c r="A490" s="18" t="s">
        <v>484</v>
      </c>
      <c r="B490" s="22">
        <v>4.5599999999999996</v>
      </c>
      <c r="C490" s="23">
        <v>4.5599999999999996</v>
      </c>
      <c r="D490" s="23">
        <v>4.5599999999999996</v>
      </c>
      <c r="E490" s="23">
        <v>4.5599999999999996</v>
      </c>
      <c r="F490" s="23">
        <v>4.5599999999999996</v>
      </c>
      <c r="G490" s="23">
        <v>4.5599999999999996</v>
      </c>
      <c r="H490" s="23">
        <v>4.5599999999999996</v>
      </c>
      <c r="I490" s="23">
        <v>4.5599999999999996</v>
      </c>
      <c r="J490" s="23">
        <v>4.5599999999999996</v>
      </c>
      <c r="K490" s="23">
        <v>4.5599999999999996</v>
      </c>
      <c r="L490" s="23">
        <v>4.5599999999999996</v>
      </c>
      <c r="M490" s="23">
        <v>22</v>
      </c>
      <c r="N490" s="23">
        <v>0.2</v>
      </c>
      <c r="O490" s="24">
        <v>9.2300000000000007E-2</v>
      </c>
    </row>
    <row r="491" spans="1:15" x14ac:dyDescent="0.25">
      <c r="A491" s="18" t="s">
        <v>485</v>
      </c>
      <c r="B491" s="22">
        <v>5.96</v>
      </c>
      <c r="C491" s="23">
        <v>5.96</v>
      </c>
      <c r="D491" s="23">
        <v>5.96</v>
      </c>
      <c r="E491" s="23">
        <v>5.96</v>
      </c>
      <c r="F491" s="23">
        <v>5.96</v>
      </c>
      <c r="G491" s="23">
        <v>5.96</v>
      </c>
      <c r="H491" s="23">
        <v>5.96</v>
      </c>
      <c r="I491" s="23">
        <v>5.96</v>
      </c>
      <c r="J491" s="23">
        <v>5.96</v>
      </c>
      <c r="K491" s="23">
        <v>5.96</v>
      </c>
      <c r="L491" s="23">
        <v>5.96</v>
      </c>
      <c r="M491" s="23">
        <v>29</v>
      </c>
      <c r="N491" s="23">
        <v>0.2</v>
      </c>
      <c r="O491" s="24">
        <v>0.11269999999999999</v>
      </c>
    </row>
    <row r="492" spans="1:15" x14ac:dyDescent="0.25">
      <c r="A492" s="18" t="s">
        <v>486</v>
      </c>
      <c r="B492" s="22">
        <v>5.72</v>
      </c>
      <c r="C492" s="23">
        <v>5.72</v>
      </c>
      <c r="D492" s="23">
        <v>5.72</v>
      </c>
      <c r="E492" s="23">
        <v>5.56</v>
      </c>
      <c r="F492" s="23">
        <v>5.72</v>
      </c>
      <c r="G492" s="23">
        <v>5.56</v>
      </c>
      <c r="H492" s="23">
        <v>5.56</v>
      </c>
      <c r="I492" s="23">
        <v>5.56</v>
      </c>
      <c r="J492" s="23">
        <v>5.72</v>
      </c>
      <c r="K492" s="23">
        <v>5.56</v>
      </c>
      <c r="L492" s="23">
        <v>5.56</v>
      </c>
      <c r="M492" s="23">
        <v>23</v>
      </c>
      <c r="N492" s="23">
        <v>1.2</v>
      </c>
      <c r="O492" s="24">
        <v>0.10050000000000001</v>
      </c>
    </row>
    <row r="493" spans="1:15" x14ac:dyDescent="0.25">
      <c r="A493" s="18" t="s">
        <v>487</v>
      </c>
      <c r="B493" s="22">
        <v>6.88</v>
      </c>
      <c r="C493" s="23">
        <v>6.72</v>
      </c>
      <c r="D493" s="23">
        <v>6.72</v>
      </c>
      <c r="E493" s="23">
        <v>6.56</v>
      </c>
      <c r="F493" s="23">
        <v>6.56</v>
      </c>
      <c r="G493" s="23">
        <v>6.72</v>
      </c>
      <c r="H493" s="23">
        <v>6.56</v>
      </c>
      <c r="I493" s="23">
        <v>6.72</v>
      </c>
      <c r="J493" s="23">
        <v>6.72</v>
      </c>
      <c r="K493" s="23">
        <v>6.72</v>
      </c>
      <c r="L493" s="23">
        <v>6.56</v>
      </c>
      <c r="M493" s="23">
        <v>24</v>
      </c>
      <c r="N493" s="23">
        <v>2.2000000000000002</v>
      </c>
      <c r="O493" s="24">
        <v>0.1009</v>
      </c>
    </row>
    <row r="494" spans="1:15" x14ac:dyDescent="0.25">
      <c r="A494" s="18" t="s">
        <v>488</v>
      </c>
      <c r="B494" s="22">
        <v>5.16</v>
      </c>
      <c r="C494" s="23">
        <v>5.16</v>
      </c>
      <c r="D494" s="23">
        <v>5.16</v>
      </c>
      <c r="E494" s="23">
        <v>5.16</v>
      </c>
      <c r="F494" s="23">
        <v>5.16</v>
      </c>
      <c r="G494" s="23">
        <v>5.16</v>
      </c>
      <c r="H494" s="23">
        <v>5.16</v>
      </c>
      <c r="I494" s="23">
        <v>5.16</v>
      </c>
      <c r="J494" s="23">
        <v>5.16</v>
      </c>
      <c r="K494" s="23">
        <v>5.16</v>
      </c>
      <c r="L494" s="23">
        <v>5.16</v>
      </c>
      <c r="M494" s="23">
        <v>21</v>
      </c>
      <c r="N494" s="23">
        <v>1.2</v>
      </c>
      <c r="O494" s="24">
        <v>8.3100000000000007E-2</v>
      </c>
    </row>
    <row r="495" spans="1:15" x14ac:dyDescent="0.25">
      <c r="A495" s="18" t="s">
        <v>489</v>
      </c>
      <c r="B495" s="22">
        <v>8.48</v>
      </c>
      <c r="C495" s="23">
        <v>8.48</v>
      </c>
      <c r="D495" s="23">
        <v>8.48</v>
      </c>
      <c r="E495" s="23">
        <v>8.44</v>
      </c>
      <c r="F495" s="23">
        <v>8.48</v>
      </c>
      <c r="G495" s="23">
        <v>8.48</v>
      </c>
      <c r="H495" s="23">
        <v>8.48</v>
      </c>
      <c r="I495" s="23">
        <v>8.48</v>
      </c>
      <c r="J495" s="23">
        <v>8.48</v>
      </c>
      <c r="K495" s="23">
        <v>8.48</v>
      </c>
      <c r="L495" s="23">
        <v>8.44</v>
      </c>
      <c r="M495" s="23">
        <v>27</v>
      </c>
      <c r="N495" s="23">
        <v>3.8</v>
      </c>
      <c r="O495" s="24">
        <v>0.1145</v>
      </c>
    </row>
    <row r="496" spans="1:15" x14ac:dyDescent="0.25">
      <c r="A496" s="18" t="s">
        <v>490</v>
      </c>
      <c r="B496" s="22">
        <v>10.84</v>
      </c>
      <c r="C496" s="23">
        <v>10.84</v>
      </c>
      <c r="D496" s="23">
        <v>10.84</v>
      </c>
      <c r="E496" s="23">
        <v>10.84</v>
      </c>
      <c r="F496" s="23">
        <v>11</v>
      </c>
      <c r="G496" s="23">
        <v>10.84</v>
      </c>
      <c r="H496" s="23">
        <v>10.84</v>
      </c>
      <c r="I496" s="23">
        <v>10.84</v>
      </c>
      <c r="J496" s="23">
        <v>11</v>
      </c>
      <c r="K496" s="23">
        <v>10.84</v>
      </c>
      <c r="L496" s="23">
        <v>10.84</v>
      </c>
      <c r="M496" s="23">
        <v>27</v>
      </c>
      <c r="N496" s="23">
        <v>6.8</v>
      </c>
      <c r="O496" s="24">
        <v>0.11219999999999999</v>
      </c>
    </row>
    <row r="497" spans="1:15" x14ac:dyDescent="0.25">
      <c r="A497" s="18" t="s">
        <v>491</v>
      </c>
      <c r="B497" s="22">
        <v>5.76</v>
      </c>
      <c r="C497" s="23">
        <v>5.76</v>
      </c>
      <c r="D497" s="23">
        <v>5.76</v>
      </c>
      <c r="E497" s="23">
        <v>5.76</v>
      </c>
      <c r="F497" s="23">
        <v>5.76</v>
      </c>
      <c r="G497" s="23">
        <v>5.76</v>
      </c>
      <c r="H497" s="23">
        <v>5.76</v>
      </c>
      <c r="I497" s="23">
        <v>5.76</v>
      </c>
      <c r="J497" s="23">
        <v>5.76</v>
      </c>
      <c r="K497" s="23">
        <v>5.76</v>
      </c>
      <c r="L497" s="23">
        <v>5.76</v>
      </c>
      <c r="M497" s="23">
        <v>24</v>
      </c>
      <c r="N497" s="23">
        <v>1.2</v>
      </c>
      <c r="O497" s="24">
        <v>9.870000000000001E-2</v>
      </c>
    </row>
    <row r="498" spans="1:15" x14ac:dyDescent="0.25">
      <c r="A498" s="18" t="s">
        <v>492</v>
      </c>
      <c r="B498" s="22">
        <v>10.8</v>
      </c>
      <c r="C498" s="23">
        <v>10.8</v>
      </c>
      <c r="D498" s="23">
        <v>10.8</v>
      </c>
      <c r="E498" s="23">
        <v>10.8</v>
      </c>
      <c r="F498" s="23">
        <v>10.8</v>
      </c>
      <c r="G498" s="23">
        <v>10.8</v>
      </c>
      <c r="H498" s="23">
        <v>10.8</v>
      </c>
      <c r="I498" s="23">
        <v>10.8</v>
      </c>
      <c r="J498" s="23">
        <v>10.8</v>
      </c>
      <c r="K498" s="23">
        <v>10.8</v>
      </c>
      <c r="L498" s="23">
        <v>10.8</v>
      </c>
      <c r="M498" s="23">
        <v>30</v>
      </c>
      <c r="N498" s="23">
        <v>6</v>
      </c>
      <c r="O498" s="24">
        <v>0.11799999999999999</v>
      </c>
    </row>
    <row r="499" spans="1:15" x14ac:dyDescent="0.25">
      <c r="A499" s="18" t="s">
        <v>493</v>
      </c>
      <c r="B499" s="22">
        <v>9.64</v>
      </c>
      <c r="C499" s="23">
        <v>9.64</v>
      </c>
      <c r="D499" s="23">
        <v>9.64</v>
      </c>
      <c r="E499" s="23">
        <v>9.8000000000000007</v>
      </c>
      <c r="F499" s="23">
        <v>9.84</v>
      </c>
      <c r="G499" s="23">
        <v>9.8000000000000007</v>
      </c>
      <c r="H499" s="23">
        <v>9.8000000000000007</v>
      </c>
      <c r="I499" s="23">
        <v>9.64</v>
      </c>
      <c r="J499" s="23">
        <v>9.64</v>
      </c>
      <c r="K499" s="23">
        <v>9.8000000000000007</v>
      </c>
      <c r="L499" s="23">
        <v>9.64</v>
      </c>
      <c r="M499" s="23">
        <v>25</v>
      </c>
      <c r="N499" s="23">
        <v>5.8</v>
      </c>
      <c r="O499" s="24">
        <v>0.1022</v>
      </c>
    </row>
    <row r="500" spans="1:15" x14ac:dyDescent="0.25">
      <c r="A500" s="18" t="s">
        <v>494</v>
      </c>
      <c r="B500" s="22">
        <v>7.28</v>
      </c>
      <c r="C500" s="23">
        <v>7.24</v>
      </c>
      <c r="D500" s="23">
        <v>7.28</v>
      </c>
      <c r="E500" s="23">
        <v>7.28</v>
      </c>
      <c r="F500" s="23">
        <v>7.24</v>
      </c>
      <c r="G500" s="23">
        <v>7.28</v>
      </c>
      <c r="H500" s="23">
        <v>7.28</v>
      </c>
      <c r="I500" s="23">
        <v>7.28</v>
      </c>
      <c r="J500" s="23">
        <v>7.28</v>
      </c>
      <c r="K500" s="23">
        <v>7.28</v>
      </c>
      <c r="L500" s="23">
        <v>7.24</v>
      </c>
      <c r="M500" s="23">
        <v>25</v>
      </c>
      <c r="N500" s="23">
        <v>2.8</v>
      </c>
      <c r="O500" s="24">
        <v>0.12820000000000001</v>
      </c>
    </row>
    <row r="501" spans="1:15" x14ac:dyDescent="0.25">
      <c r="A501" s="18" t="s">
        <v>495</v>
      </c>
      <c r="B501" s="22">
        <v>5</v>
      </c>
      <c r="C501" s="23">
        <v>5</v>
      </c>
      <c r="D501" s="23">
        <v>5</v>
      </c>
      <c r="E501" s="23">
        <v>5</v>
      </c>
      <c r="F501" s="23">
        <v>5</v>
      </c>
      <c r="G501" s="23">
        <v>5</v>
      </c>
      <c r="H501" s="23">
        <v>5</v>
      </c>
      <c r="I501" s="23">
        <v>5</v>
      </c>
      <c r="J501" s="23">
        <v>5</v>
      </c>
      <c r="K501" s="23">
        <v>5</v>
      </c>
      <c r="L501" s="23">
        <v>5</v>
      </c>
      <c r="M501" s="23">
        <v>25</v>
      </c>
      <c r="N501" s="23">
        <v>0</v>
      </c>
      <c r="O501" s="24">
        <v>0.1207</v>
      </c>
    </row>
    <row r="502" spans="1:15" x14ac:dyDescent="0.25">
      <c r="A502" s="18" t="s">
        <v>496</v>
      </c>
      <c r="B502" s="22">
        <v>6.2</v>
      </c>
      <c r="C502" s="23">
        <v>6.2</v>
      </c>
      <c r="D502" s="23">
        <v>6.2</v>
      </c>
      <c r="E502" s="23">
        <v>6.2</v>
      </c>
      <c r="F502" s="23">
        <v>6.2</v>
      </c>
      <c r="G502" s="23">
        <v>6.2</v>
      </c>
      <c r="H502" s="23">
        <v>6.2</v>
      </c>
      <c r="I502" s="23">
        <v>6.2</v>
      </c>
      <c r="J502" s="23">
        <v>6.2</v>
      </c>
      <c r="K502" s="23">
        <v>6.2</v>
      </c>
      <c r="L502" s="23">
        <v>6.2</v>
      </c>
      <c r="M502" s="23">
        <v>27</v>
      </c>
      <c r="N502" s="23">
        <v>1</v>
      </c>
      <c r="O502" s="24">
        <v>0.12620000000000001</v>
      </c>
    </row>
    <row r="503" spans="1:15" x14ac:dyDescent="0.25">
      <c r="A503" s="18" t="s">
        <v>497</v>
      </c>
      <c r="B503" s="22">
        <v>6.96</v>
      </c>
      <c r="C503" s="23">
        <v>6.8</v>
      </c>
      <c r="D503" s="23">
        <v>6.96</v>
      </c>
      <c r="E503" s="23">
        <v>6.8</v>
      </c>
      <c r="F503" s="23">
        <v>6.96</v>
      </c>
      <c r="G503" s="23">
        <v>6.8</v>
      </c>
      <c r="H503" s="23">
        <v>6.8</v>
      </c>
      <c r="I503" s="23">
        <v>6.8</v>
      </c>
      <c r="J503" s="23">
        <v>6.8</v>
      </c>
      <c r="K503" s="23">
        <v>6.96</v>
      </c>
      <c r="L503" s="23">
        <v>6.8</v>
      </c>
      <c r="M503" s="23">
        <v>22</v>
      </c>
      <c r="N503" s="23">
        <v>3</v>
      </c>
      <c r="O503" s="24">
        <v>0.1119</v>
      </c>
    </row>
    <row r="504" spans="1:15" x14ac:dyDescent="0.25">
      <c r="A504" s="18" t="s">
        <v>498</v>
      </c>
      <c r="B504" s="22">
        <v>5.52</v>
      </c>
      <c r="C504" s="23">
        <v>5.52</v>
      </c>
      <c r="D504" s="23">
        <v>5.52</v>
      </c>
      <c r="E504" s="23">
        <v>5.52</v>
      </c>
      <c r="F504" s="23">
        <v>5.52</v>
      </c>
      <c r="G504" s="23">
        <v>5.52</v>
      </c>
      <c r="H504" s="23">
        <v>5.52</v>
      </c>
      <c r="I504" s="23">
        <v>5.52</v>
      </c>
      <c r="J504" s="23">
        <v>5.52</v>
      </c>
      <c r="K504" s="23">
        <v>5.52</v>
      </c>
      <c r="L504" s="23">
        <v>5.52</v>
      </c>
      <c r="M504" s="23">
        <v>22</v>
      </c>
      <c r="N504" s="23">
        <v>1.4</v>
      </c>
      <c r="O504" s="24">
        <v>0.1057</v>
      </c>
    </row>
    <row r="505" spans="1:15" x14ac:dyDescent="0.25">
      <c r="A505" s="18" t="s">
        <v>499</v>
      </c>
      <c r="B505" s="22">
        <v>7.28</v>
      </c>
      <c r="C505" s="23">
        <v>7.28</v>
      </c>
      <c r="D505" s="23">
        <v>7.28</v>
      </c>
      <c r="E505" s="23">
        <v>7.28</v>
      </c>
      <c r="F505" s="23">
        <v>7.28</v>
      </c>
      <c r="G505" s="23">
        <v>7.28</v>
      </c>
      <c r="H505" s="23">
        <v>7.28</v>
      </c>
      <c r="I505" s="23">
        <v>7.28</v>
      </c>
      <c r="J505" s="23">
        <v>7.28</v>
      </c>
      <c r="K505" s="23">
        <v>7.28</v>
      </c>
      <c r="L505" s="23">
        <v>7.28</v>
      </c>
      <c r="M505" s="23">
        <v>26</v>
      </c>
      <c r="N505" s="23">
        <v>2.6</v>
      </c>
      <c r="O505" s="24">
        <v>0.12429999999999999</v>
      </c>
    </row>
    <row r="506" spans="1:15" x14ac:dyDescent="0.25">
      <c r="A506" s="18" t="s">
        <v>500</v>
      </c>
      <c r="B506" s="22">
        <v>5.24</v>
      </c>
      <c r="C506" s="23">
        <v>5.24</v>
      </c>
      <c r="D506" s="23">
        <v>5.24</v>
      </c>
      <c r="E506" s="23">
        <v>5.24</v>
      </c>
      <c r="F506" s="23">
        <v>5.24</v>
      </c>
      <c r="G506" s="23">
        <v>5.24</v>
      </c>
      <c r="H506" s="23">
        <v>5.24</v>
      </c>
      <c r="I506" s="23">
        <v>5.24</v>
      </c>
      <c r="J506" s="23">
        <v>5.04</v>
      </c>
      <c r="K506" s="23">
        <v>5.24</v>
      </c>
      <c r="L506" s="23">
        <v>5.04</v>
      </c>
      <c r="M506" s="23">
        <v>22</v>
      </c>
      <c r="N506" s="23">
        <v>0.8</v>
      </c>
      <c r="O506" s="24">
        <v>0.1109</v>
      </c>
    </row>
    <row r="507" spans="1:15" x14ac:dyDescent="0.25">
      <c r="A507" s="18" t="s">
        <v>501</v>
      </c>
      <c r="B507" s="22">
        <v>6.36</v>
      </c>
      <c r="C507" s="23">
        <v>6.36</v>
      </c>
      <c r="D507" s="23">
        <v>6.36</v>
      </c>
      <c r="E507" s="23">
        <v>6.36</v>
      </c>
      <c r="F507" s="23">
        <v>6.36</v>
      </c>
      <c r="G507" s="23">
        <v>6.36</v>
      </c>
      <c r="H507" s="23">
        <v>6.36</v>
      </c>
      <c r="I507" s="23">
        <v>6.36</v>
      </c>
      <c r="J507" s="23">
        <v>6.36</v>
      </c>
      <c r="K507" s="23">
        <v>6.36</v>
      </c>
      <c r="L507" s="23">
        <v>6.36</v>
      </c>
      <c r="M507" s="23">
        <v>27</v>
      </c>
      <c r="N507" s="23">
        <v>1.2</v>
      </c>
      <c r="O507" s="24">
        <v>0.12130000000000001</v>
      </c>
    </row>
    <row r="508" spans="1:15" x14ac:dyDescent="0.25">
      <c r="A508" s="18" t="s">
        <v>502</v>
      </c>
      <c r="B508" s="22">
        <v>6.84</v>
      </c>
      <c r="C508" s="23">
        <v>6.84</v>
      </c>
      <c r="D508" s="23">
        <v>6.84</v>
      </c>
      <c r="E508" s="23">
        <v>6.84</v>
      </c>
      <c r="F508" s="23">
        <v>6.84</v>
      </c>
      <c r="G508" s="23">
        <v>6.84</v>
      </c>
      <c r="H508" s="23">
        <v>6.84</v>
      </c>
      <c r="I508" s="23">
        <v>6.84</v>
      </c>
      <c r="J508" s="23">
        <v>6.84</v>
      </c>
      <c r="K508" s="23">
        <v>6.84</v>
      </c>
      <c r="L508" s="23">
        <v>6.84</v>
      </c>
      <c r="M508" s="23">
        <v>27</v>
      </c>
      <c r="N508" s="23">
        <v>1.8</v>
      </c>
      <c r="O508" s="24">
        <v>0.12870000000000001</v>
      </c>
    </row>
    <row r="509" spans="1:15" x14ac:dyDescent="0.25">
      <c r="A509" s="18" t="s">
        <v>503</v>
      </c>
      <c r="B509" s="22">
        <v>5.64</v>
      </c>
      <c r="C509" s="23">
        <v>5.64</v>
      </c>
      <c r="D509" s="23">
        <v>5.64</v>
      </c>
      <c r="E509" s="23">
        <v>5.64</v>
      </c>
      <c r="F509" s="23">
        <v>5.64</v>
      </c>
      <c r="G509" s="23">
        <v>5.64</v>
      </c>
      <c r="H509" s="23">
        <v>5.64</v>
      </c>
      <c r="I509" s="23">
        <v>5.64</v>
      </c>
      <c r="J509" s="23">
        <v>5.64</v>
      </c>
      <c r="K509" s="23">
        <v>5.64</v>
      </c>
      <c r="L509" s="23">
        <v>5.64</v>
      </c>
      <c r="M509" s="23">
        <v>25</v>
      </c>
      <c r="N509" s="23">
        <v>0.8</v>
      </c>
      <c r="O509" s="24">
        <v>0.121</v>
      </c>
    </row>
    <row r="510" spans="1:15" x14ac:dyDescent="0.25">
      <c r="A510" s="18" t="s">
        <v>504</v>
      </c>
      <c r="B510" s="22">
        <v>7.24</v>
      </c>
      <c r="C510" s="23">
        <v>7.24</v>
      </c>
      <c r="D510" s="23">
        <v>7.24</v>
      </c>
      <c r="E510" s="23">
        <v>7.24</v>
      </c>
      <c r="F510" s="23">
        <v>7.24</v>
      </c>
      <c r="G510" s="23">
        <v>7.24</v>
      </c>
      <c r="H510" s="23">
        <v>7.24</v>
      </c>
      <c r="I510" s="23">
        <v>7.24</v>
      </c>
      <c r="J510" s="23">
        <v>7.24</v>
      </c>
      <c r="K510" s="23">
        <v>7.2</v>
      </c>
      <c r="L510" s="23">
        <v>7.2</v>
      </c>
      <c r="M510" s="23">
        <v>24</v>
      </c>
      <c r="N510" s="23">
        <v>3</v>
      </c>
      <c r="O510" s="24">
        <v>1.41E-2</v>
      </c>
    </row>
    <row r="511" spans="1:15" x14ac:dyDescent="0.25">
      <c r="A511" s="18" t="s">
        <v>505</v>
      </c>
      <c r="B511" s="22">
        <v>6.6</v>
      </c>
      <c r="C511" s="23">
        <v>6.6</v>
      </c>
      <c r="D511" s="23">
        <v>6.6</v>
      </c>
      <c r="E511" s="23">
        <v>6.6</v>
      </c>
      <c r="F511" s="23">
        <v>6.6</v>
      </c>
      <c r="G511" s="23">
        <v>6.6</v>
      </c>
      <c r="H511" s="23">
        <v>6.6</v>
      </c>
      <c r="I511" s="23">
        <v>6.6</v>
      </c>
      <c r="J511" s="23">
        <v>6.6</v>
      </c>
      <c r="K511" s="23">
        <v>6.6</v>
      </c>
      <c r="L511" s="23">
        <v>6.6</v>
      </c>
      <c r="M511" s="23">
        <v>29</v>
      </c>
      <c r="N511" s="23">
        <v>1</v>
      </c>
      <c r="O511" s="24">
        <v>1.4200000000000001E-2</v>
      </c>
    </row>
    <row r="512" spans="1:15" x14ac:dyDescent="0.25">
      <c r="A512" s="18" t="s">
        <v>506</v>
      </c>
      <c r="B512" s="22">
        <v>7.12</v>
      </c>
      <c r="C512" s="23">
        <v>7.12</v>
      </c>
      <c r="D512" s="23">
        <v>7.12</v>
      </c>
      <c r="E512" s="23">
        <v>7.12</v>
      </c>
      <c r="F512" s="23">
        <v>7.12</v>
      </c>
      <c r="G512" s="23">
        <v>7.12</v>
      </c>
      <c r="H512" s="23">
        <v>7.12</v>
      </c>
      <c r="I512" s="23">
        <v>7.12</v>
      </c>
      <c r="J512" s="23">
        <v>7.12</v>
      </c>
      <c r="K512" s="23">
        <v>7.12</v>
      </c>
      <c r="L512" s="23">
        <v>7.12</v>
      </c>
      <c r="M512" s="23">
        <v>26</v>
      </c>
      <c r="N512" s="23">
        <v>2.4</v>
      </c>
      <c r="O512" s="24">
        <v>1.41E-2</v>
      </c>
    </row>
    <row r="513" spans="1:15" x14ac:dyDescent="0.25">
      <c r="A513" s="18" t="s">
        <v>507</v>
      </c>
      <c r="B513" s="22">
        <v>5.48</v>
      </c>
      <c r="C513" s="23">
        <v>5.48</v>
      </c>
      <c r="D513" s="23">
        <v>5.48</v>
      </c>
      <c r="E513" s="23">
        <v>5.48</v>
      </c>
      <c r="F513" s="23">
        <v>5.48</v>
      </c>
      <c r="G513" s="23">
        <v>5.48</v>
      </c>
      <c r="H513" s="23">
        <v>5.48</v>
      </c>
      <c r="I513" s="23">
        <v>5.48</v>
      </c>
      <c r="J513" s="23">
        <v>5.48</v>
      </c>
      <c r="K513" s="23">
        <v>5.48</v>
      </c>
      <c r="L513" s="23">
        <v>5.48</v>
      </c>
      <c r="M513" s="23">
        <v>21</v>
      </c>
      <c r="N513" s="23">
        <v>1.6</v>
      </c>
      <c r="O513" s="24">
        <v>1.1900000000000001E-2</v>
      </c>
    </row>
    <row r="514" spans="1:15" x14ac:dyDescent="0.25">
      <c r="A514" s="18" t="s">
        <v>508</v>
      </c>
      <c r="B514" s="22">
        <v>8.0399999999999991</v>
      </c>
      <c r="C514" s="23">
        <v>8.0399999999999991</v>
      </c>
      <c r="D514" s="23">
        <v>8.0399999999999991</v>
      </c>
      <c r="E514" s="23">
        <v>8.0399999999999991</v>
      </c>
      <c r="F514" s="23">
        <v>8.0399999999999991</v>
      </c>
      <c r="G514" s="23">
        <v>8.0399999999999991</v>
      </c>
      <c r="H514" s="23">
        <v>8.0399999999999991</v>
      </c>
      <c r="I514" s="23">
        <v>8.0399999999999991</v>
      </c>
      <c r="J514" s="23">
        <v>8.0399999999999991</v>
      </c>
      <c r="K514" s="23">
        <v>8.0399999999999991</v>
      </c>
      <c r="L514" s="23">
        <v>8.0399999999999991</v>
      </c>
      <c r="M514" s="23">
        <v>25</v>
      </c>
      <c r="N514" s="23">
        <v>3.8</v>
      </c>
      <c r="O514" s="24">
        <v>1.37E-2</v>
      </c>
    </row>
    <row r="515" spans="1:15" x14ac:dyDescent="0.25">
      <c r="A515" s="18" t="s">
        <v>509</v>
      </c>
      <c r="B515" s="22">
        <v>7.28</v>
      </c>
      <c r="C515" s="23">
        <v>7.08</v>
      </c>
      <c r="D515" s="23">
        <v>7.28</v>
      </c>
      <c r="E515" s="23">
        <v>7.28</v>
      </c>
      <c r="F515" s="23">
        <v>7.28</v>
      </c>
      <c r="G515" s="23">
        <v>7.08</v>
      </c>
      <c r="H515" s="23">
        <v>7.24</v>
      </c>
      <c r="I515" s="23">
        <v>7.28</v>
      </c>
      <c r="J515" s="23">
        <v>7.24</v>
      </c>
      <c r="K515" s="23">
        <v>7.28</v>
      </c>
      <c r="L515" s="23">
        <v>7.08</v>
      </c>
      <c r="M515" s="23">
        <v>25</v>
      </c>
      <c r="N515" s="23">
        <v>2.6</v>
      </c>
      <c r="O515" s="24">
        <v>1.34E-2</v>
      </c>
    </row>
    <row r="516" spans="1:15" x14ac:dyDescent="0.25">
      <c r="A516" s="18" t="s">
        <v>510</v>
      </c>
      <c r="B516" s="22">
        <v>8.0399999999999991</v>
      </c>
      <c r="C516" s="23">
        <v>8.0399999999999991</v>
      </c>
      <c r="D516" s="23">
        <v>8.0399999999999991</v>
      </c>
      <c r="E516" s="23">
        <v>8.0399999999999991</v>
      </c>
      <c r="F516" s="23">
        <v>8.0399999999999991</v>
      </c>
      <c r="G516" s="23">
        <v>8.0399999999999991</v>
      </c>
      <c r="H516" s="23">
        <v>8.0399999999999991</v>
      </c>
      <c r="I516" s="23">
        <v>8.0399999999999991</v>
      </c>
      <c r="J516" s="23">
        <v>8.0399999999999991</v>
      </c>
      <c r="K516" s="23">
        <v>8.0399999999999991</v>
      </c>
      <c r="L516" s="23">
        <v>8.0399999999999991</v>
      </c>
      <c r="M516" s="23">
        <v>25</v>
      </c>
      <c r="N516" s="23">
        <v>3.8</v>
      </c>
      <c r="O516" s="24">
        <v>1.4E-2</v>
      </c>
    </row>
    <row r="517" spans="1:15" x14ac:dyDescent="0.25">
      <c r="A517" s="18" t="s">
        <v>511</v>
      </c>
      <c r="B517" s="22">
        <v>8.7200000000000006</v>
      </c>
      <c r="C517" s="23">
        <v>8.7200000000000006</v>
      </c>
      <c r="D517" s="23">
        <v>8.68</v>
      </c>
      <c r="E517" s="23">
        <v>8.7200000000000006</v>
      </c>
      <c r="F517" s="23">
        <v>8.56</v>
      </c>
      <c r="G517" s="23">
        <v>8.7200000000000006</v>
      </c>
      <c r="H517" s="23">
        <v>8.68</v>
      </c>
      <c r="I517" s="23">
        <v>8.7200000000000006</v>
      </c>
      <c r="J517" s="23">
        <v>8.7200000000000006</v>
      </c>
      <c r="K517" s="23">
        <v>8.56</v>
      </c>
      <c r="L517" s="23">
        <v>8.56</v>
      </c>
      <c r="M517" s="23">
        <v>26</v>
      </c>
      <c r="N517" s="23">
        <v>4.2</v>
      </c>
      <c r="O517" s="24">
        <v>1.4E-2</v>
      </c>
    </row>
    <row r="518" spans="1:15" x14ac:dyDescent="0.25">
      <c r="A518" s="18" t="s">
        <v>512</v>
      </c>
      <c r="B518" s="22">
        <v>7.04</v>
      </c>
      <c r="C518" s="23">
        <v>7.04</v>
      </c>
      <c r="D518" s="23">
        <v>7.04</v>
      </c>
      <c r="E518" s="23">
        <v>7.04</v>
      </c>
      <c r="F518" s="23">
        <v>7.04</v>
      </c>
      <c r="G518" s="23">
        <v>7.04</v>
      </c>
      <c r="H518" s="23">
        <v>7.04</v>
      </c>
      <c r="I518" s="23">
        <v>7.2</v>
      </c>
      <c r="J518" s="23">
        <v>7.04</v>
      </c>
      <c r="K518" s="23">
        <v>7.2</v>
      </c>
      <c r="L518" s="23">
        <v>7.04</v>
      </c>
      <c r="M518" s="23">
        <v>24</v>
      </c>
      <c r="N518" s="23">
        <v>2.8</v>
      </c>
      <c r="O518" s="24">
        <v>1.3299999999999999E-2</v>
      </c>
    </row>
    <row r="519" spans="1:15" x14ac:dyDescent="0.25">
      <c r="A519" s="18" t="s">
        <v>513</v>
      </c>
      <c r="B519" s="22">
        <v>8.36</v>
      </c>
      <c r="C519" s="23">
        <v>8.36</v>
      </c>
      <c r="D519" s="23">
        <v>8.36</v>
      </c>
      <c r="E519" s="23">
        <v>8.36</v>
      </c>
      <c r="F519" s="23">
        <v>8.36</v>
      </c>
      <c r="G519" s="23">
        <v>8.36</v>
      </c>
      <c r="H519" s="23">
        <v>8.36</v>
      </c>
      <c r="I519" s="23">
        <v>8.36</v>
      </c>
      <c r="J519" s="23">
        <v>8.36</v>
      </c>
      <c r="K519" s="23">
        <v>8.36</v>
      </c>
      <c r="L519" s="23">
        <v>8.36</v>
      </c>
      <c r="M519" s="23">
        <v>25</v>
      </c>
      <c r="N519" s="23">
        <v>4.2</v>
      </c>
      <c r="O519" s="24">
        <v>1.4E-2</v>
      </c>
    </row>
    <row r="520" spans="1:15" x14ac:dyDescent="0.25">
      <c r="A520" s="18" t="s">
        <v>514</v>
      </c>
      <c r="B520" s="22">
        <v>10.199999999999999</v>
      </c>
      <c r="C520" s="23">
        <v>10.199999999999999</v>
      </c>
      <c r="D520" s="23">
        <v>10.199999999999999</v>
      </c>
      <c r="E520" s="23">
        <v>10.039999999999999</v>
      </c>
      <c r="F520" s="23">
        <v>10.199999999999999</v>
      </c>
      <c r="G520" s="23">
        <v>10.199999999999999</v>
      </c>
      <c r="H520" s="23">
        <v>10.199999999999999</v>
      </c>
      <c r="I520" s="23">
        <v>10.199999999999999</v>
      </c>
      <c r="J520" s="23">
        <v>10.199999999999999</v>
      </c>
      <c r="K520" s="23">
        <v>10.039999999999999</v>
      </c>
      <c r="L520" s="23">
        <v>10.039999999999999</v>
      </c>
      <c r="M520" s="23">
        <v>31</v>
      </c>
      <c r="N520" s="23">
        <v>4.8</v>
      </c>
      <c r="O520" s="24">
        <v>0.2006</v>
      </c>
    </row>
    <row r="521" spans="1:15" x14ac:dyDescent="0.25">
      <c r="A521" s="18" t="s">
        <v>515</v>
      </c>
      <c r="B521" s="22">
        <v>7.8</v>
      </c>
      <c r="C521" s="23">
        <v>7.48</v>
      </c>
      <c r="D521" s="23">
        <v>8.1199999999999992</v>
      </c>
      <c r="E521" s="23">
        <v>7.64</v>
      </c>
      <c r="F521" s="23">
        <v>8.1199999999999992</v>
      </c>
      <c r="G521" s="23">
        <v>7.48</v>
      </c>
      <c r="H521" s="23">
        <v>7.48</v>
      </c>
      <c r="I521" s="23">
        <v>7.48</v>
      </c>
      <c r="J521" s="23">
        <v>7.8</v>
      </c>
      <c r="K521" s="23">
        <v>8.1199999999999992</v>
      </c>
      <c r="L521" s="23">
        <v>7.48</v>
      </c>
      <c r="M521" s="23">
        <v>23</v>
      </c>
      <c r="N521" s="23">
        <v>3.6</v>
      </c>
      <c r="O521" s="24">
        <v>0.1545</v>
      </c>
    </row>
    <row r="522" spans="1:15" x14ac:dyDescent="0.25">
      <c r="A522" s="18" t="s">
        <v>516</v>
      </c>
      <c r="B522" s="22">
        <v>5.4</v>
      </c>
      <c r="C522" s="23">
        <v>5.4</v>
      </c>
      <c r="D522" s="23">
        <v>5.4</v>
      </c>
      <c r="E522" s="23">
        <v>5.4</v>
      </c>
      <c r="F522" s="23">
        <v>5.4</v>
      </c>
      <c r="G522" s="23">
        <v>5.4</v>
      </c>
      <c r="H522" s="23">
        <v>5.4</v>
      </c>
      <c r="I522" s="23">
        <v>5.4</v>
      </c>
      <c r="J522" s="23">
        <v>5.4</v>
      </c>
      <c r="K522" s="23">
        <v>5.4</v>
      </c>
      <c r="L522" s="23">
        <v>5.4</v>
      </c>
      <c r="M522" s="23">
        <v>27</v>
      </c>
      <c r="N522" s="23">
        <v>0</v>
      </c>
      <c r="O522" s="24">
        <v>0.16839999999999999</v>
      </c>
    </row>
    <row r="523" spans="1:15" x14ac:dyDescent="0.25">
      <c r="A523" s="18" t="s">
        <v>517</v>
      </c>
      <c r="B523" s="22">
        <v>5.2</v>
      </c>
      <c r="C523" s="23">
        <v>5.2</v>
      </c>
      <c r="D523" s="23">
        <v>5.2</v>
      </c>
      <c r="E523" s="23">
        <v>5.2</v>
      </c>
      <c r="F523" s="23">
        <v>5.2</v>
      </c>
      <c r="G523" s="23">
        <v>5.2</v>
      </c>
      <c r="H523" s="23">
        <v>5.2</v>
      </c>
      <c r="I523" s="23">
        <v>5.2</v>
      </c>
      <c r="J523" s="23">
        <v>5.2</v>
      </c>
      <c r="K523" s="23">
        <v>5.2</v>
      </c>
      <c r="L523" s="23">
        <v>5.2</v>
      </c>
      <c r="M523" s="23">
        <v>26</v>
      </c>
      <c r="N523" s="23">
        <v>0</v>
      </c>
      <c r="O523" s="24">
        <v>0.1661</v>
      </c>
    </row>
    <row r="524" spans="1:15" x14ac:dyDescent="0.25">
      <c r="A524" s="18" t="s">
        <v>518</v>
      </c>
      <c r="B524" s="22">
        <v>4.8</v>
      </c>
      <c r="C524" s="23">
        <v>4.8</v>
      </c>
      <c r="D524" s="23">
        <v>4.8</v>
      </c>
      <c r="E524" s="23">
        <v>4.8</v>
      </c>
      <c r="F524" s="23">
        <v>4.8</v>
      </c>
      <c r="G524" s="23">
        <v>4.8</v>
      </c>
      <c r="H524" s="23">
        <v>4.8</v>
      </c>
      <c r="I524" s="23">
        <v>4.8</v>
      </c>
      <c r="J524" s="23">
        <v>4.8</v>
      </c>
      <c r="K524" s="23">
        <v>4.8</v>
      </c>
      <c r="L524" s="23">
        <v>4.8</v>
      </c>
      <c r="M524" s="23">
        <v>24</v>
      </c>
      <c r="N524" s="23">
        <v>0</v>
      </c>
      <c r="O524" s="24">
        <v>0.16039999999999999</v>
      </c>
    </row>
    <row r="525" spans="1:15" x14ac:dyDescent="0.25">
      <c r="A525" s="18" t="s">
        <v>519</v>
      </c>
      <c r="B525" s="22">
        <v>5</v>
      </c>
      <c r="C525" s="23">
        <v>5</v>
      </c>
      <c r="D525" s="23">
        <v>5</v>
      </c>
      <c r="E525" s="23">
        <v>5</v>
      </c>
      <c r="F525" s="23">
        <v>5</v>
      </c>
      <c r="G525" s="23">
        <v>5</v>
      </c>
      <c r="H525" s="23">
        <v>5</v>
      </c>
      <c r="I525" s="23">
        <v>5</v>
      </c>
      <c r="J525" s="23">
        <v>5</v>
      </c>
      <c r="K525" s="23">
        <v>5</v>
      </c>
      <c r="L525" s="23">
        <v>5</v>
      </c>
      <c r="M525" s="23">
        <v>25</v>
      </c>
      <c r="N525" s="23">
        <v>0</v>
      </c>
      <c r="O525" s="24">
        <v>0.16689999999999999</v>
      </c>
    </row>
    <row r="526" spans="1:15" x14ac:dyDescent="0.25">
      <c r="A526" s="18" t="s">
        <v>520</v>
      </c>
      <c r="B526" s="22">
        <v>5</v>
      </c>
      <c r="C526" s="23">
        <v>5</v>
      </c>
      <c r="D526" s="23">
        <v>5</v>
      </c>
      <c r="E526" s="23">
        <v>5</v>
      </c>
      <c r="F526" s="23">
        <v>5</v>
      </c>
      <c r="G526" s="23">
        <v>5</v>
      </c>
      <c r="H526" s="23">
        <v>5</v>
      </c>
      <c r="I526" s="23">
        <v>5</v>
      </c>
      <c r="J526" s="23">
        <v>5</v>
      </c>
      <c r="K526" s="23">
        <v>5</v>
      </c>
      <c r="L526" s="23">
        <v>5</v>
      </c>
      <c r="M526" s="23">
        <v>25</v>
      </c>
      <c r="N526" s="23">
        <v>0</v>
      </c>
      <c r="O526" s="24">
        <v>0.16639999999999999</v>
      </c>
    </row>
    <row r="527" spans="1:15" x14ac:dyDescent="0.25">
      <c r="A527" s="18" t="s">
        <v>521</v>
      </c>
      <c r="B527" s="22">
        <v>7.52</v>
      </c>
      <c r="C527" s="23">
        <v>7.52</v>
      </c>
      <c r="D527" s="23">
        <v>7.56</v>
      </c>
      <c r="E527" s="23">
        <v>7.56</v>
      </c>
      <c r="F527" s="23">
        <v>7.52</v>
      </c>
      <c r="G527" s="23">
        <v>7.56</v>
      </c>
      <c r="H527" s="23">
        <v>7.52</v>
      </c>
      <c r="I527" s="23">
        <v>7.52</v>
      </c>
      <c r="J527" s="23">
        <v>7.52</v>
      </c>
      <c r="K527" s="23">
        <v>7.52</v>
      </c>
      <c r="L527" s="23">
        <v>7.52</v>
      </c>
      <c r="M527" s="23">
        <v>28</v>
      </c>
      <c r="N527" s="23">
        <v>2.4</v>
      </c>
      <c r="O527" s="24">
        <v>0.185</v>
      </c>
    </row>
    <row r="528" spans="1:15" x14ac:dyDescent="0.25">
      <c r="A528" s="18" t="s">
        <v>522</v>
      </c>
      <c r="B528" s="22">
        <v>5.32</v>
      </c>
      <c r="C528" s="23">
        <v>5.32</v>
      </c>
      <c r="D528" s="23">
        <v>5.32</v>
      </c>
      <c r="E528" s="23">
        <v>5.32</v>
      </c>
      <c r="F528" s="23">
        <v>5.32</v>
      </c>
      <c r="G528" s="23">
        <v>5.32</v>
      </c>
      <c r="H528" s="23">
        <v>5.32</v>
      </c>
      <c r="I528" s="23">
        <v>5.32</v>
      </c>
      <c r="J528" s="23">
        <v>5.32</v>
      </c>
      <c r="K528" s="23">
        <v>5.32</v>
      </c>
      <c r="L528" s="23">
        <v>5.32</v>
      </c>
      <c r="M528" s="23">
        <v>25</v>
      </c>
      <c r="N528" s="23">
        <v>0.4</v>
      </c>
      <c r="O528" s="24">
        <v>0.18659999999999999</v>
      </c>
    </row>
    <row r="529" spans="1:15" x14ac:dyDescent="0.25">
      <c r="A529" s="18" t="s">
        <v>523</v>
      </c>
      <c r="B529" s="22">
        <v>4.3600000000000003</v>
      </c>
      <c r="C529" s="23">
        <v>4.3600000000000003</v>
      </c>
      <c r="D529" s="23">
        <v>4.3600000000000003</v>
      </c>
      <c r="E529" s="23">
        <v>4.3600000000000003</v>
      </c>
      <c r="F529" s="23">
        <v>4.3600000000000003</v>
      </c>
      <c r="G529" s="23">
        <v>4.3600000000000003</v>
      </c>
      <c r="H529" s="23">
        <v>4.3600000000000003</v>
      </c>
      <c r="I529" s="23">
        <v>4.3600000000000003</v>
      </c>
      <c r="J529" s="23">
        <v>4.3600000000000003</v>
      </c>
      <c r="K529" s="23">
        <v>4.3600000000000003</v>
      </c>
      <c r="L529" s="23">
        <v>4.3600000000000003</v>
      </c>
      <c r="M529" s="23">
        <v>21</v>
      </c>
      <c r="N529" s="23">
        <v>0.2</v>
      </c>
      <c r="O529" s="24">
        <v>0.15570000000000001</v>
      </c>
    </row>
    <row r="530" spans="1:15" x14ac:dyDescent="0.25">
      <c r="A530" s="18" t="s">
        <v>524</v>
      </c>
      <c r="B530" s="22">
        <v>5.56</v>
      </c>
      <c r="C530" s="23">
        <v>5.56</v>
      </c>
      <c r="D530" s="23">
        <v>5.56</v>
      </c>
      <c r="E530" s="23">
        <v>5.56</v>
      </c>
      <c r="F530" s="23">
        <v>5.56</v>
      </c>
      <c r="G530" s="23">
        <v>5.56</v>
      </c>
      <c r="H530" s="23">
        <v>5.56</v>
      </c>
      <c r="I530" s="23">
        <v>5.56</v>
      </c>
      <c r="J530" s="23">
        <v>5.56</v>
      </c>
      <c r="K530" s="23">
        <v>5.56</v>
      </c>
      <c r="L530" s="23">
        <v>5.56</v>
      </c>
      <c r="M530" s="23">
        <v>27</v>
      </c>
      <c r="N530" s="23">
        <v>0.2</v>
      </c>
      <c r="O530" s="24">
        <v>1.5299999999999999E-2</v>
      </c>
    </row>
    <row r="531" spans="1:15" x14ac:dyDescent="0.25">
      <c r="A531" s="18" t="s">
        <v>525</v>
      </c>
      <c r="B531" s="22">
        <v>7.08</v>
      </c>
      <c r="C531" s="23">
        <v>7.08</v>
      </c>
      <c r="D531" s="23">
        <v>7.08</v>
      </c>
      <c r="E531" s="23">
        <v>7.08</v>
      </c>
      <c r="F531" s="23">
        <v>7.08</v>
      </c>
      <c r="G531" s="23">
        <v>7.08</v>
      </c>
      <c r="H531" s="23">
        <v>7.08</v>
      </c>
      <c r="I531" s="23">
        <v>7.08</v>
      </c>
      <c r="J531" s="23">
        <v>7.08</v>
      </c>
      <c r="K531" s="23">
        <v>7.08</v>
      </c>
      <c r="L531" s="23">
        <v>7.08</v>
      </c>
      <c r="M531" s="23">
        <v>29</v>
      </c>
      <c r="N531" s="23">
        <v>1.6</v>
      </c>
      <c r="O531" s="24">
        <v>1.6400000000000001E-2</v>
      </c>
    </row>
    <row r="532" spans="1:15" x14ac:dyDescent="0.25">
      <c r="A532" s="18" t="s">
        <v>526</v>
      </c>
      <c r="B532" s="22">
        <v>6.04</v>
      </c>
      <c r="C532" s="23">
        <v>5.88</v>
      </c>
      <c r="D532" s="23">
        <v>6.04</v>
      </c>
      <c r="E532" s="23">
        <v>6.04</v>
      </c>
      <c r="F532" s="23">
        <v>5.88</v>
      </c>
      <c r="G532" s="23">
        <v>6.04</v>
      </c>
      <c r="H532" s="23">
        <v>6.04</v>
      </c>
      <c r="I532" s="23">
        <v>6.04</v>
      </c>
      <c r="J532" s="23">
        <v>5.88</v>
      </c>
      <c r="K532" s="23">
        <v>6.04</v>
      </c>
      <c r="L532" s="23">
        <v>5.88</v>
      </c>
      <c r="M532" s="23">
        <v>23</v>
      </c>
      <c r="N532" s="23">
        <v>1.6</v>
      </c>
      <c r="O532" s="24">
        <v>1.4999999999999999E-2</v>
      </c>
    </row>
    <row r="533" spans="1:15" x14ac:dyDescent="0.25">
      <c r="A533" s="18" t="s">
        <v>527</v>
      </c>
      <c r="B533" s="22">
        <v>9.92</v>
      </c>
      <c r="C533" s="23">
        <v>9.92</v>
      </c>
      <c r="D533" s="23">
        <v>9.92</v>
      </c>
      <c r="E533" s="23">
        <v>9.92</v>
      </c>
      <c r="F533" s="23">
        <v>9.92</v>
      </c>
      <c r="G533" s="23">
        <v>9.92</v>
      </c>
      <c r="H533" s="23">
        <v>9.92</v>
      </c>
      <c r="I533" s="23">
        <v>9.92</v>
      </c>
      <c r="J533" s="23">
        <v>9.92</v>
      </c>
      <c r="K533" s="23">
        <v>9.92</v>
      </c>
      <c r="L533" s="23">
        <v>9.92</v>
      </c>
      <c r="M533" s="23">
        <v>24</v>
      </c>
      <c r="N533" s="23">
        <v>6.4</v>
      </c>
      <c r="O533" s="24">
        <v>1.52E-2</v>
      </c>
    </row>
    <row r="534" spans="1:15" x14ac:dyDescent="0.25">
      <c r="A534" s="18" t="s">
        <v>528</v>
      </c>
      <c r="B534" s="22">
        <v>10.28</v>
      </c>
      <c r="C534" s="23">
        <v>10.28</v>
      </c>
      <c r="D534" s="23">
        <v>10.28</v>
      </c>
      <c r="E534" s="23">
        <v>10.28</v>
      </c>
      <c r="F534" s="23">
        <v>10.28</v>
      </c>
      <c r="G534" s="23">
        <v>10.28</v>
      </c>
      <c r="H534" s="23">
        <v>10.28</v>
      </c>
      <c r="I534" s="23">
        <v>10.28</v>
      </c>
      <c r="J534" s="23">
        <v>10.28</v>
      </c>
      <c r="K534" s="23">
        <v>10.28</v>
      </c>
      <c r="L534" s="23">
        <v>10.28</v>
      </c>
      <c r="M534" s="23">
        <v>29</v>
      </c>
      <c r="N534" s="23">
        <v>5.6</v>
      </c>
      <c r="O534" s="24">
        <v>1.7299999999999999E-2</v>
      </c>
    </row>
    <row r="535" spans="1:15" x14ac:dyDescent="0.25">
      <c r="A535" s="18" t="s">
        <v>529</v>
      </c>
      <c r="B535" s="22">
        <v>6.52</v>
      </c>
      <c r="C535" s="23">
        <v>6.52</v>
      </c>
      <c r="D535" s="23">
        <v>6.52</v>
      </c>
      <c r="E535" s="23">
        <v>6.52</v>
      </c>
      <c r="F535" s="23">
        <v>6.52</v>
      </c>
      <c r="G535" s="23">
        <v>6.52</v>
      </c>
      <c r="H535" s="23">
        <v>6.52</v>
      </c>
      <c r="I535" s="23">
        <v>6.52</v>
      </c>
      <c r="J535" s="23">
        <v>6.52</v>
      </c>
      <c r="K535" s="23">
        <v>6.52</v>
      </c>
      <c r="L535" s="23">
        <v>6.52</v>
      </c>
      <c r="M535" s="23">
        <v>27</v>
      </c>
      <c r="N535" s="23">
        <v>1.4</v>
      </c>
      <c r="O535" s="24">
        <v>1.6400000000000001E-2</v>
      </c>
    </row>
    <row r="536" spans="1:15" x14ac:dyDescent="0.25">
      <c r="A536" s="18" t="s">
        <v>530</v>
      </c>
      <c r="B536" s="22">
        <v>5.2</v>
      </c>
      <c r="C536" s="23">
        <v>5.2</v>
      </c>
      <c r="D536" s="23">
        <v>5.2</v>
      </c>
      <c r="E536" s="23">
        <v>5.2</v>
      </c>
      <c r="F536" s="23">
        <v>5.2</v>
      </c>
      <c r="G536" s="23">
        <v>5.2</v>
      </c>
      <c r="H536" s="23">
        <v>5.2</v>
      </c>
      <c r="I536" s="23">
        <v>5.2</v>
      </c>
      <c r="J536" s="23">
        <v>5.2</v>
      </c>
      <c r="K536" s="23">
        <v>5.2</v>
      </c>
      <c r="L536" s="23">
        <v>5.2</v>
      </c>
      <c r="M536" s="23">
        <v>22</v>
      </c>
      <c r="N536" s="23">
        <v>1</v>
      </c>
      <c r="O536" s="24">
        <v>1.4200000000000001E-2</v>
      </c>
    </row>
    <row r="537" spans="1:15" x14ac:dyDescent="0.25">
      <c r="A537" s="18" t="s">
        <v>531</v>
      </c>
      <c r="B537" s="22">
        <v>4.92</v>
      </c>
      <c r="C537" s="23">
        <v>4.92</v>
      </c>
      <c r="D537" s="23">
        <v>4.92</v>
      </c>
      <c r="E537" s="23">
        <v>4.92</v>
      </c>
      <c r="F537" s="23">
        <v>4.92</v>
      </c>
      <c r="G537" s="23">
        <v>4.92</v>
      </c>
      <c r="H537" s="23">
        <v>4.92</v>
      </c>
      <c r="I537" s="23">
        <v>4.92</v>
      </c>
      <c r="J537" s="23">
        <v>4.92</v>
      </c>
      <c r="K537" s="23">
        <v>4.92</v>
      </c>
      <c r="L537" s="23">
        <v>4.92</v>
      </c>
      <c r="M537" s="23">
        <v>23</v>
      </c>
      <c r="N537" s="23">
        <v>0.4</v>
      </c>
      <c r="O537" s="24">
        <v>1.43E-2</v>
      </c>
    </row>
    <row r="538" spans="1:15" x14ac:dyDescent="0.25">
      <c r="A538" s="18" t="s">
        <v>532</v>
      </c>
      <c r="B538" s="22">
        <v>4.68</v>
      </c>
      <c r="C538" s="23">
        <v>4.68</v>
      </c>
      <c r="D538" s="23">
        <v>4.68</v>
      </c>
      <c r="E538" s="23">
        <v>4.68</v>
      </c>
      <c r="F538" s="23">
        <v>4.68</v>
      </c>
      <c r="G538" s="23">
        <v>4.68</v>
      </c>
      <c r="H538" s="23">
        <v>4.68</v>
      </c>
      <c r="I538" s="23">
        <v>4.68</v>
      </c>
      <c r="J538" s="23">
        <v>4.68</v>
      </c>
      <c r="K538" s="23">
        <v>4.68</v>
      </c>
      <c r="L538" s="23">
        <v>4.68</v>
      </c>
      <c r="M538" s="23">
        <v>21</v>
      </c>
      <c r="N538" s="23">
        <v>0.6</v>
      </c>
      <c r="O538" s="24">
        <v>1.3299999999999999E-2</v>
      </c>
    </row>
    <row r="539" spans="1:15" ht="15.75" thickBot="1" x14ac:dyDescent="0.3">
      <c r="A539" s="18" t="s">
        <v>533</v>
      </c>
      <c r="B539" s="25">
        <v>6.68</v>
      </c>
      <c r="C539" s="26">
        <v>6.52</v>
      </c>
      <c r="D539" s="26">
        <v>6.52</v>
      </c>
      <c r="E539" s="26">
        <v>6.68</v>
      </c>
      <c r="F539" s="26">
        <v>6.52</v>
      </c>
      <c r="G539" s="26">
        <v>6.68</v>
      </c>
      <c r="H539" s="26">
        <v>6.68</v>
      </c>
      <c r="I539" s="26">
        <v>6.68</v>
      </c>
      <c r="J539" s="26">
        <v>6.52</v>
      </c>
      <c r="K539" s="26">
        <v>6.52</v>
      </c>
      <c r="L539" s="26">
        <v>6.52</v>
      </c>
      <c r="M539" s="26">
        <v>27</v>
      </c>
      <c r="N539" s="26">
        <v>1.4</v>
      </c>
      <c r="O539" s="27">
        <v>1.6899999999999998E-2</v>
      </c>
    </row>
  </sheetData>
  <mergeCells count="1">
    <mergeCell ref="B5:O5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F02D1-84C8-4146-8E94-F030D3BA1D6B}">
  <dimension ref="A1:E126"/>
  <sheetViews>
    <sheetView workbookViewId="0">
      <selection activeCell="I7" sqref="I7"/>
    </sheetView>
  </sheetViews>
  <sheetFormatPr defaultRowHeight="15" x14ac:dyDescent="0.25"/>
  <cols>
    <col min="1" max="1" width="22.85546875" bestFit="1" customWidth="1"/>
    <col min="2" max="2" width="10.7109375" bestFit="1" customWidth="1"/>
    <col min="3" max="3" width="22.85546875" bestFit="1" customWidth="1"/>
    <col min="4" max="4" width="5.140625" bestFit="1" customWidth="1"/>
    <col min="5" max="5" width="14.85546875" bestFit="1" customWidth="1"/>
  </cols>
  <sheetData>
    <row r="1" spans="1:5" ht="15.75" thickBot="1" x14ac:dyDescent="0.3">
      <c r="A1" s="3" t="s">
        <v>549</v>
      </c>
    </row>
    <row r="2" spans="1:5" x14ac:dyDescent="0.25">
      <c r="A2" s="2" t="s">
        <v>550</v>
      </c>
    </row>
    <row r="3" spans="1:5" x14ac:dyDescent="0.25">
      <c r="A3" s="1" t="s">
        <v>551</v>
      </c>
    </row>
    <row r="4" spans="1:5" ht="15.75" thickBot="1" x14ac:dyDescent="0.3">
      <c r="A4" s="1" t="s">
        <v>552</v>
      </c>
    </row>
    <row r="5" spans="1:5" ht="15.75" thickBot="1" x14ac:dyDescent="0.3">
      <c r="A5" s="4" t="s">
        <v>553</v>
      </c>
      <c r="B5" s="87" t="s">
        <v>681</v>
      </c>
      <c r="C5" s="88"/>
      <c r="D5" s="88"/>
      <c r="E5" s="89"/>
    </row>
    <row r="6" spans="1:5" ht="15.75" thickBot="1" x14ac:dyDescent="0.3">
      <c r="A6" s="5" t="s">
        <v>0</v>
      </c>
      <c r="B6" s="10" t="s">
        <v>544</v>
      </c>
      <c r="C6" s="6" t="s">
        <v>545</v>
      </c>
      <c r="D6" s="12" t="s">
        <v>548</v>
      </c>
      <c r="E6" s="13" t="s">
        <v>546</v>
      </c>
    </row>
    <row r="7" spans="1:5" x14ac:dyDescent="0.25">
      <c r="A7" s="28" t="s">
        <v>561</v>
      </c>
      <c r="B7" s="19">
        <v>13</v>
      </c>
      <c r="C7" s="20">
        <v>4.5999999999999996</v>
      </c>
      <c r="D7" s="31">
        <v>6.2799999999999994</v>
      </c>
      <c r="E7" s="21">
        <v>0</v>
      </c>
    </row>
    <row r="8" spans="1:5" x14ac:dyDescent="0.25">
      <c r="A8" s="29" t="s">
        <v>562</v>
      </c>
      <c r="B8" s="22">
        <v>9</v>
      </c>
      <c r="C8" s="23">
        <v>1</v>
      </c>
      <c r="D8" s="32">
        <v>2.6</v>
      </c>
      <c r="E8" s="24">
        <v>0</v>
      </c>
    </row>
    <row r="9" spans="1:5" x14ac:dyDescent="0.25">
      <c r="A9" s="29" t="s">
        <v>563</v>
      </c>
      <c r="B9" s="22">
        <v>11</v>
      </c>
      <c r="C9" s="23">
        <v>3.4</v>
      </c>
      <c r="D9" s="32">
        <v>4.92</v>
      </c>
      <c r="E9" s="24">
        <v>0</v>
      </c>
    </row>
    <row r="10" spans="1:5" x14ac:dyDescent="0.25">
      <c r="A10" s="29" t="s">
        <v>564</v>
      </c>
      <c r="B10" s="22">
        <v>13</v>
      </c>
      <c r="C10" s="23">
        <v>5</v>
      </c>
      <c r="D10" s="32">
        <v>6.6</v>
      </c>
      <c r="E10" s="24">
        <v>0</v>
      </c>
    </row>
    <row r="11" spans="1:5" x14ac:dyDescent="0.25">
      <c r="A11" s="29" t="s">
        <v>565</v>
      </c>
      <c r="B11" s="22">
        <v>8</v>
      </c>
      <c r="C11" s="23">
        <v>2.8</v>
      </c>
      <c r="D11" s="32">
        <v>3.84</v>
      </c>
      <c r="E11" s="24">
        <v>0</v>
      </c>
    </row>
    <row r="12" spans="1:5" x14ac:dyDescent="0.25">
      <c r="A12" s="29" t="s">
        <v>566</v>
      </c>
      <c r="B12" s="22">
        <v>11</v>
      </c>
      <c r="C12" s="23">
        <v>2.8</v>
      </c>
      <c r="D12" s="32">
        <v>4.4399999999999995</v>
      </c>
      <c r="E12" s="24">
        <v>0</v>
      </c>
    </row>
    <row r="13" spans="1:5" x14ac:dyDescent="0.25">
      <c r="A13" s="29" t="s">
        <v>567</v>
      </c>
      <c r="B13" s="22">
        <v>11</v>
      </c>
      <c r="C13" s="23">
        <v>2</v>
      </c>
      <c r="D13" s="32">
        <v>3.8000000000000003</v>
      </c>
      <c r="E13" s="24">
        <v>0</v>
      </c>
    </row>
    <row r="14" spans="1:5" x14ac:dyDescent="0.25">
      <c r="A14" s="29" t="s">
        <v>568</v>
      </c>
      <c r="B14" s="22">
        <v>10</v>
      </c>
      <c r="C14" s="23">
        <v>1</v>
      </c>
      <c r="D14" s="32">
        <v>2.8</v>
      </c>
      <c r="E14" s="24">
        <v>0</v>
      </c>
    </row>
    <row r="15" spans="1:5" x14ac:dyDescent="0.25">
      <c r="A15" s="29" t="s">
        <v>569</v>
      </c>
      <c r="B15" s="22">
        <v>10</v>
      </c>
      <c r="C15" s="23">
        <v>4</v>
      </c>
      <c r="D15" s="32">
        <v>5.2</v>
      </c>
      <c r="E15" s="24">
        <v>0</v>
      </c>
    </row>
    <row r="16" spans="1:5" x14ac:dyDescent="0.25">
      <c r="A16" s="29" t="s">
        <v>570</v>
      </c>
      <c r="B16" s="22">
        <v>14</v>
      </c>
      <c r="C16" s="23">
        <v>4</v>
      </c>
      <c r="D16" s="32">
        <v>6</v>
      </c>
      <c r="E16" s="24">
        <v>0</v>
      </c>
    </row>
    <row r="17" spans="1:5" x14ac:dyDescent="0.25">
      <c r="A17" s="29" t="s">
        <v>571</v>
      </c>
      <c r="B17" s="22">
        <v>12</v>
      </c>
      <c r="C17" s="23">
        <v>4.8</v>
      </c>
      <c r="D17" s="32">
        <v>6.24</v>
      </c>
      <c r="E17" s="24">
        <v>0</v>
      </c>
    </row>
    <row r="18" spans="1:5" x14ac:dyDescent="0.25">
      <c r="A18" s="29" t="s">
        <v>572</v>
      </c>
      <c r="B18" s="22">
        <v>9</v>
      </c>
      <c r="C18" s="23">
        <v>2.6</v>
      </c>
      <c r="D18" s="32">
        <v>3.88</v>
      </c>
      <c r="E18" s="24">
        <v>0</v>
      </c>
    </row>
    <row r="19" spans="1:5" x14ac:dyDescent="0.25">
      <c r="A19" s="29" t="s">
        <v>573</v>
      </c>
      <c r="B19" s="22">
        <v>13</v>
      </c>
      <c r="C19" s="23">
        <v>3.4</v>
      </c>
      <c r="D19" s="32">
        <v>5.32</v>
      </c>
      <c r="E19" s="24">
        <v>0</v>
      </c>
    </row>
    <row r="20" spans="1:5" x14ac:dyDescent="0.25">
      <c r="A20" s="29" t="s">
        <v>574</v>
      </c>
      <c r="B20" s="22">
        <v>8</v>
      </c>
      <c r="C20" s="23">
        <v>0.2</v>
      </c>
      <c r="D20" s="32">
        <v>1.7600000000000002</v>
      </c>
      <c r="E20" s="24">
        <v>0</v>
      </c>
    </row>
    <row r="21" spans="1:5" x14ac:dyDescent="0.25">
      <c r="A21" s="29" t="s">
        <v>575</v>
      </c>
      <c r="B21" s="22">
        <v>11</v>
      </c>
      <c r="C21" s="23">
        <v>4.2</v>
      </c>
      <c r="D21" s="32">
        <v>5.5600000000000005</v>
      </c>
      <c r="E21" s="24">
        <v>0</v>
      </c>
    </row>
    <row r="22" spans="1:5" x14ac:dyDescent="0.25">
      <c r="A22" s="29" t="s">
        <v>576</v>
      </c>
      <c r="B22" s="22">
        <v>12</v>
      </c>
      <c r="C22" s="23">
        <v>3.8</v>
      </c>
      <c r="D22" s="32">
        <v>5.44</v>
      </c>
      <c r="E22" s="24">
        <v>0</v>
      </c>
    </row>
    <row r="23" spans="1:5" x14ac:dyDescent="0.25">
      <c r="A23" s="29" t="s">
        <v>577</v>
      </c>
      <c r="B23" s="22">
        <v>8</v>
      </c>
      <c r="C23" s="23">
        <v>2.2000000000000002</v>
      </c>
      <c r="D23" s="32">
        <v>3.3600000000000003</v>
      </c>
      <c r="E23" s="24">
        <v>0</v>
      </c>
    </row>
    <row r="24" spans="1:5" x14ac:dyDescent="0.25">
      <c r="A24" s="29" t="s">
        <v>578</v>
      </c>
      <c r="B24" s="22">
        <v>9</v>
      </c>
      <c r="C24" s="23">
        <v>2</v>
      </c>
      <c r="D24" s="32">
        <v>3.4000000000000004</v>
      </c>
      <c r="E24" s="24">
        <v>0</v>
      </c>
    </row>
    <row r="25" spans="1:5" x14ac:dyDescent="0.25">
      <c r="A25" s="29" t="s">
        <v>579</v>
      </c>
      <c r="B25" s="22">
        <v>11</v>
      </c>
      <c r="C25" s="23">
        <v>3.4</v>
      </c>
      <c r="D25" s="32">
        <v>4.92</v>
      </c>
      <c r="E25" s="24">
        <v>0</v>
      </c>
    </row>
    <row r="26" spans="1:5" x14ac:dyDescent="0.25">
      <c r="A26" s="29" t="s">
        <v>580</v>
      </c>
      <c r="B26" s="22">
        <v>14</v>
      </c>
      <c r="C26" s="23">
        <v>3</v>
      </c>
      <c r="D26" s="32">
        <v>5.2000000000000011</v>
      </c>
      <c r="E26" s="24">
        <v>0</v>
      </c>
    </row>
    <row r="27" spans="1:5" x14ac:dyDescent="0.25">
      <c r="A27" s="29" t="s">
        <v>581</v>
      </c>
      <c r="B27" s="22">
        <v>10</v>
      </c>
      <c r="C27" s="23">
        <v>2.8</v>
      </c>
      <c r="D27" s="32">
        <v>4.24</v>
      </c>
      <c r="E27" s="24">
        <v>0</v>
      </c>
    </row>
    <row r="28" spans="1:5" x14ac:dyDescent="0.25">
      <c r="A28" s="29" t="s">
        <v>582</v>
      </c>
      <c r="B28" s="22">
        <v>15</v>
      </c>
      <c r="C28" s="23">
        <v>4.4000000000000004</v>
      </c>
      <c r="D28" s="32">
        <v>6.5200000000000005</v>
      </c>
      <c r="E28" s="24">
        <v>0</v>
      </c>
    </row>
    <row r="29" spans="1:5" x14ac:dyDescent="0.25">
      <c r="A29" s="29" t="s">
        <v>583</v>
      </c>
      <c r="B29" s="22">
        <v>10</v>
      </c>
      <c r="C29" s="23">
        <v>3.2</v>
      </c>
      <c r="D29" s="32">
        <v>4.5600000000000005</v>
      </c>
      <c r="E29" s="24">
        <v>0</v>
      </c>
    </row>
    <row r="30" spans="1:5" x14ac:dyDescent="0.25">
      <c r="A30" s="29" t="s">
        <v>584</v>
      </c>
      <c r="B30" s="22">
        <v>11</v>
      </c>
      <c r="C30" s="23">
        <v>4</v>
      </c>
      <c r="D30" s="32">
        <v>5.4</v>
      </c>
      <c r="E30" s="24">
        <v>0</v>
      </c>
    </row>
    <row r="31" spans="1:5" x14ac:dyDescent="0.25">
      <c r="A31" s="29" t="s">
        <v>585</v>
      </c>
      <c r="B31" s="22">
        <v>12</v>
      </c>
      <c r="C31" s="23">
        <v>3.2</v>
      </c>
      <c r="D31" s="32">
        <v>4.9600000000000009</v>
      </c>
      <c r="E31" s="24">
        <v>0</v>
      </c>
    </row>
    <row r="32" spans="1:5" x14ac:dyDescent="0.25">
      <c r="A32" s="29" t="s">
        <v>586</v>
      </c>
      <c r="B32" s="22">
        <v>11</v>
      </c>
      <c r="C32" s="23">
        <v>2.2000000000000002</v>
      </c>
      <c r="D32" s="32">
        <v>3.9600000000000004</v>
      </c>
      <c r="E32" s="24">
        <v>0</v>
      </c>
    </row>
    <row r="33" spans="1:5" x14ac:dyDescent="0.25">
      <c r="A33" s="29" t="s">
        <v>587</v>
      </c>
      <c r="B33" s="22">
        <v>9</v>
      </c>
      <c r="C33" s="23">
        <v>1</v>
      </c>
      <c r="D33" s="32">
        <v>2.6</v>
      </c>
      <c r="E33" s="24">
        <v>0</v>
      </c>
    </row>
    <row r="34" spans="1:5" x14ac:dyDescent="0.25">
      <c r="A34" s="29" t="s">
        <v>588</v>
      </c>
      <c r="B34" s="22">
        <v>11</v>
      </c>
      <c r="C34" s="23">
        <v>1</v>
      </c>
      <c r="D34" s="32">
        <v>3</v>
      </c>
      <c r="E34" s="24">
        <v>0</v>
      </c>
    </row>
    <row r="35" spans="1:5" x14ac:dyDescent="0.25">
      <c r="A35" s="29" t="s">
        <v>589</v>
      </c>
      <c r="B35" s="22">
        <v>11</v>
      </c>
      <c r="C35" s="23">
        <v>5</v>
      </c>
      <c r="D35" s="32">
        <v>6.2</v>
      </c>
      <c r="E35" s="24">
        <v>0</v>
      </c>
    </row>
    <row r="36" spans="1:5" x14ac:dyDescent="0.25">
      <c r="A36" s="29" t="s">
        <v>590</v>
      </c>
      <c r="B36" s="22">
        <v>14</v>
      </c>
      <c r="C36" s="23">
        <v>3</v>
      </c>
      <c r="D36" s="32">
        <v>5.2000000000000011</v>
      </c>
      <c r="E36" s="24">
        <v>0</v>
      </c>
    </row>
    <row r="37" spans="1:5" x14ac:dyDescent="0.25">
      <c r="A37" s="29" t="s">
        <v>591</v>
      </c>
      <c r="B37" s="22">
        <v>12</v>
      </c>
      <c r="C37" s="23">
        <v>5.8</v>
      </c>
      <c r="D37" s="32">
        <v>7.04</v>
      </c>
      <c r="E37" s="24">
        <v>0</v>
      </c>
    </row>
    <row r="38" spans="1:5" x14ac:dyDescent="0.25">
      <c r="A38" s="29" t="s">
        <v>592</v>
      </c>
      <c r="B38" s="22">
        <v>10</v>
      </c>
      <c r="C38" s="23">
        <v>1.8</v>
      </c>
      <c r="D38" s="32">
        <v>3.4400000000000004</v>
      </c>
      <c r="E38" s="24">
        <v>0</v>
      </c>
    </row>
    <row r="39" spans="1:5" x14ac:dyDescent="0.25">
      <c r="A39" s="29" t="s">
        <v>593</v>
      </c>
      <c r="B39" s="22">
        <v>8</v>
      </c>
      <c r="C39" s="23">
        <v>3.2</v>
      </c>
      <c r="D39" s="32">
        <v>4.16</v>
      </c>
      <c r="E39" s="24">
        <v>0</v>
      </c>
    </row>
    <row r="40" spans="1:5" x14ac:dyDescent="0.25">
      <c r="A40" s="29" t="s">
        <v>594</v>
      </c>
      <c r="B40" s="22">
        <v>10</v>
      </c>
      <c r="C40" s="23">
        <v>1.4</v>
      </c>
      <c r="D40" s="32">
        <v>3.12</v>
      </c>
      <c r="E40" s="24">
        <v>0</v>
      </c>
    </row>
    <row r="41" spans="1:5" x14ac:dyDescent="0.25">
      <c r="A41" s="29" t="s">
        <v>595</v>
      </c>
      <c r="B41" s="22">
        <v>12</v>
      </c>
      <c r="C41" s="23">
        <v>3</v>
      </c>
      <c r="D41" s="32">
        <v>4.8000000000000007</v>
      </c>
      <c r="E41" s="24">
        <v>0</v>
      </c>
    </row>
    <row r="42" spans="1:5" x14ac:dyDescent="0.25">
      <c r="A42" s="29" t="s">
        <v>596</v>
      </c>
      <c r="B42" s="22">
        <v>13</v>
      </c>
      <c r="C42" s="23">
        <v>4.4000000000000004</v>
      </c>
      <c r="D42" s="32">
        <v>6.120000000000001</v>
      </c>
      <c r="E42" s="24">
        <v>0</v>
      </c>
    </row>
    <row r="43" spans="1:5" x14ac:dyDescent="0.25">
      <c r="A43" s="29" t="s">
        <v>597</v>
      </c>
      <c r="B43" s="22">
        <v>11</v>
      </c>
      <c r="C43" s="23">
        <v>5.2</v>
      </c>
      <c r="D43" s="32">
        <v>6.36</v>
      </c>
      <c r="E43" s="24">
        <v>0</v>
      </c>
    </row>
    <row r="44" spans="1:5" x14ac:dyDescent="0.25">
      <c r="A44" s="29" t="s">
        <v>598</v>
      </c>
      <c r="B44" s="22">
        <v>12</v>
      </c>
      <c r="C44" s="23">
        <v>5</v>
      </c>
      <c r="D44" s="32">
        <v>6.4</v>
      </c>
      <c r="E44" s="24">
        <v>0</v>
      </c>
    </row>
    <row r="45" spans="1:5" x14ac:dyDescent="0.25">
      <c r="A45" s="29" t="s">
        <v>599</v>
      </c>
      <c r="B45" s="22">
        <v>10</v>
      </c>
      <c r="C45" s="23">
        <v>4.5999999999999996</v>
      </c>
      <c r="D45" s="32">
        <v>5.68</v>
      </c>
      <c r="E45" s="24">
        <v>0</v>
      </c>
    </row>
    <row r="46" spans="1:5" x14ac:dyDescent="0.25">
      <c r="A46" s="29" t="s">
        <v>600</v>
      </c>
      <c r="B46" s="22">
        <v>11</v>
      </c>
      <c r="C46" s="23">
        <v>2.6</v>
      </c>
      <c r="D46" s="32">
        <v>4.28</v>
      </c>
      <c r="E46" s="24">
        <v>0</v>
      </c>
    </row>
    <row r="47" spans="1:5" x14ac:dyDescent="0.25">
      <c r="A47" s="29" t="s">
        <v>601</v>
      </c>
      <c r="B47" s="22">
        <v>9</v>
      </c>
      <c r="C47" s="23">
        <v>0.4</v>
      </c>
      <c r="D47" s="32">
        <v>2.12</v>
      </c>
      <c r="E47" s="24">
        <v>0</v>
      </c>
    </row>
    <row r="48" spans="1:5" x14ac:dyDescent="0.25">
      <c r="A48" s="29" t="s">
        <v>602</v>
      </c>
      <c r="B48" s="22">
        <v>10</v>
      </c>
      <c r="C48" s="23">
        <v>2</v>
      </c>
      <c r="D48" s="32">
        <v>3.6</v>
      </c>
      <c r="E48" s="24">
        <v>0</v>
      </c>
    </row>
    <row r="49" spans="1:5" x14ac:dyDescent="0.25">
      <c r="A49" s="29" t="s">
        <v>603</v>
      </c>
      <c r="B49" s="22">
        <v>11</v>
      </c>
      <c r="C49" s="23">
        <v>2</v>
      </c>
      <c r="D49" s="32">
        <v>3.8000000000000003</v>
      </c>
      <c r="E49" s="24">
        <v>0</v>
      </c>
    </row>
    <row r="50" spans="1:5" x14ac:dyDescent="0.25">
      <c r="A50" s="29" t="s">
        <v>604</v>
      </c>
      <c r="B50" s="22">
        <v>10</v>
      </c>
      <c r="C50" s="23">
        <v>3.6</v>
      </c>
      <c r="D50" s="32">
        <v>4.8800000000000008</v>
      </c>
      <c r="E50" s="24">
        <v>0</v>
      </c>
    </row>
    <row r="51" spans="1:5" x14ac:dyDescent="0.25">
      <c r="A51" s="29" t="s">
        <v>605</v>
      </c>
      <c r="B51" s="22">
        <v>9</v>
      </c>
      <c r="C51" s="23">
        <v>3.2</v>
      </c>
      <c r="D51" s="32">
        <v>4.3600000000000003</v>
      </c>
      <c r="E51" s="24">
        <v>0</v>
      </c>
    </row>
    <row r="52" spans="1:5" x14ac:dyDescent="0.25">
      <c r="A52" s="29" t="s">
        <v>606</v>
      </c>
      <c r="B52" s="22">
        <v>11</v>
      </c>
      <c r="C52" s="23">
        <v>1.6</v>
      </c>
      <c r="D52" s="32">
        <v>3.4800000000000004</v>
      </c>
      <c r="E52" s="24">
        <v>0</v>
      </c>
    </row>
    <row r="53" spans="1:5" x14ac:dyDescent="0.25">
      <c r="A53" s="29" t="s">
        <v>607</v>
      </c>
      <c r="B53" s="22">
        <v>10</v>
      </c>
      <c r="C53" s="23">
        <v>4.8</v>
      </c>
      <c r="D53" s="32">
        <v>5.84</v>
      </c>
      <c r="E53" s="24">
        <v>0</v>
      </c>
    </row>
    <row r="54" spans="1:5" x14ac:dyDescent="0.25">
      <c r="A54" s="29" t="s">
        <v>608</v>
      </c>
      <c r="B54" s="22">
        <v>12</v>
      </c>
      <c r="C54" s="23">
        <v>2.2000000000000002</v>
      </c>
      <c r="D54" s="32">
        <v>4.16</v>
      </c>
      <c r="E54" s="24">
        <v>0</v>
      </c>
    </row>
    <row r="55" spans="1:5" x14ac:dyDescent="0.25">
      <c r="A55" s="29" t="s">
        <v>609</v>
      </c>
      <c r="B55" s="22">
        <v>9</v>
      </c>
      <c r="C55" s="23">
        <v>4</v>
      </c>
      <c r="D55" s="32">
        <v>5</v>
      </c>
      <c r="E55" s="24">
        <v>0</v>
      </c>
    </row>
    <row r="56" spans="1:5" x14ac:dyDescent="0.25">
      <c r="A56" s="29" t="s">
        <v>610</v>
      </c>
      <c r="B56" s="22">
        <v>15</v>
      </c>
      <c r="C56" s="23">
        <v>4</v>
      </c>
      <c r="D56" s="32">
        <v>6.2</v>
      </c>
      <c r="E56" s="24">
        <v>0</v>
      </c>
    </row>
    <row r="57" spans="1:5" x14ac:dyDescent="0.25">
      <c r="A57" s="29" t="s">
        <v>611</v>
      </c>
      <c r="B57" s="22">
        <v>8</v>
      </c>
      <c r="C57" s="23">
        <v>3.2</v>
      </c>
      <c r="D57" s="32">
        <v>4.16</v>
      </c>
      <c r="E57" s="24">
        <v>0</v>
      </c>
    </row>
    <row r="58" spans="1:5" x14ac:dyDescent="0.25">
      <c r="A58" s="29" t="s">
        <v>612</v>
      </c>
      <c r="B58" s="22">
        <v>12</v>
      </c>
      <c r="C58" s="23">
        <v>6</v>
      </c>
      <c r="D58" s="32">
        <v>7.2000000000000011</v>
      </c>
      <c r="E58" s="24">
        <v>0</v>
      </c>
    </row>
    <row r="59" spans="1:5" x14ac:dyDescent="0.25">
      <c r="A59" s="29" t="s">
        <v>613</v>
      </c>
      <c r="B59" s="22">
        <v>12</v>
      </c>
      <c r="C59" s="23">
        <v>5</v>
      </c>
      <c r="D59" s="32">
        <v>6.4</v>
      </c>
      <c r="E59" s="24">
        <v>0</v>
      </c>
    </row>
    <row r="60" spans="1:5" x14ac:dyDescent="0.25">
      <c r="A60" s="29" t="s">
        <v>614</v>
      </c>
      <c r="B60" s="22">
        <v>14</v>
      </c>
      <c r="C60" s="23">
        <v>3</v>
      </c>
      <c r="D60" s="32">
        <v>5.2000000000000011</v>
      </c>
      <c r="E60" s="24">
        <v>0</v>
      </c>
    </row>
    <row r="61" spans="1:5" x14ac:dyDescent="0.25">
      <c r="A61" s="29" t="s">
        <v>615</v>
      </c>
      <c r="B61" s="22">
        <v>9</v>
      </c>
      <c r="C61" s="23">
        <v>4.5999999999999996</v>
      </c>
      <c r="D61" s="32">
        <v>5.4799999999999995</v>
      </c>
      <c r="E61" s="24">
        <v>0</v>
      </c>
    </row>
    <row r="62" spans="1:5" x14ac:dyDescent="0.25">
      <c r="A62" s="29" t="s">
        <v>616</v>
      </c>
      <c r="B62" s="22">
        <v>11</v>
      </c>
      <c r="C62" s="23">
        <v>4.4000000000000004</v>
      </c>
      <c r="D62" s="32">
        <v>5.7200000000000006</v>
      </c>
      <c r="E62" s="24">
        <v>0</v>
      </c>
    </row>
    <row r="63" spans="1:5" x14ac:dyDescent="0.25">
      <c r="A63" s="29" t="s">
        <v>617</v>
      </c>
      <c r="B63" s="22">
        <v>8</v>
      </c>
      <c r="C63" s="23">
        <v>3.4</v>
      </c>
      <c r="D63" s="32">
        <v>4.32</v>
      </c>
      <c r="E63" s="24">
        <v>0</v>
      </c>
    </row>
    <row r="64" spans="1:5" x14ac:dyDescent="0.25">
      <c r="A64" s="29" t="s">
        <v>618</v>
      </c>
      <c r="B64" s="22">
        <v>12</v>
      </c>
      <c r="C64" s="23">
        <v>3.8</v>
      </c>
      <c r="D64" s="32">
        <v>5.44</v>
      </c>
      <c r="E64" s="24">
        <v>0</v>
      </c>
    </row>
    <row r="65" spans="1:5" x14ac:dyDescent="0.25">
      <c r="A65" s="29" t="s">
        <v>619</v>
      </c>
      <c r="B65" s="22">
        <v>11</v>
      </c>
      <c r="C65" s="23">
        <v>2.8</v>
      </c>
      <c r="D65" s="32">
        <v>4.4399999999999995</v>
      </c>
      <c r="E65" s="24">
        <v>0</v>
      </c>
    </row>
    <row r="66" spans="1:5" x14ac:dyDescent="0.25">
      <c r="A66" s="29" t="s">
        <v>620</v>
      </c>
      <c r="B66" s="22">
        <v>9</v>
      </c>
      <c r="C66" s="23">
        <v>1.6</v>
      </c>
      <c r="D66" s="32">
        <v>3.08</v>
      </c>
      <c r="E66" s="24">
        <v>0</v>
      </c>
    </row>
    <row r="67" spans="1:5" x14ac:dyDescent="0.25">
      <c r="A67" s="29" t="s">
        <v>621</v>
      </c>
      <c r="B67" s="22">
        <v>8</v>
      </c>
      <c r="C67" s="23">
        <v>3</v>
      </c>
      <c r="D67" s="32">
        <v>4</v>
      </c>
      <c r="E67" s="24">
        <v>0</v>
      </c>
    </row>
    <row r="68" spans="1:5" x14ac:dyDescent="0.25">
      <c r="A68" s="29" t="s">
        <v>622</v>
      </c>
      <c r="B68" s="22">
        <v>11</v>
      </c>
      <c r="C68" s="23">
        <v>4.5999999999999996</v>
      </c>
      <c r="D68" s="32">
        <v>5.88</v>
      </c>
      <c r="E68" s="24">
        <v>0</v>
      </c>
    </row>
    <row r="69" spans="1:5" x14ac:dyDescent="0.25">
      <c r="A69" s="29" t="s">
        <v>623</v>
      </c>
      <c r="B69" s="22">
        <v>11</v>
      </c>
      <c r="C69" s="23">
        <v>2.2000000000000002</v>
      </c>
      <c r="D69" s="32">
        <v>3.9600000000000004</v>
      </c>
      <c r="E69" s="24">
        <v>0</v>
      </c>
    </row>
    <row r="70" spans="1:5" x14ac:dyDescent="0.25">
      <c r="A70" s="29" t="s">
        <v>624</v>
      </c>
      <c r="B70" s="22">
        <v>13</v>
      </c>
      <c r="C70" s="23">
        <v>5</v>
      </c>
      <c r="D70" s="32">
        <v>6.6</v>
      </c>
      <c r="E70" s="24">
        <v>0</v>
      </c>
    </row>
    <row r="71" spans="1:5" x14ac:dyDescent="0.25">
      <c r="A71" s="29" t="s">
        <v>625</v>
      </c>
      <c r="B71" s="22">
        <v>10</v>
      </c>
      <c r="C71" s="23">
        <v>1.4</v>
      </c>
      <c r="D71" s="32">
        <v>3.12</v>
      </c>
      <c r="E71" s="24">
        <v>0</v>
      </c>
    </row>
    <row r="72" spans="1:5" x14ac:dyDescent="0.25">
      <c r="A72" s="29" t="s">
        <v>626</v>
      </c>
      <c r="B72" s="22">
        <v>9</v>
      </c>
      <c r="C72" s="23">
        <v>3</v>
      </c>
      <c r="D72" s="32">
        <v>4.2</v>
      </c>
      <c r="E72" s="24">
        <v>0</v>
      </c>
    </row>
    <row r="73" spans="1:5" x14ac:dyDescent="0.25">
      <c r="A73" s="29" t="s">
        <v>627</v>
      </c>
      <c r="B73" s="22">
        <v>10</v>
      </c>
      <c r="C73" s="23">
        <v>3.2</v>
      </c>
      <c r="D73" s="32">
        <v>4.5600000000000005</v>
      </c>
      <c r="E73" s="24">
        <v>0</v>
      </c>
    </row>
    <row r="74" spans="1:5" x14ac:dyDescent="0.25">
      <c r="A74" s="29" t="s">
        <v>628</v>
      </c>
      <c r="B74" s="22">
        <v>12</v>
      </c>
      <c r="C74" s="23">
        <v>2.8</v>
      </c>
      <c r="D74" s="32">
        <v>4.6400000000000006</v>
      </c>
      <c r="E74" s="24">
        <v>0</v>
      </c>
    </row>
    <row r="75" spans="1:5" x14ac:dyDescent="0.25">
      <c r="A75" s="29" t="s">
        <v>629</v>
      </c>
      <c r="B75" s="22">
        <v>9</v>
      </c>
      <c r="C75" s="23">
        <v>2.2000000000000002</v>
      </c>
      <c r="D75" s="32">
        <v>3.5600000000000005</v>
      </c>
      <c r="E75" s="24">
        <v>0</v>
      </c>
    </row>
    <row r="76" spans="1:5" x14ac:dyDescent="0.25">
      <c r="A76" s="29" t="s">
        <v>630</v>
      </c>
      <c r="B76" s="22">
        <v>9</v>
      </c>
      <c r="C76" s="23">
        <v>2.8</v>
      </c>
      <c r="D76" s="32">
        <v>4.04</v>
      </c>
      <c r="E76" s="24">
        <v>0</v>
      </c>
    </row>
    <row r="77" spans="1:5" x14ac:dyDescent="0.25">
      <c r="A77" s="29" t="s">
        <v>631</v>
      </c>
      <c r="B77" s="22">
        <v>11</v>
      </c>
      <c r="C77" s="23">
        <v>3.8</v>
      </c>
      <c r="D77" s="32">
        <v>5.24</v>
      </c>
      <c r="E77" s="24">
        <v>0</v>
      </c>
    </row>
    <row r="78" spans="1:5" x14ac:dyDescent="0.25">
      <c r="A78" s="29" t="s">
        <v>632</v>
      </c>
      <c r="B78" s="22">
        <v>12</v>
      </c>
      <c r="C78" s="23">
        <v>2.8</v>
      </c>
      <c r="D78" s="32">
        <v>4.6400000000000006</v>
      </c>
      <c r="E78" s="24">
        <v>0</v>
      </c>
    </row>
    <row r="79" spans="1:5" x14ac:dyDescent="0.25">
      <c r="A79" s="29" t="s">
        <v>633</v>
      </c>
      <c r="B79" s="22">
        <v>12</v>
      </c>
      <c r="C79" s="23">
        <v>3</v>
      </c>
      <c r="D79" s="32">
        <v>4.8000000000000007</v>
      </c>
      <c r="E79" s="24">
        <v>0</v>
      </c>
    </row>
    <row r="80" spans="1:5" x14ac:dyDescent="0.25">
      <c r="A80" s="29" t="s">
        <v>634</v>
      </c>
      <c r="B80" s="22">
        <v>9</v>
      </c>
      <c r="C80" s="23">
        <v>2</v>
      </c>
      <c r="D80" s="32">
        <v>3.4000000000000004</v>
      </c>
      <c r="E80" s="24">
        <v>0</v>
      </c>
    </row>
    <row r="81" spans="1:5" x14ac:dyDescent="0.25">
      <c r="A81" s="29" t="s">
        <v>635</v>
      </c>
      <c r="B81" s="22">
        <v>9</v>
      </c>
      <c r="C81" s="23">
        <v>2.8</v>
      </c>
      <c r="D81" s="32">
        <v>4.04</v>
      </c>
      <c r="E81" s="24">
        <v>0</v>
      </c>
    </row>
    <row r="82" spans="1:5" x14ac:dyDescent="0.25">
      <c r="A82" s="29" t="s">
        <v>636</v>
      </c>
      <c r="B82" s="22">
        <v>11</v>
      </c>
      <c r="C82" s="23">
        <v>4.2</v>
      </c>
      <c r="D82" s="32">
        <v>5.5600000000000005</v>
      </c>
      <c r="E82" s="24">
        <v>0</v>
      </c>
    </row>
    <row r="83" spans="1:5" x14ac:dyDescent="0.25">
      <c r="A83" s="29" t="s">
        <v>637</v>
      </c>
      <c r="B83" s="22">
        <v>10</v>
      </c>
      <c r="C83" s="23">
        <v>4</v>
      </c>
      <c r="D83" s="32">
        <v>5.2</v>
      </c>
      <c r="E83" s="24">
        <v>0</v>
      </c>
    </row>
    <row r="84" spans="1:5" x14ac:dyDescent="0.25">
      <c r="A84" s="29" t="s">
        <v>638</v>
      </c>
      <c r="B84" s="22">
        <v>9</v>
      </c>
      <c r="C84" s="23">
        <v>1.4</v>
      </c>
      <c r="D84" s="32">
        <v>2.92</v>
      </c>
      <c r="E84" s="24">
        <v>0</v>
      </c>
    </row>
    <row r="85" spans="1:5" x14ac:dyDescent="0.25">
      <c r="A85" s="29" t="s">
        <v>639</v>
      </c>
      <c r="B85" s="22">
        <v>12</v>
      </c>
      <c r="C85" s="23">
        <v>5.4</v>
      </c>
      <c r="D85" s="32">
        <v>6.7200000000000006</v>
      </c>
      <c r="E85" s="24">
        <v>0</v>
      </c>
    </row>
    <row r="86" spans="1:5" x14ac:dyDescent="0.25">
      <c r="A86" s="29" t="s">
        <v>640</v>
      </c>
      <c r="B86" s="22">
        <v>10</v>
      </c>
      <c r="C86" s="23">
        <v>5.6</v>
      </c>
      <c r="D86" s="32">
        <v>6.4799999999999995</v>
      </c>
      <c r="E86" s="24">
        <v>0</v>
      </c>
    </row>
    <row r="87" spans="1:5" x14ac:dyDescent="0.25">
      <c r="A87" s="29" t="s">
        <v>641</v>
      </c>
      <c r="B87" s="22">
        <v>9</v>
      </c>
      <c r="C87" s="23">
        <v>2.2000000000000002</v>
      </c>
      <c r="D87" s="32">
        <v>3.5600000000000005</v>
      </c>
      <c r="E87" s="24">
        <v>0</v>
      </c>
    </row>
    <row r="88" spans="1:5" x14ac:dyDescent="0.25">
      <c r="A88" s="29" t="s">
        <v>642</v>
      </c>
      <c r="B88" s="22">
        <v>8</v>
      </c>
      <c r="C88" s="23">
        <v>2</v>
      </c>
      <c r="D88" s="32">
        <v>3.2</v>
      </c>
      <c r="E88" s="24">
        <v>0</v>
      </c>
    </row>
    <row r="89" spans="1:5" x14ac:dyDescent="0.25">
      <c r="A89" s="29" t="s">
        <v>643</v>
      </c>
      <c r="B89" s="22">
        <v>9</v>
      </c>
      <c r="C89" s="23">
        <v>2</v>
      </c>
      <c r="D89" s="32">
        <v>3.4000000000000004</v>
      </c>
      <c r="E89" s="24">
        <v>0</v>
      </c>
    </row>
    <row r="90" spans="1:5" x14ac:dyDescent="0.25">
      <c r="A90" s="29" t="s">
        <v>644</v>
      </c>
      <c r="B90" s="22">
        <v>11</v>
      </c>
      <c r="C90" s="23">
        <v>5.8</v>
      </c>
      <c r="D90" s="32">
        <v>6.84</v>
      </c>
      <c r="E90" s="24">
        <v>0</v>
      </c>
    </row>
    <row r="91" spans="1:5" x14ac:dyDescent="0.25">
      <c r="A91" s="29" t="s">
        <v>645</v>
      </c>
      <c r="B91" s="22">
        <v>12</v>
      </c>
      <c r="C91" s="23">
        <v>3.2</v>
      </c>
      <c r="D91" s="32">
        <v>4.9600000000000009</v>
      </c>
      <c r="E91" s="24">
        <v>0</v>
      </c>
    </row>
    <row r="92" spans="1:5" x14ac:dyDescent="0.25">
      <c r="A92" s="29" t="s">
        <v>646</v>
      </c>
      <c r="B92" s="22">
        <v>8</v>
      </c>
      <c r="C92" s="23">
        <v>1.4</v>
      </c>
      <c r="D92" s="32">
        <v>2.7199999999999998</v>
      </c>
      <c r="E92" s="24">
        <v>0</v>
      </c>
    </row>
    <row r="93" spans="1:5" x14ac:dyDescent="0.25">
      <c r="A93" s="29" t="s">
        <v>647</v>
      </c>
      <c r="B93" s="22">
        <v>11</v>
      </c>
      <c r="C93" s="23">
        <v>2.2000000000000002</v>
      </c>
      <c r="D93" s="32">
        <v>3.9600000000000004</v>
      </c>
      <c r="E93" s="24">
        <v>0</v>
      </c>
    </row>
    <row r="94" spans="1:5" x14ac:dyDescent="0.25">
      <c r="A94" s="29" t="s">
        <v>648</v>
      </c>
      <c r="B94" s="22">
        <v>13</v>
      </c>
      <c r="C94" s="23">
        <v>3</v>
      </c>
      <c r="D94" s="32">
        <v>5</v>
      </c>
      <c r="E94" s="24">
        <v>0</v>
      </c>
    </row>
    <row r="95" spans="1:5" x14ac:dyDescent="0.25">
      <c r="A95" s="29" t="s">
        <v>649</v>
      </c>
      <c r="B95" s="22">
        <v>13</v>
      </c>
      <c r="C95" s="23">
        <v>3</v>
      </c>
      <c r="D95" s="32">
        <v>5</v>
      </c>
      <c r="E95" s="24">
        <v>0</v>
      </c>
    </row>
    <row r="96" spans="1:5" x14ac:dyDescent="0.25">
      <c r="A96" s="29" t="s">
        <v>650</v>
      </c>
      <c r="B96" s="22">
        <v>12</v>
      </c>
      <c r="C96" s="23">
        <v>3.8</v>
      </c>
      <c r="D96" s="32">
        <v>5.44</v>
      </c>
      <c r="E96" s="24">
        <v>0</v>
      </c>
    </row>
    <row r="97" spans="1:5" x14ac:dyDescent="0.25">
      <c r="A97" s="29" t="s">
        <v>651</v>
      </c>
      <c r="B97" s="22">
        <v>13</v>
      </c>
      <c r="C97" s="23">
        <v>3.4</v>
      </c>
      <c r="D97" s="32">
        <v>5.32</v>
      </c>
      <c r="E97" s="24">
        <v>0</v>
      </c>
    </row>
    <row r="98" spans="1:5" x14ac:dyDescent="0.25">
      <c r="A98" s="29" t="s">
        <v>652</v>
      </c>
      <c r="B98" s="22">
        <v>13</v>
      </c>
      <c r="C98" s="23">
        <v>3</v>
      </c>
      <c r="D98" s="32">
        <v>5</v>
      </c>
      <c r="E98" s="24">
        <v>0</v>
      </c>
    </row>
    <row r="99" spans="1:5" x14ac:dyDescent="0.25">
      <c r="A99" s="29" t="s">
        <v>653</v>
      </c>
      <c r="B99" s="22">
        <v>10</v>
      </c>
      <c r="C99" s="23">
        <v>2.4</v>
      </c>
      <c r="D99" s="32">
        <v>3.92</v>
      </c>
      <c r="E99" s="24">
        <v>0</v>
      </c>
    </row>
    <row r="100" spans="1:5" x14ac:dyDescent="0.25">
      <c r="A100" s="29" t="s">
        <v>654</v>
      </c>
      <c r="B100" s="22">
        <v>9</v>
      </c>
      <c r="C100" s="23">
        <v>4</v>
      </c>
      <c r="D100" s="32">
        <v>5</v>
      </c>
      <c r="E100" s="24">
        <v>0</v>
      </c>
    </row>
    <row r="101" spans="1:5" x14ac:dyDescent="0.25">
      <c r="A101" s="29" t="s">
        <v>655</v>
      </c>
      <c r="B101" s="22">
        <v>15</v>
      </c>
      <c r="C101" s="23">
        <v>4.5999999999999996</v>
      </c>
      <c r="D101" s="32">
        <v>6.68</v>
      </c>
      <c r="E101" s="24">
        <v>0</v>
      </c>
    </row>
    <row r="102" spans="1:5" x14ac:dyDescent="0.25">
      <c r="A102" s="29" t="s">
        <v>656</v>
      </c>
      <c r="B102" s="22">
        <v>9</v>
      </c>
      <c r="C102" s="23">
        <v>2</v>
      </c>
      <c r="D102" s="32">
        <v>3.4000000000000004</v>
      </c>
      <c r="E102" s="24">
        <v>0</v>
      </c>
    </row>
    <row r="103" spans="1:5" x14ac:dyDescent="0.25">
      <c r="A103" s="29" t="s">
        <v>657</v>
      </c>
      <c r="B103" s="22">
        <v>10</v>
      </c>
      <c r="C103" s="23">
        <v>3</v>
      </c>
      <c r="D103" s="32">
        <v>4.4000000000000004</v>
      </c>
      <c r="E103" s="24">
        <v>0</v>
      </c>
    </row>
    <row r="104" spans="1:5" x14ac:dyDescent="0.25">
      <c r="A104" s="29" t="s">
        <v>658</v>
      </c>
      <c r="B104" s="22">
        <v>12</v>
      </c>
      <c r="C104" s="23">
        <v>3.8</v>
      </c>
      <c r="D104" s="32">
        <v>5.44</v>
      </c>
      <c r="E104" s="24">
        <v>0</v>
      </c>
    </row>
    <row r="105" spans="1:5" x14ac:dyDescent="0.25">
      <c r="A105" s="29" t="s">
        <v>659</v>
      </c>
      <c r="B105" s="22">
        <v>12</v>
      </c>
      <c r="C105" s="23">
        <v>1</v>
      </c>
      <c r="D105" s="32">
        <v>3.2</v>
      </c>
      <c r="E105" s="24">
        <v>0</v>
      </c>
    </row>
    <row r="106" spans="1:5" x14ac:dyDescent="0.25">
      <c r="A106" s="29" t="s">
        <v>660</v>
      </c>
      <c r="B106" s="22">
        <v>9</v>
      </c>
      <c r="C106" s="23">
        <v>3.2</v>
      </c>
      <c r="D106" s="32">
        <v>4.3600000000000003</v>
      </c>
      <c r="E106" s="24">
        <v>0</v>
      </c>
    </row>
    <row r="107" spans="1:5" x14ac:dyDescent="0.25">
      <c r="A107" s="29" t="s">
        <v>661</v>
      </c>
      <c r="B107" s="22">
        <v>10</v>
      </c>
      <c r="C107" s="23">
        <v>3</v>
      </c>
      <c r="D107" s="32">
        <v>4.4000000000000004</v>
      </c>
      <c r="E107" s="24">
        <v>0</v>
      </c>
    </row>
    <row r="108" spans="1:5" x14ac:dyDescent="0.25">
      <c r="A108" s="29" t="s">
        <v>662</v>
      </c>
      <c r="B108" s="22">
        <v>12</v>
      </c>
      <c r="C108" s="23">
        <v>7.2</v>
      </c>
      <c r="D108" s="32">
        <v>8.16</v>
      </c>
      <c r="E108" s="24">
        <v>0</v>
      </c>
    </row>
    <row r="109" spans="1:5" x14ac:dyDescent="0.25">
      <c r="A109" s="29" t="s">
        <v>663</v>
      </c>
      <c r="B109" s="22">
        <v>9</v>
      </c>
      <c r="C109" s="23">
        <v>2</v>
      </c>
      <c r="D109" s="32">
        <v>3.4000000000000004</v>
      </c>
      <c r="E109" s="24">
        <v>0</v>
      </c>
    </row>
    <row r="110" spans="1:5" x14ac:dyDescent="0.25">
      <c r="A110" s="29" t="s">
        <v>664</v>
      </c>
      <c r="B110" s="22">
        <v>10</v>
      </c>
      <c r="C110" s="23">
        <v>1</v>
      </c>
      <c r="D110" s="32">
        <v>2.8</v>
      </c>
      <c r="E110" s="24">
        <v>0</v>
      </c>
    </row>
    <row r="111" spans="1:5" x14ac:dyDescent="0.25">
      <c r="A111" s="29" t="s">
        <v>665</v>
      </c>
      <c r="B111" s="22">
        <v>9</v>
      </c>
      <c r="C111" s="23">
        <v>2</v>
      </c>
      <c r="D111" s="32">
        <v>3.4000000000000004</v>
      </c>
      <c r="E111" s="24">
        <v>0</v>
      </c>
    </row>
    <row r="112" spans="1:5" x14ac:dyDescent="0.25">
      <c r="A112" s="29" t="s">
        <v>666</v>
      </c>
      <c r="B112" s="22">
        <v>12</v>
      </c>
      <c r="C112" s="23">
        <v>5.4</v>
      </c>
      <c r="D112" s="32">
        <v>6.7200000000000006</v>
      </c>
      <c r="E112" s="24">
        <v>0</v>
      </c>
    </row>
    <row r="113" spans="1:5" x14ac:dyDescent="0.25">
      <c r="A113" s="29" t="s">
        <v>667</v>
      </c>
      <c r="B113" s="22">
        <v>11</v>
      </c>
      <c r="C113" s="23">
        <v>1</v>
      </c>
      <c r="D113" s="32">
        <v>3</v>
      </c>
      <c r="E113" s="24">
        <v>0</v>
      </c>
    </row>
    <row r="114" spans="1:5" x14ac:dyDescent="0.25">
      <c r="A114" s="29" t="s">
        <v>668</v>
      </c>
      <c r="B114" s="22">
        <v>12</v>
      </c>
      <c r="C114" s="23">
        <v>2.8</v>
      </c>
      <c r="D114" s="32">
        <v>4.6400000000000006</v>
      </c>
      <c r="E114" s="24">
        <v>0</v>
      </c>
    </row>
    <row r="115" spans="1:5" x14ac:dyDescent="0.25">
      <c r="A115" s="29" t="s">
        <v>669</v>
      </c>
      <c r="B115" s="22">
        <v>10</v>
      </c>
      <c r="C115" s="23">
        <v>1.6</v>
      </c>
      <c r="D115" s="32">
        <v>3.2800000000000002</v>
      </c>
      <c r="E115" s="24">
        <v>0</v>
      </c>
    </row>
    <row r="116" spans="1:5" x14ac:dyDescent="0.25">
      <c r="A116" s="29" t="s">
        <v>670</v>
      </c>
      <c r="B116" s="22">
        <v>11</v>
      </c>
      <c r="C116" s="23">
        <v>4.2</v>
      </c>
      <c r="D116" s="32">
        <v>5.5600000000000005</v>
      </c>
      <c r="E116" s="24">
        <v>0</v>
      </c>
    </row>
    <row r="117" spans="1:5" x14ac:dyDescent="0.25">
      <c r="A117" s="29" t="s">
        <v>671</v>
      </c>
      <c r="B117" s="22">
        <v>11</v>
      </c>
      <c r="C117" s="23">
        <v>2</v>
      </c>
      <c r="D117" s="32">
        <v>3.8000000000000003</v>
      </c>
      <c r="E117" s="24">
        <v>0</v>
      </c>
    </row>
    <row r="118" spans="1:5" x14ac:dyDescent="0.25">
      <c r="A118" s="29" t="s">
        <v>672</v>
      </c>
      <c r="B118" s="22">
        <v>9</v>
      </c>
      <c r="C118" s="23">
        <v>6.4</v>
      </c>
      <c r="D118" s="32">
        <v>6.9200000000000008</v>
      </c>
      <c r="E118" s="24">
        <v>0</v>
      </c>
    </row>
    <row r="119" spans="1:5" x14ac:dyDescent="0.25">
      <c r="A119" s="29" t="s">
        <v>673</v>
      </c>
      <c r="B119" s="22">
        <v>12</v>
      </c>
      <c r="C119" s="23">
        <v>3</v>
      </c>
      <c r="D119" s="32">
        <v>4.8000000000000007</v>
      </c>
      <c r="E119" s="24">
        <v>0</v>
      </c>
    </row>
    <row r="120" spans="1:5" x14ac:dyDescent="0.25">
      <c r="A120" s="29" t="s">
        <v>674</v>
      </c>
      <c r="B120" s="22">
        <v>11</v>
      </c>
      <c r="C120" s="23">
        <v>2.8</v>
      </c>
      <c r="D120" s="32">
        <v>4.4399999999999995</v>
      </c>
      <c r="E120" s="24">
        <v>0</v>
      </c>
    </row>
    <row r="121" spans="1:5" x14ac:dyDescent="0.25">
      <c r="A121" s="29" t="s">
        <v>675</v>
      </c>
      <c r="B121" s="22">
        <v>11</v>
      </c>
      <c r="C121" s="23">
        <v>4.5999999999999996</v>
      </c>
      <c r="D121" s="32">
        <v>5.88</v>
      </c>
      <c r="E121" s="24">
        <v>0</v>
      </c>
    </row>
    <row r="122" spans="1:5" x14ac:dyDescent="0.25">
      <c r="A122" s="29" t="s">
        <v>676</v>
      </c>
      <c r="B122" s="22">
        <v>11</v>
      </c>
      <c r="C122" s="23">
        <v>6.8</v>
      </c>
      <c r="D122" s="32">
        <v>7.6400000000000006</v>
      </c>
      <c r="E122" s="24">
        <v>0</v>
      </c>
    </row>
    <row r="123" spans="1:5" x14ac:dyDescent="0.25">
      <c r="A123" s="29" t="s">
        <v>677</v>
      </c>
      <c r="B123" s="22">
        <v>7</v>
      </c>
      <c r="C123" s="23">
        <v>2.6</v>
      </c>
      <c r="D123" s="32">
        <v>3.4800000000000004</v>
      </c>
      <c r="E123" s="24">
        <v>0</v>
      </c>
    </row>
    <row r="124" spans="1:5" x14ac:dyDescent="0.25">
      <c r="A124" s="29" t="s">
        <v>678</v>
      </c>
      <c r="B124" s="22">
        <v>9</v>
      </c>
      <c r="C124" s="23">
        <v>2</v>
      </c>
      <c r="D124" s="32">
        <v>3.4000000000000004</v>
      </c>
      <c r="E124" s="24">
        <v>0</v>
      </c>
    </row>
    <row r="125" spans="1:5" x14ac:dyDescent="0.25">
      <c r="A125" s="29" t="s">
        <v>679</v>
      </c>
      <c r="B125" s="22">
        <v>8</v>
      </c>
      <c r="C125" s="23">
        <v>3.6</v>
      </c>
      <c r="D125" s="32">
        <v>4.4800000000000004</v>
      </c>
      <c r="E125" s="24">
        <v>0</v>
      </c>
    </row>
    <row r="126" spans="1:5" ht="15.75" thickBot="1" x14ac:dyDescent="0.3">
      <c r="A126" s="30" t="s">
        <v>680</v>
      </c>
      <c r="B126" s="25">
        <v>11</v>
      </c>
      <c r="C126" s="26">
        <v>5.6</v>
      </c>
      <c r="D126" s="33">
        <v>6.68</v>
      </c>
      <c r="E126" s="27">
        <v>0</v>
      </c>
    </row>
  </sheetData>
  <mergeCells count="1">
    <mergeCell ref="B5:E5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77E54-914B-47E3-BC31-42A1BF089FDE}">
  <dimension ref="A1:M126"/>
  <sheetViews>
    <sheetView workbookViewId="0">
      <selection activeCell="B5" sqref="B5:G5"/>
    </sheetView>
  </sheetViews>
  <sheetFormatPr defaultRowHeight="15" x14ac:dyDescent="0.25"/>
  <cols>
    <col min="1" max="1" width="22.42578125" bestFit="1" customWidth="1"/>
    <col min="2" max="2" width="5.140625" bestFit="1" customWidth="1"/>
    <col min="3" max="3" width="6.85546875" bestFit="1" customWidth="1"/>
    <col min="4" max="4" width="13.140625" bestFit="1" customWidth="1"/>
    <col min="5" max="5" width="15.140625" bestFit="1" customWidth="1"/>
    <col min="6" max="6" width="5.5703125" bestFit="1" customWidth="1"/>
    <col min="7" max="7" width="14.85546875" bestFit="1" customWidth="1"/>
    <col min="9" max="9" width="8" bestFit="1" customWidth="1"/>
    <col min="10" max="10" width="9.28515625" bestFit="1" customWidth="1"/>
    <col min="11" max="11" width="8.5703125" bestFit="1" customWidth="1"/>
    <col min="12" max="12" width="12.5703125" bestFit="1" customWidth="1"/>
    <col min="13" max="13" width="5.5703125" bestFit="1" customWidth="1"/>
  </cols>
  <sheetData>
    <row r="1" spans="1:13" ht="15.75" thickBot="1" x14ac:dyDescent="0.3">
      <c r="A1" s="3" t="s">
        <v>549</v>
      </c>
    </row>
    <row r="2" spans="1:13" x14ac:dyDescent="0.25">
      <c r="A2" s="2" t="s">
        <v>550</v>
      </c>
    </row>
    <row r="3" spans="1:13" x14ac:dyDescent="0.25">
      <c r="A3" s="1" t="s">
        <v>551</v>
      </c>
    </row>
    <row r="4" spans="1:13" ht="15.75" thickBot="1" x14ac:dyDescent="0.3">
      <c r="A4" s="1" t="s">
        <v>552</v>
      </c>
    </row>
    <row r="5" spans="1:13" ht="15.75" thickBot="1" x14ac:dyDescent="0.3">
      <c r="A5" s="9" t="s">
        <v>553</v>
      </c>
      <c r="B5" s="87" t="s">
        <v>682</v>
      </c>
      <c r="C5" s="93"/>
      <c r="D5" s="93"/>
      <c r="E5" s="93"/>
      <c r="F5" s="93"/>
      <c r="G5" s="94"/>
    </row>
    <row r="6" spans="1:13" ht="15.75" thickBot="1" x14ac:dyDescent="0.3">
      <c r="A6" s="5" t="s">
        <v>0</v>
      </c>
      <c r="B6" s="12" t="s">
        <v>548</v>
      </c>
      <c r="C6" s="14" t="s">
        <v>557</v>
      </c>
      <c r="D6" s="14" t="s">
        <v>559</v>
      </c>
      <c r="E6" s="14" t="s">
        <v>558</v>
      </c>
      <c r="F6" s="12" t="s">
        <v>560</v>
      </c>
      <c r="G6" s="13" t="s">
        <v>546</v>
      </c>
      <c r="I6" s="46" t="s">
        <v>689</v>
      </c>
      <c r="J6" s="46" t="s">
        <v>690</v>
      </c>
      <c r="K6" s="46" t="s">
        <v>691</v>
      </c>
      <c r="L6" s="46" t="s">
        <v>692</v>
      </c>
      <c r="M6" s="46" t="s">
        <v>560</v>
      </c>
    </row>
    <row r="7" spans="1:13" x14ac:dyDescent="0.25">
      <c r="A7" s="28" t="s">
        <v>1</v>
      </c>
      <c r="B7" s="19">
        <v>5.8</v>
      </c>
      <c r="C7" s="20">
        <v>54</v>
      </c>
      <c r="D7" s="20">
        <v>5.8</v>
      </c>
      <c r="E7" s="20">
        <v>5.8</v>
      </c>
      <c r="F7" s="39">
        <f>(E7-D7)/E7*100</f>
        <v>0</v>
      </c>
      <c r="G7" s="38">
        <v>1.4999999999999999E-2</v>
      </c>
      <c r="I7" s="54">
        <v>50</v>
      </c>
      <c r="J7" s="19">
        <v>10</v>
      </c>
      <c r="K7" s="37">
        <f>AVERAGE(G97:G106)</f>
        <v>87.335899999999981</v>
      </c>
      <c r="L7" s="37">
        <f>AVERAGE(C97:C106)</f>
        <v>416.5</v>
      </c>
      <c r="M7" s="38">
        <f>AVERAGE(F97:F106)</f>
        <v>0</v>
      </c>
    </row>
    <row r="8" spans="1:13" x14ac:dyDescent="0.25">
      <c r="A8" s="29" t="s">
        <v>2</v>
      </c>
      <c r="B8" s="22">
        <v>2.6</v>
      </c>
      <c r="C8" s="23">
        <v>2138</v>
      </c>
      <c r="D8" s="23">
        <v>2.5563639999999999</v>
      </c>
      <c r="E8" s="23">
        <v>2.6</v>
      </c>
      <c r="F8" s="39">
        <f t="shared" ref="F8:F71" si="0">(E8-D8)/E8*100</f>
        <v>1.6783076923077012</v>
      </c>
      <c r="G8" s="40">
        <v>3600.0320000000002</v>
      </c>
      <c r="I8" s="55">
        <v>75</v>
      </c>
      <c r="J8" s="22">
        <v>10</v>
      </c>
      <c r="K8" s="39">
        <f>AVERAGE(G117:G126)</f>
        <v>1140.8173999999999</v>
      </c>
      <c r="L8" s="39">
        <f>AVERAGE(C117:C126)</f>
        <v>1326.2</v>
      </c>
      <c r="M8" s="40">
        <f>AVERAGE(F117:F126)</f>
        <v>0</v>
      </c>
    </row>
    <row r="9" spans="1:13" x14ac:dyDescent="0.25">
      <c r="A9" s="29" t="s">
        <v>3</v>
      </c>
      <c r="B9" s="22">
        <v>4.28</v>
      </c>
      <c r="C9" s="23">
        <v>334</v>
      </c>
      <c r="D9" s="23">
        <v>4.28</v>
      </c>
      <c r="E9" s="23">
        <v>4.28</v>
      </c>
      <c r="F9" s="39">
        <f t="shared" si="0"/>
        <v>0</v>
      </c>
      <c r="G9" s="40">
        <v>2.75</v>
      </c>
      <c r="I9" s="55">
        <v>100</v>
      </c>
      <c r="J9" s="22">
        <v>10</v>
      </c>
      <c r="K9" s="39">
        <f>AVERAGE(G17:G26)</f>
        <v>62.732699999999987</v>
      </c>
      <c r="L9" s="39">
        <f>AVERAGE(C17:C26)</f>
        <v>312.5</v>
      </c>
      <c r="M9" s="40">
        <f>AVERAGE(F17:F26)</f>
        <v>0</v>
      </c>
    </row>
    <row r="10" spans="1:13" x14ac:dyDescent="0.25">
      <c r="A10" s="29" t="s">
        <v>4</v>
      </c>
      <c r="B10" s="22">
        <v>6.6</v>
      </c>
      <c r="C10" s="23">
        <v>890</v>
      </c>
      <c r="D10" s="23">
        <v>6.0657139999999998</v>
      </c>
      <c r="E10" s="23">
        <v>6.6</v>
      </c>
      <c r="F10" s="39">
        <f t="shared" si="0"/>
        <v>8.0952424242424215</v>
      </c>
      <c r="G10" s="40">
        <v>3600.047</v>
      </c>
      <c r="I10" s="55">
        <v>120</v>
      </c>
      <c r="J10" s="22">
        <v>10</v>
      </c>
      <c r="K10" s="39">
        <f>AVERAGE(G27:G36)</f>
        <v>8.8829000000000011</v>
      </c>
      <c r="L10" s="39">
        <f>AVERAGE(C27:C36)</f>
        <v>399</v>
      </c>
      <c r="M10" s="40">
        <f>AVERAGE(F27:F36)</f>
        <v>0</v>
      </c>
    </row>
    <row r="11" spans="1:13" x14ac:dyDescent="0.25">
      <c r="A11" s="29" t="s">
        <v>5</v>
      </c>
      <c r="B11" s="22">
        <v>3.52</v>
      </c>
      <c r="C11" s="23">
        <v>548</v>
      </c>
      <c r="D11" s="23">
        <v>3.52</v>
      </c>
      <c r="E11" s="23">
        <v>3.52</v>
      </c>
      <c r="F11" s="39">
        <f t="shared" si="0"/>
        <v>0</v>
      </c>
      <c r="G11" s="40">
        <v>2.1880000000000002</v>
      </c>
      <c r="I11" s="55">
        <v>125</v>
      </c>
      <c r="J11" s="22">
        <v>10</v>
      </c>
      <c r="K11" s="39">
        <f>AVERAGE(G37:G46)</f>
        <v>497.16399999999993</v>
      </c>
      <c r="L11" s="39">
        <f>AVERAGE(C37:C46)</f>
        <v>599.79999999999995</v>
      </c>
      <c r="M11" s="40">
        <f>AVERAGE(F37:F46)</f>
        <v>0</v>
      </c>
    </row>
    <row r="12" spans="1:13" x14ac:dyDescent="0.25">
      <c r="A12" s="29" t="s">
        <v>6</v>
      </c>
      <c r="B12" s="22">
        <v>3.12</v>
      </c>
      <c r="C12" s="23">
        <v>196</v>
      </c>
      <c r="D12" s="23">
        <v>3.12</v>
      </c>
      <c r="E12" s="23">
        <v>3.12</v>
      </c>
      <c r="F12" s="39">
        <f t="shared" si="0"/>
        <v>0</v>
      </c>
      <c r="G12" s="40">
        <v>0.157</v>
      </c>
      <c r="I12" s="55">
        <v>150</v>
      </c>
      <c r="J12" s="22">
        <v>8</v>
      </c>
      <c r="K12" s="39">
        <f>AVERAGE(G47:G56)</f>
        <v>720.9609999999999</v>
      </c>
      <c r="L12" s="39">
        <f>AVERAGE(C47:C56)</f>
        <v>526.70000000000005</v>
      </c>
      <c r="M12" s="40">
        <f>AVERAGE(F47:F56)</f>
        <v>0.35844373881932123</v>
      </c>
    </row>
    <row r="13" spans="1:13" x14ac:dyDescent="0.25">
      <c r="A13" s="29" t="s">
        <v>7</v>
      </c>
      <c r="B13" s="22">
        <v>3.12</v>
      </c>
      <c r="C13" s="23">
        <v>805</v>
      </c>
      <c r="D13" s="23">
        <v>3.12</v>
      </c>
      <c r="E13" s="23">
        <v>3.12</v>
      </c>
      <c r="F13" s="39">
        <f t="shared" si="0"/>
        <v>0</v>
      </c>
      <c r="G13" s="40">
        <v>52.109000000000002</v>
      </c>
      <c r="I13" s="55">
        <v>200</v>
      </c>
      <c r="J13" s="22">
        <v>7</v>
      </c>
      <c r="K13" s="39">
        <f>AVERAGE(G57:G66)</f>
        <v>1405.2875000000001</v>
      </c>
      <c r="L13" s="39">
        <f>AVERAGE(C57:C66)</f>
        <v>954.6</v>
      </c>
      <c r="M13" s="40">
        <f>AVERAGE(F57:F66)</f>
        <v>0.30665092147435946</v>
      </c>
    </row>
    <row r="14" spans="1:13" x14ac:dyDescent="0.25">
      <c r="A14" s="29" t="s">
        <v>8</v>
      </c>
      <c r="B14" s="22">
        <v>2.8</v>
      </c>
      <c r="C14" s="23">
        <v>31</v>
      </c>
      <c r="D14" s="23">
        <v>2.8</v>
      </c>
      <c r="E14" s="23">
        <v>2.8</v>
      </c>
      <c r="F14" s="39">
        <f t="shared" si="0"/>
        <v>0</v>
      </c>
      <c r="G14" s="40">
        <v>0</v>
      </c>
      <c r="I14" s="55">
        <v>300</v>
      </c>
      <c r="J14" s="22">
        <v>10</v>
      </c>
      <c r="K14" s="39">
        <f>AVERAGE(G67:G76)</f>
        <v>51.559300000000007</v>
      </c>
      <c r="L14" s="39">
        <f>AVERAGE(C67:C76)</f>
        <v>725.9</v>
      </c>
      <c r="M14" s="40">
        <f>AVERAGE(F67:F76)</f>
        <v>0</v>
      </c>
    </row>
    <row r="15" spans="1:13" x14ac:dyDescent="0.25">
      <c r="A15" s="29" t="s">
        <v>9</v>
      </c>
      <c r="B15" s="22">
        <v>4.2</v>
      </c>
      <c r="C15" s="23">
        <v>133</v>
      </c>
      <c r="D15" s="23">
        <v>4.2</v>
      </c>
      <c r="E15" s="23">
        <v>4.2</v>
      </c>
      <c r="F15" s="39">
        <f t="shared" si="0"/>
        <v>0</v>
      </c>
      <c r="G15" s="40">
        <v>4.7E-2</v>
      </c>
      <c r="I15" s="55">
        <v>400</v>
      </c>
      <c r="J15" s="22">
        <v>10</v>
      </c>
      <c r="K15" s="39">
        <f>AVERAGE(G77:G86)</f>
        <v>135.49859999999998</v>
      </c>
      <c r="L15" s="39">
        <f>AVERAGE(C77:C86)</f>
        <v>553.79999999999995</v>
      </c>
      <c r="M15" s="40">
        <f>AVERAGE(F77:F86)</f>
        <v>0</v>
      </c>
    </row>
    <row r="16" spans="1:13" x14ac:dyDescent="0.25">
      <c r="A16" s="29" t="s">
        <v>10</v>
      </c>
      <c r="B16" s="22">
        <v>5</v>
      </c>
      <c r="C16" s="23">
        <v>129</v>
      </c>
      <c r="D16" s="23">
        <v>5</v>
      </c>
      <c r="E16" s="23">
        <v>5</v>
      </c>
      <c r="F16" s="39">
        <f t="shared" si="0"/>
        <v>0</v>
      </c>
      <c r="G16" s="40">
        <v>6.3E-2</v>
      </c>
      <c r="I16" s="55">
        <v>500</v>
      </c>
      <c r="J16" s="22">
        <v>9</v>
      </c>
      <c r="K16" s="39">
        <f>AVERAGE(G87:G96)</f>
        <v>391.92319999999995</v>
      </c>
      <c r="L16" s="39">
        <f>AVERAGE(C87:C96)</f>
        <v>468.3</v>
      </c>
      <c r="M16" s="40">
        <f>AVERAGE(F87:F96)</f>
        <v>0.18518518518518534</v>
      </c>
    </row>
    <row r="17" spans="1:13" x14ac:dyDescent="0.25">
      <c r="A17" s="29" t="s">
        <v>11</v>
      </c>
      <c r="B17" s="41">
        <v>5.08</v>
      </c>
      <c r="C17" s="23">
        <v>78</v>
      </c>
      <c r="D17" s="23">
        <v>5.08</v>
      </c>
      <c r="E17" s="23">
        <v>5.08</v>
      </c>
      <c r="F17" s="39">
        <f t="shared" si="0"/>
        <v>0</v>
      </c>
      <c r="G17" s="40">
        <v>4.7E-2</v>
      </c>
      <c r="I17" s="55">
        <v>750</v>
      </c>
      <c r="J17" s="22">
        <v>8</v>
      </c>
      <c r="K17" s="39">
        <f>AVERAGE(G107:G116)</f>
        <v>320.34080000000006</v>
      </c>
      <c r="L17" s="39">
        <f>AVERAGE(C107:C116)</f>
        <v>561.20000000000005</v>
      </c>
      <c r="M17" s="40">
        <f>AVERAGE(F107:F116)</f>
        <v>0.23884140550807326</v>
      </c>
    </row>
    <row r="18" spans="1:13" ht="15.75" thickBot="1" x14ac:dyDescent="0.3">
      <c r="A18" s="29" t="s">
        <v>12</v>
      </c>
      <c r="B18" s="41">
        <v>3.72</v>
      </c>
      <c r="C18" s="23">
        <v>72</v>
      </c>
      <c r="D18" s="23">
        <v>3.72</v>
      </c>
      <c r="E18" s="23">
        <v>3.72</v>
      </c>
      <c r="F18" s="39">
        <f t="shared" si="0"/>
        <v>0</v>
      </c>
      <c r="G18" s="40">
        <v>3.1E-2</v>
      </c>
      <c r="I18" s="56">
        <v>1000</v>
      </c>
      <c r="J18" s="25">
        <v>8</v>
      </c>
      <c r="K18" s="43">
        <f>AVERAGE(G7:G16)</f>
        <v>725.74080000000004</v>
      </c>
      <c r="L18" s="43">
        <f>AVERAGE(C7:C16)</f>
        <v>525.79999999999995</v>
      </c>
      <c r="M18" s="44">
        <f>AVERAGE(F7:F16)</f>
        <v>0.97735501165501226</v>
      </c>
    </row>
    <row r="19" spans="1:13" x14ac:dyDescent="0.25">
      <c r="A19" s="29" t="s">
        <v>13</v>
      </c>
      <c r="B19" s="41">
        <v>5</v>
      </c>
      <c r="C19" s="23">
        <v>63</v>
      </c>
      <c r="D19" s="23">
        <v>5</v>
      </c>
      <c r="E19" s="23">
        <v>5</v>
      </c>
      <c r="F19" s="39">
        <f t="shared" si="0"/>
        <v>0</v>
      </c>
      <c r="G19" s="40">
        <v>3.1E-2</v>
      </c>
      <c r="K19" s="50">
        <f>AVERAGE(G7:G126)</f>
        <v>462.35367500000018</v>
      </c>
      <c r="L19" s="39">
        <f>AVERAGE(C7:C126)</f>
        <v>614.19166666666672</v>
      </c>
      <c r="M19" s="50">
        <f>AVERAGE(F7:F126)</f>
        <v>0.17220635522016264</v>
      </c>
    </row>
    <row r="20" spans="1:13" x14ac:dyDescent="0.25">
      <c r="A20" s="29" t="s">
        <v>14</v>
      </c>
      <c r="B20" s="41">
        <v>1.76</v>
      </c>
      <c r="C20" s="23">
        <v>419</v>
      </c>
      <c r="D20" s="23">
        <v>1.76</v>
      </c>
      <c r="E20" s="23">
        <v>1.76</v>
      </c>
      <c r="F20" s="39">
        <f t="shared" si="0"/>
        <v>0</v>
      </c>
      <c r="G20" s="40">
        <v>0.57899999999999996</v>
      </c>
      <c r="K20" s="50">
        <f>MEDIAN(G7:G126)</f>
        <v>1.6795</v>
      </c>
      <c r="L20" s="50">
        <f>MEDIAN(C7:C126)</f>
        <v>390</v>
      </c>
      <c r="M20" s="50">
        <f>MEDIAN(F7:F126)</f>
        <v>0</v>
      </c>
    </row>
    <row r="21" spans="1:13" x14ac:dyDescent="0.25">
      <c r="A21" s="29" t="s">
        <v>15</v>
      </c>
      <c r="B21" s="41">
        <v>3.76</v>
      </c>
      <c r="C21" s="23">
        <v>332</v>
      </c>
      <c r="D21" s="23">
        <v>3.76</v>
      </c>
      <c r="E21" s="23">
        <v>3.76</v>
      </c>
      <c r="F21" s="39">
        <f t="shared" si="0"/>
        <v>0</v>
      </c>
      <c r="G21" s="40">
        <v>0.437</v>
      </c>
      <c r="K21" s="50">
        <f>MAX(G7:G126)</f>
        <v>3600.047</v>
      </c>
      <c r="L21">
        <f>MAX(C7:C126)</f>
        <v>3143</v>
      </c>
      <c r="M21" s="50">
        <f>MAX(F7:F126)</f>
        <v>8.0952424242424215</v>
      </c>
    </row>
    <row r="22" spans="1:13" x14ac:dyDescent="0.25">
      <c r="A22" s="29" t="s">
        <v>16</v>
      </c>
      <c r="B22" s="41">
        <v>4.12</v>
      </c>
      <c r="C22" s="23">
        <v>1294</v>
      </c>
      <c r="D22" s="23">
        <v>4.12</v>
      </c>
      <c r="E22" s="23">
        <v>4.12</v>
      </c>
      <c r="F22" s="39">
        <f t="shared" si="0"/>
        <v>0</v>
      </c>
      <c r="G22" s="40">
        <v>619.03099999999995</v>
      </c>
      <c r="K22" s="50">
        <f>MIN(G7:G126)</f>
        <v>0</v>
      </c>
      <c r="L22">
        <f>MIN(C7:C126)</f>
        <v>28</v>
      </c>
      <c r="M22" s="50">
        <f>MIN(F7:F126)</f>
        <v>0</v>
      </c>
    </row>
    <row r="23" spans="1:13" x14ac:dyDescent="0.25">
      <c r="A23" s="29" t="s">
        <v>17</v>
      </c>
      <c r="B23" s="41">
        <v>2.88</v>
      </c>
      <c r="C23" s="23">
        <v>686</v>
      </c>
      <c r="D23" s="23">
        <v>2.88</v>
      </c>
      <c r="E23" s="23">
        <v>2.88</v>
      </c>
      <c r="F23" s="39">
        <f t="shared" si="0"/>
        <v>0</v>
      </c>
      <c r="G23" s="40">
        <v>7.14</v>
      </c>
    </row>
    <row r="24" spans="1:13" x14ac:dyDescent="0.25">
      <c r="A24" s="29" t="s">
        <v>18</v>
      </c>
      <c r="B24" s="41">
        <v>2.2400000000000002</v>
      </c>
      <c r="C24" s="23">
        <v>62</v>
      </c>
      <c r="D24" s="23">
        <v>2.2400000000000002</v>
      </c>
      <c r="E24" s="23">
        <v>2.2400000000000002</v>
      </c>
      <c r="F24" s="39">
        <f t="shared" si="0"/>
        <v>0</v>
      </c>
      <c r="G24" s="40">
        <v>1.4999999999999999E-2</v>
      </c>
    </row>
    <row r="25" spans="1:13" x14ac:dyDescent="0.25">
      <c r="A25" s="29" t="s">
        <v>19</v>
      </c>
      <c r="B25" s="41">
        <v>4.76</v>
      </c>
      <c r="C25" s="23">
        <v>81</v>
      </c>
      <c r="D25" s="23">
        <v>4.76</v>
      </c>
      <c r="E25" s="23">
        <v>4.76</v>
      </c>
      <c r="F25" s="39">
        <f t="shared" si="0"/>
        <v>0</v>
      </c>
      <c r="G25" s="40">
        <v>1.6E-2</v>
      </c>
    </row>
    <row r="26" spans="1:13" x14ac:dyDescent="0.25">
      <c r="A26" s="29" t="s">
        <v>20</v>
      </c>
      <c r="B26" s="41">
        <v>5.2</v>
      </c>
      <c r="C26" s="23">
        <v>38</v>
      </c>
      <c r="D26" s="23">
        <v>5.2</v>
      </c>
      <c r="E26" s="23">
        <v>5.2</v>
      </c>
      <c r="F26" s="39">
        <f t="shared" si="0"/>
        <v>0</v>
      </c>
      <c r="G26" s="40">
        <v>0</v>
      </c>
    </row>
    <row r="27" spans="1:13" x14ac:dyDescent="0.25">
      <c r="A27" s="29" t="s">
        <v>21</v>
      </c>
      <c r="B27" s="41">
        <v>3.32</v>
      </c>
      <c r="C27" s="23">
        <v>339</v>
      </c>
      <c r="D27" s="23">
        <v>3.32</v>
      </c>
      <c r="E27" s="23">
        <v>3.32</v>
      </c>
      <c r="F27" s="39">
        <f t="shared" si="0"/>
        <v>0</v>
      </c>
      <c r="G27" s="40">
        <v>1.125</v>
      </c>
    </row>
    <row r="28" spans="1:13" x14ac:dyDescent="0.25">
      <c r="A28" s="29" t="s">
        <v>22</v>
      </c>
      <c r="B28" s="41">
        <v>6.36</v>
      </c>
      <c r="C28" s="23">
        <v>34</v>
      </c>
      <c r="D28" s="23">
        <v>6.36</v>
      </c>
      <c r="E28" s="23">
        <v>6.36</v>
      </c>
      <c r="F28" s="39">
        <f t="shared" si="0"/>
        <v>0</v>
      </c>
      <c r="G28" s="40">
        <v>0</v>
      </c>
    </row>
    <row r="29" spans="1:13" x14ac:dyDescent="0.25">
      <c r="A29" s="29" t="s">
        <v>23</v>
      </c>
      <c r="B29" s="41">
        <v>4.24</v>
      </c>
      <c r="C29" s="23">
        <v>549</v>
      </c>
      <c r="D29" s="23">
        <v>4.24</v>
      </c>
      <c r="E29" s="23">
        <v>4.24</v>
      </c>
      <c r="F29" s="39">
        <f t="shared" si="0"/>
        <v>0</v>
      </c>
      <c r="G29" s="40">
        <v>3.75</v>
      </c>
    </row>
    <row r="30" spans="1:13" x14ac:dyDescent="0.25">
      <c r="A30" s="29" t="s">
        <v>24</v>
      </c>
      <c r="B30" s="41">
        <v>4.4400000000000004</v>
      </c>
      <c r="C30" s="23">
        <v>623</v>
      </c>
      <c r="D30" s="23">
        <v>4.4400000000000004</v>
      </c>
      <c r="E30" s="23">
        <v>4.4400000000000004</v>
      </c>
      <c r="F30" s="39">
        <f t="shared" si="0"/>
        <v>0</v>
      </c>
      <c r="G30" s="40">
        <v>5.1719999999999997</v>
      </c>
    </row>
    <row r="31" spans="1:13" x14ac:dyDescent="0.25">
      <c r="A31" s="29" t="s">
        <v>25</v>
      </c>
      <c r="B31" s="41">
        <v>4.28</v>
      </c>
      <c r="C31" s="23">
        <v>228</v>
      </c>
      <c r="D31" s="23">
        <v>4.28</v>
      </c>
      <c r="E31" s="23">
        <v>4.28</v>
      </c>
      <c r="F31" s="39">
        <f t="shared" si="0"/>
        <v>0</v>
      </c>
      <c r="G31" s="40">
        <v>0.46899999999999997</v>
      </c>
    </row>
    <row r="32" spans="1:13" x14ac:dyDescent="0.25">
      <c r="A32" s="29" t="s">
        <v>26</v>
      </c>
      <c r="B32" s="41">
        <v>3.8</v>
      </c>
      <c r="C32" s="23">
        <v>841</v>
      </c>
      <c r="D32" s="23">
        <v>3.8</v>
      </c>
      <c r="E32" s="23">
        <v>3.8</v>
      </c>
      <c r="F32" s="39">
        <f t="shared" si="0"/>
        <v>0</v>
      </c>
      <c r="G32" s="40">
        <v>18.577999999999999</v>
      </c>
    </row>
    <row r="33" spans="1:7" x14ac:dyDescent="0.25">
      <c r="A33" s="29" t="s">
        <v>27</v>
      </c>
      <c r="B33" s="41">
        <v>2.44</v>
      </c>
      <c r="C33" s="23">
        <v>143</v>
      </c>
      <c r="D33" s="23">
        <v>2.44</v>
      </c>
      <c r="E33" s="23">
        <v>2.44</v>
      </c>
      <c r="F33" s="39">
        <f t="shared" si="0"/>
        <v>0</v>
      </c>
      <c r="G33" s="40">
        <v>6.3E-2</v>
      </c>
    </row>
    <row r="34" spans="1:7" x14ac:dyDescent="0.25">
      <c r="A34" s="29" t="s">
        <v>28</v>
      </c>
      <c r="B34" s="41">
        <v>2.48</v>
      </c>
      <c r="C34" s="23">
        <v>309</v>
      </c>
      <c r="D34" s="23">
        <v>2.48</v>
      </c>
      <c r="E34" s="23">
        <v>2.48</v>
      </c>
      <c r="F34" s="39">
        <f t="shared" si="0"/>
        <v>0</v>
      </c>
      <c r="G34" s="40">
        <v>0.59399999999999997</v>
      </c>
    </row>
    <row r="35" spans="1:7" x14ac:dyDescent="0.25">
      <c r="A35" s="29" t="s">
        <v>29</v>
      </c>
      <c r="B35" s="41">
        <v>6.2</v>
      </c>
      <c r="C35" s="23">
        <v>888</v>
      </c>
      <c r="D35" s="23">
        <v>6.2</v>
      </c>
      <c r="E35" s="23">
        <v>6.2</v>
      </c>
      <c r="F35" s="39">
        <f t="shared" si="0"/>
        <v>0</v>
      </c>
      <c r="G35" s="40">
        <v>59.078000000000003</v>
      </c>
    </row>
    <row r="36" spans="1:7" x14ac:dyDescent="0.25">
      <c r="A36" s="29" t="s">
        <v>30</v>
      </c>
      <c r="B36" s="41">
        <v>4.5199999999999996</v>
      </c>
      <c r="C36" s="23">
        <v>36</v>
      </c>
      <c r="D36" s="23">
        <v>4.5199999999999996</v>
      </c>
      <c r="E36" s="23">
        <v>4.5199999999999996</v>
      </c>
      <c r="F36" s="39">
        <f t="shared" si="0"/>
        <v>0</v>
      </c>
      <c r="G36" s="40">
        <v>0</v>
      </c>
    </row>
    <row r="37" spans="1:7" x14ac:dyDescent="0.25">
      <c r="A37" s="29" t="s">
        <v>31</v>
      </c>
      <c r="B37" s="41">
        <v>6.24</v>
      </c>
      <c r="C37" s="23">
        <v>1092</v>
      </c>
      <c r="D37" s="23">
        <v>6.24</v>
      </c>
      <c r="E37" s="23">
        <v>6.24</v>
      </c>
      <c r="F37" s="39">
        <f t="shared" si="0"/>
        <v>0</v>
      </c>
      <c r="G37" s="40">
        <v>2073.9059999999999</v>
      </c>
    </row>
    <row r="38" spans="1:7" x14ac:dyDescent="0.25">
      <c r="A38" s="29" t="s">
        <v>32</v>
      </c>
      <c r="B38" s="41">
        <v>2.6</v>
      </c>
      <c r="C38" s="23">
        <v>896</v>
      </c>
      <c r="D38" s="23">
        <v>2.6</v>
      </c>
      <c r="E38" s="23">
        <v>2.6</v>
      </c>
      <c r="F38" s="39">
        <f t="shared" si="0"/>
        <v>0</v>
      </c>
      <c r="G38" s="40">
        <v>183.328</v>
      </c>
    </row>
    <row r="39" spans="1:7" x14ac:dyDescent="0.25">
      <c r="A39" s="29" t="s">
        <v>33</v>
      </c>
      <c r="B39" s="41">
        <v>3.36</v>
      </c>
      <c r="C39" s="23">
        <v>883</v>
      </c>
      <c r="D39" s="23">
        <v>3.36</v>
      </c>
      <c r="E39" s="23">
        <v>3.36</v>
      </c>
      <c r="F39" s="39">
        <f t="shared" si="0"/>
        <v>0</v>
      </c>
      <c r="G39" s="40">
        <v>5.109</v>
      </c>
    </row>
    <row r="40" spans="1:7" x14ac:dyDescent="0.25">
      <c r="A40" s="29" t="s">
        <v>34</v>
      </c>
      <c r="B40" s="41">
        <v>2.8</v>
      </c>
      <c r="C40" s="23">
        <v>285</v>
      </c>
      <c r="D40" s="23">
        <v>2.8</v>
      </c>
      <c r="E40" s="23">
        <v>2.8</v>
      </c>
      <c r="F40" s="39">
        <f t="shared" si="0"/>
        <v>0</v>
      </c>
      <c r="G40" s="40">
        <v>0.82799999999999996</v>
      </c>
    </row>
    <row r="41" spans="1:7" x14ac:dyDescent="0.25">
      <c r="A41" s="29" t="s">
        <v>35</v>
      </c>
      <c r="B41" s="41">
        <v>3.8</v>
      </c>
      <c r="C41" s="23">
        <v>619</v>
      </c>
      <c r="D41" s="23">
        <v>3.8</v>
      </c>
      <c r="E41" s="23">
        <v>3.8</v>
      </c>
      <c r="F41" s="39">
        <f t="shared" si="0"/>
        <v>0</v>
      </c>
      <c r="G41" s="40">
        <v>7.6870000000000003</v>
      </c>
    </row>
    <row r="42" spans="1:7" x14ac:dyDescent="0.25">
      <c r="A42" s="29" t="s">
        <v>36</v>
      </c>
      <c r="B42" s="41">
        <v>5.8</v>
      </c>
      <c r="C42" s="23">
        <v>84</v>
      </c>
      <c r="D42" s="23">
        <v>5.8</v>
      </c>
      <c r="E42" s="23">
        <v>5.8</v>
      </c>
      <c r="F42" s="39">
        <f t="shared" si="0"/>
        <v>0</v>
      </c>
      <c r="G42" s="40">
        <v>3.1E-2</v>
      </c>
    </row>
    <row r="43" spans="1:7" x14ac:dyDescent="0.25">
      <c r="A43" s="29" t="s">
        <v>37</v>
      </c>
      <c r="B43" s="41">
        <v>5.88</v>
      </c>
      <c r="C43" s="23">
        <v>1037</v>
      </c>
      <c r="D43" s="23">
        <v>5.88</v>
      </c>
      <c r="E43" s="23">
        <v>5.88</v>
      </c>
      <c r="F43" s="39">
        <f t="shared" si="0"/>
        <v>0</v>
      </c>
      <c r="G43" s="40">
        <v>2664.953</v>
      </c>
    </row>
    <row r="44" spans="1:7" x14ac:dyDescent="0.25">
      <c r="A44" s="29" t="s">
        <v>38</v>
      </c>
      <c r="B44" s="41">
        <v>5.4</v>
      </c>
      <c r="C44" s="23">
        <v>30</v>
      </c>
      <c r="D44" s="23">
        <v>5.4</v>
      </c>
      <c r="E44" s="23">
        <v>5.4</v>
      </c>
      <c r="F44" s="39">
        <f t="shared" si="0"/>
        <v>0</v>
      </c>
      <c r="G44" s="40">
        <v>1.6E-2</v>
      </c>
    </row>
    <row r="45" spans="1:7" x14ac:dyDescent="0.25">
      <c r="A45" s="29" t="s">
        <v>39</v>
      </c>
      <c r="B45" s="41">
        <v>4.72</v>
      </c>
      <c r="C45" s="23">
        <v>783</v>
      </c>
      <c r="D45" s="23">
        <v>4.72</v>
      </c>
      <c r="E45" s="23">
        <v>4.72</v>
      </c>
      <c r="F45" s="39">
        <f t="shared" si="0"/>
        <v>0</v>
      </c>
      <c r="G45" s="40">
        <v>35.25</v>
      </c>
    </row>
    <row r="46" spans="1:7" x14ac:dyDescent="0.25">
      <c r="A46" s="29" t="s">
        <v>40</v>
      </c>
      <c r="B46" s="41">
        <v>2.96</v>
      </c>
      <c r="C46" s="23">
        <v>289</v>
      </c>
      <c r="D46" s="23">
        <v>2.96</v>
      </c>
      <c r="E46" s="23">
        <v>2.96</v>
      </c>
      <c r="F46" s="39">
        <f t="shared" si="0"/>
        <v>0</v>
      </c>
      <c r="G46" s="40">
        <v>0.53200000000000003</v>
      </c>
    </row>
    <row r="47" spans="1:7" x14ac:dyDescent="0.25">
      <c r="A47" s="29" t="s">
        <v>41</v>
      </c>
      <c r="B47" s="41">
        <v>1.96</v>
      </c>
      <c r="C47" s="23">
        <v>270</v>
      </c>
      <c r="D47" s="23">
        <v>1.96</v>
      </c>
      <c r="E47" s="23">
        <v>1.96</v>
      </c>
      <c r="F47" s="39">
        <f t="shared" si="0"/>
        <v>0</v>
      </c>
      <c r="G47" s="40">
        <v>0.23400000000000001</v>
      </c>
    </row>
    <row r="48" spans="1:7" x14ac:dyDescent="0.25">
      <c r="A48" s="29" t="s">
        <v>42</v>
      </c>
      <c r="B48" s="41">
        <v>3.44</v>
      </c>
      <c r="C48" s="23">
        <v>1907</v>
      </c>
      <c r="D48" s="23">
        <v>3.3854549999999999</v>
      </c>
      <c r="E48" s="23">
        <v>3.44</v>
      </c>
      <c r="F48" s="39">
        <f t="shared" si="0"/>
        <v>1.585610465116281</v>
      </c>
      <c r="G48" s="40">
        <v>3600.0160000000001</v>
      </c>
    </row>
    <row r="49" spans="1:7" x14ac:dyDescent="0.25">
      <c r="A49" s="29" t="s">
        <v>43</v>
      </c>
      <c r="B49" s="41">
        <v>3.12</v>
      </c>
      <c r="C49" s="23">
        <v>145</v>
      </c>
      <c r="D49" s="23">
        <v>3.12</v>
      </c>
      <c r="E49" s="23">
        <v>3.12</v>
      </c>
      <c r="F49" s="39">
        <f t="shared" si="0"/>
        <v>0</v>
      </c>
      <c r="G49" s="40">
        <v>4.7E-2</v>
      </c>
    </row>
    <row r="50" spans="1:7" x14ac:dyDescent="0.25">
      <c r="A50" s="29" t="s">
        <v>44</v>
      </c>
      <c r="B50" s="41">
        <v>4.3600000000000003</v>
      </c>
      <c r="C50" s="23">
        <v>524</v>
      </c>
      <c r="D50" s="23">
        <v>4.3600000000000003</v>
      </c>
      <c r="E50" s="23">
        <v>4.3600000000000003</v>
      </c>
      <c r="F50" s="39">
        <f t="shared" si="0"/>
        <v>0</v>
      </c>
      <c r="G50" s="40">
        <v>6.5</v>
      </c>
    </row>
    <row r="51" spans="1:7" x14ac:dyDescent="0.25">
      <c r="A51" s="29" t="s">
        <v>45</v>
      </c>
      <c r="B51" s="41">
        <v>3.56</v>
      </c>
      <c r="C51" s="23">
        <v>506</v>
      </c>
      <c r="D51" s="23">
        <v>3.56</v>
      </c>
      <c r="E51" s="23">
        <v>3.56</v>
      </c>
      <c r="F51" s="39">
        <f t="shared" si="0"/>
        <v>0</v>
      </c>
      <c r="G51" s="40">
        <v>2.359</v>
      </c>
    </row>
    <row r="52" spans="1:7" x14ac:dyDescent="0.25">
      <c r="A52" s="29" t="s">
        <v>46</v>
      </c>
      <c r="B52" s="41">
        <v>3</v>
      </c>
      <c r="C52" s="23">
        <v>211</v>
      </c>
      <c r="D52" s="23">
        <v>3</v>
      </c>
      <c r="E52" s="23">
        <v>3</v>
      </c>
      <c r="F52" s="39">
        <f t="shared" si="0"/>
        <v>0</v>
      </c>
      <c r="G52" s="40">
        <v>0.188</v>
      </c>
    </row>
    <row r="53" spans="1:7" x14ac:dyDescent="0.25">
      <c r="A53" s="29" t="s">
        <v>47</v>
      </c>
      <c r="B53" s="41">
        <v>5.2</v>
      </c>
      <c r="C53" s="23">
        <v>1318</v>
      </c>
      <c r="D53" s="23">
        <v>5.0960609999999997</v>
      </c>
      <c r="E53" s="23">
        <v>5.2</v>
      </c>
      <c r="F53" s="39">
        <f t="shared" si="0"/>
        <v>1.9988269230769315</v>
      </c>
      <c r="G53" s="40">
        <v>3600.047</v>
      </c>
    </row>
    <row r="54" spans="1:7" x14ac:dyDescent="0.25">
      <c r="A54" s="29" t="s">
        <v>48</v>
      </c>
      <c r="B54" s="41">
        <v>4</v>
      </c>
      <c r="C54" s="23">
        <v>95</v>
      </c>
      <c r="D54" s="23">
        <v>4</v>
      </c>
      <c r="E54" s="23">
        <v>4</v>
      </c>
      <c r="F54" s="39">
        <f t="shared" si="0"/>
        <v>0</v>
      </c>
      <c r="G54" s="40">
        <v>3.1E-2</v>
      </c>
    </row>
    <row r="55" spans="1:7" x14ac:dyDescent="0.25">
      <c r="A55" s="29" t="s">
        <v>49</v>
      </c>
      <c r="B55" s="41">
        <v>4.16</v>
      </c>
      <c r="C55" s="23">
        <v>257</v>
      </c>
      <c r="D55" s="23">
        <v>4.16</v>
      </c>
      <c r="E55" s="23">
        <v>4.16</v>
      </c>
      <c r="F55" s="39">
        <f t="shared" si="0"/>
        <v>0</v>
      </c>
      <c r="G55" s="40">
        <v>0.17199999999999999</v>
      </c>
    </row>
    <row r="56" spans="1:7" x14ac:dyDescent="0.25">
      <c r="A56" s="29" t="s">
        <v>50</v>
      </c>
      <c r="B56" s="41">
        <v>5.2</v>
      </c>
      <c r="C56" s="23">
        <v>34</v>
      </c>
      <c r="D56" s="23">
        <v>5.2</v>
      </c>
      <c r="E56" s="23">
        <v>5.2</v>
      </c>
      <c r="F56" s="39">
        <f t="shared" si="0"/>
        <v>0</v>
      </c>
      <c r="G56" s="40">
        <v>1.6E-2</v>
      </c>
    </row>
    <row r="57" spans="1:7" x14ac:dyDescent="0.25">
      <c r="A57" s="29" t="s">
        <v>51</v>
      </c>
      <c r="B57" s="41">
        <v>3.84</v>
      </c>
      <c r="C57" s="23">
        <v>2900</v>
      </c>
      <c r="D57" s="23">
        <v>3.8149999999999999</v>
      </c>
      <c r="E57" s="23">
        <v>3.84</v>
      </c>
      <c r="F57" s="39">
        <f t="shared" si="0"/>
        <v>0.6510416666666643</v>
      </c>
      <c r="G57" s="40">
        <v>3600.0320000000002</v>
      </c>
    </row>
    <row r="58" spans="1:7" x14ac:dyDescent="0.25">
      <c r="A58" s="29" t="s">
        <v>52</v>
      </c>
      <c r="B58" s="41">
        <v>6.4</v>
      </c>
      <c r="C58" s="23">
        <v>1345</v>
      </c>
      <c r="D58" s="23">
        <v>6.368487</v>
      </c>
      <c r="E58" s="23">
        <v>6.4</v>
      </c>
      <c r="F58" s="39">
        <f t="shared" si="0"/>
        <v>0.49239062500000541</v>
      </c>
      <c r="G58" s="40">
        <v>3600.0160000000001</v>
      </c>
    </row>
    <row r="59" spans="1:7" x14ac:dyDescent="0.25">
      <c r="A59" s="29" t="s">
        <v>53</v>
      </c>
      <c r="B59" s="41">
        <v>6.24</v>
      </c>
      <c r="C59" s="23">
        <v>1445</v>
      </c>
      <c r="D59" s="23">
        <v>6.12</v>
      </c>
      <c r="E59" s="23">
        <v>6.24</v>
      </c>
      <c r="F59" s="39">
        <f t="shared" si="0"/>
        <v>1.9230769230769247</v>
      </c>
      <c r="G59" s="40">
        <v>3600.0160000000001</v>
      </c>
    </row>
    <row r="60" spans="1:7" x14ac:dyDescent="0.25">
      <c r="A60" s="29" t="s">
        <v>54</v>
      </c>
      <c r="B60" s="41">
        <v>4.2</v>
      </c>
      <c r="C60" s="23">
        <v>32</v>
      </c>
      <c r="D60" s="23">
        <v>4.2</v>
      </c>
      <c r="E60" s="23">
        <v>4.2</v>
      </c>
      <c r="F60" s="39">
        <f t="shared" si="0"/>
        <v>0</v>
      </c>
      <c r="G60" s="40">
        <v>0</v>
      </c>
    </row>
    <row r="61" spans="1:7" x14ac:dyDescent="0.25">
      <c r="A61" s="29" t="s">
        <v>55</v>
      </c>
      <c r="B61" s="41">
        <v>5</v>
      </c>
      <c r="C61" s="23">
        <v>1142</v>
      </c>
      <c r="D61" s="23">
        <v>5</v>
      </c>
      <c r="E61" s="23">
        <v>5</v>
      </c>
      <c r="F61" s="39">
        <f t="shared" si="0"/>
        <v>0</v>
      </c>
      <c r="G61" s="40">
        <v>133.84299999999999</v>
      </c>
    </row>
    <row r="62" spans="1:7" x14ac:dyDescent="0.25">
      <c r="A62" s="29" t="s">
        <v>56</v>
      </c>
      <c r="B62" s="41">
        <v>5.4</v>
      </c>
      <c r="C62" s="23">
        <v>73</v>
      </c>
      <c r="D62" s="23">
        <v>5.4</v>
      </c>
      <c r="E62" s="23">
        <v>5.4</v>
      </c>
      <c r="F62" s="39">
        <f t="shared" si="0"/>
        <v>0</v>
      </c>
      <c r="G62" s="40">
        <v>3.1E-2</v>
      </c>
    </row>
    <row r="63" spans="1:7" x14ac:dyDescent="0.25">
      <c r="A63" s="29" t="s">
        <v>57</v>
      </c>
      <c r="B63" s="41">
        <v>4.32</v>
      </c>
      <c r="C63" s="23">
        <v>536</v>
      </c>
      <c r="D63" s="23">
        <v>4.32</v>
      </c>
      <c r="E63" s="23">
        <v>4.32</v>
      </c>
      <c r="F63" s="39">
        <f t="shared" si="0"/>
        <v>0</v>
      </c>
      <c r="G63" s="40">
        <v>1.4059999999999999</v>
      </c>
    </row>
    <row r="64" spans="1:7" x14ac:dyDescent="0.25">
      <c r="A64" s="29" t="s">
        <v>58</v>
      </c>
      <c r="B64" s="41">
        <v>5.12</v>
      </c>
      <c r="C64" s="23">
        <v>244</v>
      </c>
      <c r="D64" s="23">
        <v>5.12</v>
      </c>
      <c r="E64" s="23">
        <v>5.12</v>
      </c>
      <c r="F64" s="39">
        <f t="shared" si="0"/>
        <v>0</v>
      </c>
      <c r="G64" s="40">
        <v>0.312</v>
      </c>
    </row>
    <row r="65" spans="1:7" x14ac:dyDescent="0.25">
      <c r="A65" s="29" t="s">
        <v>59</v>
      </c>
      <c r="B65" s="41">
        <v>4.28</v>
      </c>
      <c r="C65" s="23">
        <v>1498</v>
      </c>
      <c r="D65" s="23">
        <v>4.28</v>
      </c>
      <c r="E65" s="23">
        <v>4.28</v>
      </c>
      <c r="F65" s="39">
        <f t="shared" si="0"/>
        <v>0</v>
      </c>
      <c r="G65" s="40">
        <v>3116.7660000000001</v>
      </c>
    </row>
    <row r="66" spans="1:7" x14ac:dyDescent="0.25">
      <c r="A66" s="29" t="s">
        <v>60</v>
      </c>
      <c r="B66" s="41">
        <v>2.76</v>
      </c>
      <c r="C66" s="23">
        <v>331</v>
      </c>
      <c r="D66" s="23">
        <v>2.76</v>
      </c>
      <c r="E66" s="23">
        <v>2.76</v>
      </c>
      <c r="F66" s="39">
        <f t="shared" si="0"/>
        <v>0</v>
      </c>
      <c r="G66" s="40">
        <v>0.45300000000000001</v>
      </c>
    </row>
    <row r="67" spans="1:7" x14ac:dyDescent="0.25">
      <c r="A67" s="29" t="s">
        <v>61</v>
      </c>
      <c r="B67" s="41">
        <v>3.2</v>
      </c>
      <c r="C67" s="23">
        <v>973</v>
      </c>
      <c r="D67" s="23">
        <v>3.2</v>
      </c>
      <c r="E67" s="23">
        <v>3.2</v>
      </c>
      <c r="F67" s="39">
        <f t="shared" si="0"/>
        <v>0</v>
      </c>
      <c r="G67" s="40">
        <v>25.719000000000001</v>
      </c>
    </row>
    <row r="68" spans="1:7" x14ac:dyDescent="0.25">
      <c r="A68" s="29" t="s">
        <v>62</v>
      </c>
      <c r="B68" s="41">
        <v>4.4400000000000004</v>
      </c>
      <c r="C68" s="23">
        <v>521</v>
      </c>
      <c r="D68" s="23">
        <v>4.4400000000000004</v>
      </c>
      <c r="E68" s="23">
        <v>4.4400000000000004</v>
      </c>
      <c r="F68" s="39">
        <f t="shared" si="0"/>
        <v>0</v>
      </c>
      <c r="G68" s="40">
        <v>5.609</v>
      </c>
    </row>
    <row r="69" spans="1:7" x14ac:dyDescent="0.25">
      <c r="A69" s="29" t="s">
        <v>63</v>
      </c>
      <c r="B69" s="41">
        <v>3.76</v>
      </c>
      <c r="C69" s="23">
        <v>262</v>
      </c>
      <c r="D69" s="23">
        <v>3.76</v>
      </c>
      <c r="E69" s="23">
        <v>3.76</v>
      </c>
      <c r="F69" s="39">
        <f t="shared" si="0"/>
        <v>0</v>
      </c>
      <c r="G69" s="40">
        <v>0.17199999999999999</v>
      </c>
    </row>
    <row r="70" spans="1:7" x14ac:dyDescent="0.25">
      <c r="A70" s="29" t="s">
        <v>64</v>
      </c>
      <c r="B70" s="41">
        <v>5.44</v>
      </c>
      <c r="C70" s="23">
        <v>261</v>
      </c>
      <c r="D70" s="23">
        <v>5.44</v>
      </c>
      <c r="E70" s="23">
        <v>5.44</v>
      </c>
      <c r="F70" s="39">
        <f t="shared" si="0"/>
        <v>0</v>
      </c>
      <c r="G70" s="40">
        <v>0.65600000000000003</v>
      </c>
    </row>
    <row r="71" spans="1:7" x14ac:dyDescent="0.25">
      <c r="A71" s="29" t="s">
        <v>65</v>
      </c>
      <c r="B71" s="41">
        <v>2.92</v>
      </c>
      <c r="C71" s="23">
        <v>509</v>
      </c>
      <c r="D71" s="23">
        <v>2.92</v>
      </c>
      <c r="E71" s="23">
        <v>2.92</v>
      </c>
      <c r="F71" s="39">
        <f t="shared" si="0"/>
        <v>0</v>
      </c>
      <c r="G71" s="40">
        <v>4.25</v>
      </c>
    </row>
    <row r="72" spans="1:7" x14ac:dyDescent="0.25">
      <c r="A72" s="29" t="s">
        <v>66</v>
      </c>
      <c r="B72" s="41">
        <v>3.24</v>
      </c>
      <c r="C72" s="23">
        <v>2716</v>
      </c>
      <c r="D72" s="23">
        <v>3.24</v>
      </c>
      <c r="E72" s="23">
        <v>3.24</v>
      </c>
      <c r="F72" s="39">
        <f t="shared" ref="F72:F126" si="1">(E72-D72)/E72*100</f>
        <v>0</v>
      </c>
      <c r="G72" s="40">
        <v>436.18799999999999</v>
      </c>
    </row>
    <row r="73" spans="1:7" x14ac:dyDescent="0.25">
      <c r="A73" s="29" t="s">
        <v>67</v>
      </c>
      <c r="B73" s="41">
        <v>4.4000000000000004</v>
      </c>
      <c r="C73" s="23">
        <v>780</v>
      </c>
      <c r="D73" s="23">
        <v>4.4000000000000004</v>
      </c>
      <c r="E73" s="23">
        <v>4.4000000000000004</v>
      </c>
      <c r="F73" s="39">
        <f t="shared" si="1"/>
        <v>0</v>
      </c>
      <c r="G73" s="40">
        <v>25.062000000000001</v>
      </c>
    </row>
    <row r="74" spans="1:7" x14ac:dyDescent="0.25">
      <c r="A74" s="29" t="s">
        <v>68</v>
      </c>
      <c r="B74" s="41">
        <v>4</v>
      </c>
      <c r="C74" s="23">
        <v>653</v>
      </c>
      <c r="D74" s="23">
        <v>4</v>
      </c>
      <c r="E74" s="23">
        <v>4</v>
      </c>
      <c r="F74" s="39">
        <f t="shared" si="1"/>
        <v>0</v>
      </c>
      <c r="G74" s="40">
        <v>17.077999999999999</v>
      </c>
    </row>
    <row r="75" spans="1:7" x14ac:dyDescent="0.25">
      <c r="A75" s="29" t="s">
        <v>69</v>
      </c>
      <c r="B75" s="41">
        <v>3.24</v>
      </c>
      <c r="C75" s="23">
        <v>289</v>
      </c>
      <c r="D75" s="23">
        <v>3.24</v>
      </c>
      <c r="E75" s="23">
        <v>3.24</v>
      </c>
      <c r="F75" s="39">
        <f t="shared" si="1"/>
        <v>0</v>
      </c>
      <c r="G75" s="40">
        <v>0.56299999999999994</v>
      </c>
    </row>
    <row r="76" spans="1:7" x14ac:dyDescent="0.25">
      <c r="A76" s="29" t="s">
        <v>70</v>
      </c>
      <c r="B76" s="41">
        <v>3.88</v>
      </c>
      <c r="C76" s="23">
        <v>295</v>
      </c>
      <c r="D76" s="23">
        <v>3.88</v>
      </c>
      <c r="E76" s="23">
        <v>3.88</v>
      </c>
      <c r="F76" s="39">
        <f t="shared" si="1"/>
        <v>0</v>
      </c>
      <c r="G76" s="40">
        <v>0.29599999999999999</v>
      </c>
    </row>
    <row r="77" spans="1:7" x14ac:dyDescent="0.25">
      <c r="A77" s="29" t="s">
        <v>71</v>
      </c>
      <c r="B77" s="41">
        <v>4.28</v>
      </c>
      <c r="C77" s="23">
        <v>523</v>
      </c>
      <c r="D77" s="23">
        <v>4.28</v>
      </c>
      <c r="E77" s="23">
        <v>4.28</v>
      </c>
      <c r="F77" s="39">
        <f t="shared" si="1"/>
        <v>0</v>
      </c>
      <c r="G77" s="40">
        <v>5.2969999999999997</v>
      </c>
    </row>
    <row r="78" spans="1:7" x14ac:dyDescent="0.25">
      <c r="A78" s="29" t="s">
        <v>72</v>
      </c>
      <c r="B78" s="41">
        <v>3.96</v>
      </c>
      <c r="C78" s="23">
        <v>249</v>
      </c>
      <c r="D78" s="23">
        <v>3.96</v>
      </c>
      <c r="E78" s="23">
        <v>3.96</v>
      </c>
      <c r="F78" s="39">
        <f t="shared" si="1"/>
        <v>0</v>
      </c>
      <c r="G78" s="40">
        <v>0.40600000000000003</v>
      </c>
    </row>
    <row r="79" spans="1:7" x14ac:dyDescent="0.25">
      <c r="A79" s="29" t="s">
        <v>73</v>
      </c>
      <c r="B79" s="41">
        <v>3.96</v>
      </c>
      <c r="C79" s="23">
        <v>284</v>
      </c>
      <c r="D79" s="23">
        <v>3.96</v>
      </c>
      <c r="E79" s="23">
        <v>3.96</v>
      </c>
      <c r="F79" s="39">
        <f t="shared" si="1"/>
        <v>0</v>
      </c>
      <c r="G79" s="40">
        <v>1.5309999999999999</v>
      </c>
    </row>
    <row r="80" spans="1:7" x14ac:dyDescent="0.25">
      <c r="A80" s="29" t="s">
        <v>74</v>
      </c>
      <c r="B80" s="41">
        <v>2.88</v>
      </c>
      <c r="C80" s="23">
        <v>121</v>
      </c>
      <c r="D80" s="23">
        <v>2.88</v>
      </c>
      <c r="E80" s="23">
        <v>2.88</v>
      </c>
      <c r="F80" s="39">
        <f t="shared" si="1"/>
        <v>0</v>
      </c>
      <c r="G80" s="40">
        <v>3.2000000000000001E-2</v>
      </c>
    </row>
    <row r="81" spans="1:7" x14ac:dyDescent="0.25">
      <c r="A81" s="29" t="s">
        <v>75</v>
      </c>
      <c r="B81" s="41">
        <v>3.4</v>
      </c>
      <c r="C81" s="23">
        <v>1214</v>
      </c>
      <c r="D81" s="23">
        <v>3.4</v>
      </c>
      <c r="E81" s="23">
        <v>3.4</v>
      </c>
      <c r="F81" s="39">
        <f t="shared" si="1"/>
        <v>0</v>
      </c>
      <c r="G81" s="40">
        <v>56.953000000000003</v>
      </c>
    </row>
    <row r="82" spans="1:7" x14ac:dyDescent="0.25">
      <c r="A82" s="29" t="s">
        <v>76</v>
      </c>
      <c r="B82" s="41">
        <v>5.08</v>
      </c>
      <c r="C82" s="23">
        <v>796</v>
      </c>
      <c r="D82" s="23">
        <v>5.08</v>
      </c>
      <c r="E82" s="23">
        <v>5.08</v>
      </c>
      <c r="F82" s="39">
        <f t="shared" si="1"/>
        <v>0</v>
      </c>
      <c r="G82" s="40">
        <v>49.688000000000002</v>
      </c>
    </row>
    <row r="83" spans="1:7" x14ac:dyDescent="0.25">
      <c r="A83" s="29" t="s">
        <v>77</v>
      </c>
      <c r="B83" s="41">
        <v>4.04</v>
      </c>
      <c r="C83" s="23">
        <v>356</v>
      </c>
      <c r="D83" s="23">
        <v>4.04</v>
      </c>
      <c r="E83" s="23">
        <v>4.04</v>
      </c>
      <c r="F83" s="39">
        <f t="shared" si="1"/>
        <v>0</v>
      </c>
      <c r="G83" s="40">
        <v>0.71899999999999997</v>
      </c>
    </row>
    <row r="84" spans="1:7" x14ac:dyDescent="0.25">
      <c r="A84" s="29" t="s">
        <v>78</v>
      </c>
      <c r="B84" s="41">
        <v>2.6</v>
      </c>
      <c r="C84" s="23">
        <v>1551</v>
      </c>
      <c r="D84" s="23">
        <v>2.6</v>
      </c>
      <c r="E84" s="23">
        <v>2.6</v>
      </c>
      <c r="F84" s="39">
        <f t="shared" si="1"/>
        <v>0</v>
      </c>
      <c r="G84" s="40">
        <v>1239.9069999999999</v>
      </c>
    </row>
    <row r="85" spans="1:7" x14ac:dyDescent="0.25">
      <c r="A85" s="29" t="s">
        <v>79</v>
      </c>
      <c r="B85" s="41">
        <v>5.08</v>
      </c>
      <c r="C85" s="23">
        <v>197</v>
      </c>
      <c r="D85" s="23">
        <v>5.08</v>
      </c>
      <c r="E85" s="23">
        <v>5.08</v>
      </c>
      <c r="F85" s="39">
        <f t="shared" si="1"/>
        <v>0</v>
      </c>
      <c r="G85" s="40">
        <v>0.125</v>
      </c>
    </row>
    <row r="86" spans="1:7" x14ac:dyDescent="0.25">
      <c r="A86" s="29" t="s">
        <v>80</v>
      </c>
      <c r="B86" s="41">
        <v>5.68</v>
      </c>
      <c r="C86" s="23">
        <v>247</v>
      </c>
      <c r="D86" s="23">
        <v>5.68</v>
      </c>
      <c r="E86" s="23">
        <v>5.68</v>
      </c>
      <c r="F86" s="39">
        <f t="shared" si="1"/>
        <v>0</v>
      </c>
      <c r="G86" s="40">
        <v>0.32800000000000001</v>
      </c>
    </row>
    <row r="87" spans="1:7" x14ac:dyDescent="0.25">
      <c r="A87" s="29" t="s">
        <v>81</v>
      </c>
      <c r="B87" s="41">
        <v>2.6</v>
      </c>
      <c r="C87" s="23">
        <v>419</v>
      </c>
      <c r="D87" s="23">
        <v>2.6</v>
      </c>
      <c r="E87" s="23">
        <v>2.6</v>
      </c>
      <c r="F87" s="39">
        <f t="shared" si="1"/>
        <v>0</v>
      </c>
      <c r="G87" s="40">
        <v>1.8280000000000001</v>
      </c>
    </row>
    <row r="88" spans="1:7" x14ac:dyDescent="0.25">
      <c r="A88" s="29" t="s">
        <v>82</v>
      </c>
      <c r="B88" s="41">
        <v>2.52</v>
      </c>
      <c r="C88" s="23">
        <v>638</v>
      </c>
      <c r="D88" s="23">
        <v>2.52</v>
      </c>
      <c r="E88" s="23">
        <v>2.52</v>
      </c>
      <c r="F88" s="39">
        <f t="shared" si="1"/>
        <v>0</v>
      </c>
      <c r="G88" s="40">
        <v>3.875</v>
      </c>
    </row>
    <row r="89" spans="1:7" x14ac:dyDescent="0.25">
      <c r="A89" s="29" t="s">
        <v>83</v>
      </c>
      <c r="B89" s="41">
        <v>3.24</v>
      </c>
      <c r="C89" s="23">
        <v>1331</v>
      </c>
      <c r="D89" s="23">
        <v>3.18</v>
      </c>
      <c r="E89" s="23">
        <v>3.24</v>
      </c>
      <c r="F89" s="39">
        <f t="shared" si="1"/>
        <v>1.8518518518518534</v>
      </c>
      <c r="G89" s="40">
        <v>3600.0309999999999</v>
      </c>
    </row>
    <row r="90" spans="1:7" x14ac:dyDescent="0.25">
      <c r="A90" s="29" t="s">
        <v>84</v>
      </c>
      <c r="B90" s="41">
        <v>5.2</v>
      </c>
      <c r="C90" s="23">
        <v>267</v>
      </c>
      <c r="D90" s="23">
        <v>5.2</v>
      </c>
      <c r="E90" s="23">
        <v>5.2</v>
      </c>
      <c r="F90" s="39">
        <f t="shared" si="1"/>
        <v>0</v>
      </c>
      <c r="G90" s="40">
        <v>0.71799999999999997</v>
      </c>
    </row>
    <row r="91" spans="1:7" x14ac:dyDescent="0.25">
      <c r="A91" s="29" t="s">
        <v>85</v>
      </c>
      <c r="B91" s="41">
        <v>4.28</v>
      </c>
      <c r="C91" s="23">
        <v>142</v>
      </c>
      <c r="D91" s="23">
        <v>4.28</v>
      </c>
      <c r="E91" s="23">
        <v>4.28</v>
      </c>
      <c r="F91" s="39">
        <f t="shared" si="1"/>
        <v>0</v>
      </c>
      <c r="G91" s="40">
        <v>7.8E-2</v>
      </c>
    </row>
    <row r="92" spans="1:7" x14ac:dyDescent="0.25">
      <c r="A92" s="29" t="s">
        <v>86</v>
      </c>
      <c r="B92" s="41">
        <v>1.6</v>
      </c>
      <c r="C92" s="23">
        <v>366</v>
      </c>
      <c r="D92" s="23">
        <v>1.6</v>
      </c>
      <c r="E92" s="23">
        <v>1.6</v>
      </c>
      <c r="F92" s="39">
        <f t="shared" si="1"/>
        <v>0</v>
      </c>
      <c r="G92" s="40">
        <v>0.82799999999999996</v>
      </c>
    </row>
    <row r="93" spans="1:7" x14ac:dyDescent="0.25">
      <c r="A93" s="29" t="s">
        <v>87</v>
      </c>
      <c r="B93" s="41">
        <v>3.6</v>
      </c>
      <c r="C93" s="23">
        <v>414</v>
      </c>
      <c r="D93" s="23">
        <v>3.6</v>
      </c>
      <c r="E93" s="23">
        <v>3.6</v>
      </c>
      <c r="F93" s="39">
        <f t="shared" si="1"/>
        <v>0</v>
      </c>
      <c r="G93" s="40">
        <v>3.1709999999999998</v>
      </c>
    </row>
    <row r="94" spans="1:7" x14ac:dyDescent="0.25">
      <c r="A94" s="29" t="s">
        <v>88</v>
      </c>
      <c r="B94" s="41">
        <v>4.84</v>
      </c>
      <c r="C94" s="23">
        <v>550</v>
      </c>
      <c r="D94" s="23">
        <v>4.84</v>
      </c>
      <c r="E94" s="23">
        <v>4.84</v>
      </c>
      <c r="F94" s="39">
        <f t="shared" si="1"/>
        <v>0</v>
      </c>
      <c r="G94" s="40">
        <v>306.04700000000003</v>
      </c>
    </row>
    <row r="95" spans="1:7" x14ac:dyDescent="0.25">
      <c r="A95" s="29" t="s">
        <v>89</v>
      </c>
      <c r="B95" s="41">
        <v>4.12</v>
      </c>
      <c r="C95" s="23">
        <v>200</v>
      </c>
      <c r="D95" s="23">
        <v>4.12</v>
      </c>
      <c r="E95" s="23">
        <v>4.12</v>
      </c>
      <c r="F95" s="39">
        <f t="shared" si="1"/>
        <v>0</v>
      </c>
      <c r="G95" s="40">
        <v>0.20300000000000001</v>
      </c>
    </row>
    <row r="96" spans="1:7" x14ac:dyDescent="0.25">
      <c r="A96" s="29" t="s">
        <v>90</v>
      </c>
      <c r="B96" s="41">
        <v>4.12</v>
      </c>
      <c r="C96" s="23">
        <v>356</v>
      </c>
      <c r="D96" s="23">
        <v>4.12</v>
      </c>
      <c r="E96" s="23">
        <v>4.12</v>
      </c>
      <c r="F96" s="39">
        <f t="shared" si="1"/>
        <v>0</v>
      </c>
      <c r="G96" s="40">
        <v>2.4529999999999998</v>
      </c>
    </row>
    <row r="97" spans="1:7" x14ac:dyDescent="0.25">
      <c r="A97" s="29" t="s">
        <v>91</v>
      </c>
      <c r="B97" s="41">
        <v>4.68</v>
      </c>
      <c r="C97" s="23">
        <v>298</v>
      </c>
      <c r="D97" s="23">
        <v>4.68</v>
      </c>
      <c r="E97" s="23">
        <v>4.68</v>
      </c>
      <c r="F97" s="39">
        <f t="shared" si="1"/>
        <v>0</v>
      </c>
      <c r="G97" s="40">
        <v>0.92200000000000004</v>
      </c>
    </row>
    <row r="98" spans="1:7" x14ac:dyDescent="0.25">
      <c r="A98" s="29" t="s">
        <v>92</v>
      </c>
      <c r="B98" s="41">
        <v>5</v>
      </c>
      <c r="C98" s="23">
        <v>32</v>
      </c>
      <c r="D98" s="23">
        <v>5</v>
      </c>
      <c r="E98" s="23">
        <v>5</v>
      </c>
      <c r="F98" s="39">
        <f t="shared" si="1"/>
        <v>0</v>
      </c>
      <c r="G98" s="40">
        <v>0</v>
      </c>
    </row>
    <row r="99" spans="1:7" x14ac:dyDescent="0.25">
      <c r="A99" s="29" t="s">
        <v>93</v>
      </c>
      <c r="B99" s="41">
        <v>3.76</v>
      </c>
      <c r="C99" s="23">
        <v>306</v>
      </c>
      <c r="D99" s="23">
        <v>3.76</v>
      </c>
      <c r="E99" s="23">
        <v>3.76</v>
      </c>
      <c r="F99" s="39">
        <f t="shared" si="1"/>
        <v>0</v>
      </c>
      <c r="G99" s="40">
        <v>0.23400000000000001</v>
      </c>
    </row>
    <row r="100" spans="1:7" x14ac:dyDescent="0.25">
      <c r="A100" s="29" t="s">
        <v>94</v>
      </c>
      <c r="B100" s="41">
        <v>4.68</v>
      </c>
      <c r="C100" s="23">
        <v>958</v>
      </c>
      <c r="D100" s="23">
        <v>4.68</v>
      </c>
      <c r="E100" s="23">
        <v>4.68</v>
      </c>
      <c r="F100" s="39">
        <f t="shared" si="1"/>
        <v>0</v>
      </c>
      <c r="G100" s="40">
        <v>19.61</v>
      </c>
    </row>
    <row r="101" spans="1:7" x14ac:dyDescent="0.25">
      <c r="A101" s="29" t="s">
        <v>95</v>
      </c>
      <c r="B101" s="41">
        <v>5.52</v>
      </c>
      <c r="C101" s="23">
        <v>714</v>
      </c>
      <c r="D101" s="23">
        <v>5.52</v>
      </c>
      <c r="E101" s="23">
        <v>5.52</v>
      </c>
      <c r="F101" s="39">
        <f t="shared" si="1"/>
        <v>0</v>
      </c>
      <c r="G101" s="40">
        <v>800.98500000000001</v>
      </c>
    </row>
    <row r="102" spans="1:7" x14ac:dyDescent="0.25">
      <c r="A102" s="29" t="s">
        <v>96</v>
      </c>
      <c r="B102" s="41">
        <v>3.24</v>
      </c>
      <c r="C102" s="23">
        <v>1065</v>
      </c>
      <c r="D102" s="23">
        <v>3.24</v>
      </c>
      <c r="E102" s="23">
        <v>3.24</v>
      </c>
      <c r="F102" s="39">
        <f t="shared" si="1"/>
        <v>0</v>
      </c>
      <c r="G102" s="40">
        <v>44.14</v>
      </c>
    </row>
    <row r="103" spans="1:7" x14ac:dyDescent="0.25">
      <c r="A103" s="29" t="s">
        <v>97</v>
      </c>
      <c r="B103" s="41">
        <v>4.2</v>
      </c>
      <c r="C103" s="23">
        <v>565</v>
      </c>
      <c r="D103" s="23">
        <v>4.2</v>
      </c>
      <c r="E103" s="23">
        <v>4.2</v>
      </c>
      <c r="F103" s="39">
        <f t="shared" si="1"/>
        <v>0</v>
      </c>
      <c r="G103" s="40">
        <v>7.4059999999999997</v>
      </c>
    </row>
    <row r="104" spans="1:7" x14ac:dyDescent="0.25">
      <c r="A104" s="29" t="s">
        <v>98</v>
      </c>
      <c r="B104" s="41">
        <v>4.4400000000000004</v>
      </c>
      <c r="C104" s="23">
        <v>58</v>
      </c>
      <c r="D104" s="23">
        <v>4.4400000000000004</v>
      </c>
      <c r="E104" s="23">
        <v>4.4400000000000004</v>
      </c>
      <c r="F104" s="39">
        <f t="shared" si="1"/>
        <v>0</v>
      </c>
      <c r="G104" s="40">
        <v>3.1E-2</v>
      </c>
    </row>
    <row r="105" spans="1:7" x14ac:dyDescent="0.25">
      <c r="A105" s="29" t="s">
        <v>99</v>
      </c>
      <c r="B105" s="41">
        <v>3.2</v>
      </c>
      <c r="C105" s="23">
        <v>28</v>
      </c>
      <c r="D105" s="23">
        <v>3.2</v>
      </c>
      <c r="E105" s="23">
        <v>3.2</v>
      </c>
      <c r="F105" s="39">
        <f t="shared" si="1"/>
        <v>0</v>
      </c>
      <c r="G105" s="40">
        <v>0</v>
      </c>
    </row>
    <row r="106" spans="1:7" x14ac:dyDescent="0.25">
      <c r="A106" s="29" t="s">
        <v>100</v>
      </c>
      <c r="B106" s="41">
        <v>4.2</v>
      </c>
      <c r="C106" s="23">
        <v>141</v>
      </c>
      <c r="D106" s="23">
        <v>4.2</v>
      </c>
      <c r="E106" s="23">
        <v>4.2</v>
      </c>
      <c r="F106" s="39">
        <f t="shared" si="1"/>
        <v>0</v>
      </c>
      <c r="G106" s="40">
        <v>3.1E-2</v>
      </c>
    </row>
    <row r="107" spans="1:7" x14ac:dyDescent="0.25">
      <c r="A107" s="29" t="s">
        <v>101</v>
      </c>
      <c r="B107" s="41">
        <v>3.28</v>
      </c>
      <c r="C107" s="23">
        <v>533</v>
      </c>
      <c r="D107" s="23">
        <v>3.16</v>
      </c>
      <c r="E107" s="23">
        <v>3.16</v>
      </c>
      <c r="F107" s="39">
        <f t="shared" si="1"/>
        <v>0</v>
      </c>
      <c r="G107" s="40">
        <v>5.9530000000000003</v>
      </c>
    </row>
    <row r="108" spans="1:7" x14ac:dyDescent="0.25">
      <c r="A108" s="29" t="s">
        <v>102</v>
      </c>
      <c r="B108" s="41">
        <v>6.2</v>
      </c>
      <c r="C108" s="23">
        <v>195</v>
      </c>
      <c r="D108" s="23">
        <v>5.48</v>
      </c>
      <c r="E108" s="23">
        <v>5.48</v>
      </c>
      <c r="F108" s="39">
        <f t="shared" si="1"/>
        <v>0</v>
      </c>
      <c r="G108" s="40">
        <v>0.188</v>
      </c>
    </row>
    <row r="109" spans="1:7" x14ac:dyDescent="0.25">
      <c r="A109" s="29" t="s">
        <v>103</v>
      </c>
      <c r="B109" s="41">
        <v>3.24</v>
      </c>
      <c r="C109" s="23">
        <v>1055</v>
      </c>
      <c r="D109" s="23">
        <v>4.8</v>
      </c>
      <c r="E109" s="23">
        <v>4.8</v>
      </c>
      <c r="F109" s="39">
        <f t="shared" si="1"/>
        <v>0</v>
      </c>
      <c r="G109" s="40">
        <v>62.39</v>
      </c>
    </row>
    <row r="110" spans="1:7" x14ac:dyDescent="0.25">
      <c r="A110" s="29" t="s">
        <v>104</v>
      </c>
      <c r="B110" s="41">
        <v>2.8</v>
      </c>
      <c r="C110" s="23">
        <v>1602</v>
      </c>
      <c r="D110" s="23">
        <v>3.76</v>
      </c>
      <c r="E110" s="23">
        <v>3.76</v>
      </c>
      <c r="F110" s="39">
        <f t="shared" si="1"/>
        <v>0</v>
      </c>
      <c r="G110" s="40">
        <v>3102.3130000000001</v>
      </c>
    </row>
    <row r="111" spans="1:7" x14ac:dyDescent="0.25">
      <c r="A111" s="29" t="s">
        <v>105</v>
      </c>
      <c r="B111" s="41">
        <v>2.76</v>
      </c>
      <c r="C111" s="23">
        <v>616</v>
      </c>
      <c r="D111" s="23">
        <v>5.14</v>
      </c>
      <c r="E111" s="23">
        <v>5.2</v>
      </c>
      <c r="F111" s="39">
        <f t="shared" si="1"/>
        <v>1.1538461538461635</v>
      </c>
      <c r="G111" s="40">
        <v>17.25</v>
      </c>
    </row>
    <row r="112" spans="1:7" x14ac:dyDescent="0.25">
      <c r="A112" s="29" t="s">
        <v>106</v>
      </c>
      <c r="B112" s="41">
        <v>6.08</v>
      </c>
      <c r="C112" s="23">
        <v>460</v>
      </c>
      <c r="D112" s="23">
        <v>6.16</v>
      </c>
      <c r="E112" s="23">
        <v>6.16</v>
      </c>
      <c r="F112" s="39">
        <f t="shared" si="1"/>
        <v>0</v>
      </c>
      <c r="G112" s="40">
        <v>8.016</v>
      </c>
    </row>
    <row r="113" spans="1:7" x14ac:dyDescent="0.25">
      <c r="A113" s="29" t="s">
        <v>107</v>
      </c>
      <c r="B113" s="41">
        <v>2</v>
      </c>
      <c r="C113" s="23">
        <v>348</v>
      </c>
      <c r="D113" s="23">
        <v>3.28</v>
      </c>
      <c r="E113" s="23">
        <v>3.28</v>
      </c>
      <c r="F113" s="39">
        <f t="shared" si="1"/>
        <v>0</v>
      </c>
      <c r="G113" s="40">
        <v>1.016</v>
      </c>
    </row>
    <row r="114" spans="1:7" x14ac:dyDescent="0.25">
      <c r="A114" s="29" t="s">
        <v>108</v>
      </c>
      <c r="B114" s="41">
        <v>3.64</v>
      </c>
      <c r="C114" s="23">
        <v>82</v>
      </c>
      <c r="D114" s="23">
        <v>3.2</v>
      </c>
      <c r="E114" s="23">
        <v>3.24</v>
      </c>
      <c r="F114" s="39">
        <f t="shared" si="1"/>
        <v>1.2345679012345689</v>
      </c>
      <c r="G114" s="40">
        <v>3.1E-2</v>
      </c>
    </row>
    <row r="115" spans="1:7" x14ac:dyDescent="0.25">
      <c r="A115" s="29" t="s">
        <v>109</v>
      </c>
      <c r="B115" s="41">
        <v>2.76</v>
      </c>
      <c r="C115" s="23">
        <v>653</v>
      </c>
      <c r="D115" s="23">
        <v>3.68</v>
      </c>
      <c r="E115" s="23">
        <v>3.68</v>
      </c>
      <c r="F115" s="39">
        <f t="shared" si="1"/>
        <v>0</v>
      </c>
      <c r="G115" s="40">
        <v>6.2190000000000003</v>
      </c>
    </row>
    <row r="116" spans="1:7" x14ac:dyDescent="0.25">
      <c r="A116" s="29" t="s">
        <v>110</v>
      </c>
      <c r="B116" s="41">
        <v>4.88</v>
      </c>
      <c r="C116" s="23">
        <v>68</v>
      </c>
      <c r="D116" s="23">
        <v>5.52</v>
      </c>
      <c r="E116" s="23">
        <v>5.52</v>
      </c>
      <c r="F116" s="39">
        <f t="shared" si="1"/>
        <v>0</v>
      </c>
      <c r="G116" s="40">
        <v>3.2000000000000001E-2</v>
      </c>
    </row>
    <row r="117" spans="1:7" x14ac:dyDescent="0.25">
      <c r="A117" s="29" t="s">
        <v>111</v>
      </c>
      <c r="B117" s="41">
        <v>3.16</v>
      </c>
      <c r="C117" s="23">
        <v>193</v>
      </c>
      <c r="D117" s="23">
        <v>3.28</v>
      </c>
      <c r="E117" s="23">
        <v>3.28</v>
      </c>
      <c r="F117" s="39">
        <f t="shared" si="1"/>
        <v>0</v>
      </c>
      <c r="G117" s="40">
        <v>0.109</v>
      </c>
    </row>
    <row r="118" spans="1:7" x14ac:dyDescent="0.25">
      <c r="A118" s="29" t="s">
        <v>112</v>
      </c>
      <c r="B118" s="41">
        <v>5.48</v>
      </c>
      <c r="C118" s="23">
        <v>1008</v>
      </c>
      <c r="D118" s="23">
        <v>6.2</v>
      </c>
      <c r="E118" s="23">
        <v>6.2</v>
      </c>
      <c r="F118" s="39">
        <f t="shared" si="1"/>
        <v>0</v>
      </c>
      <c r="G118" s="40">
        <v>32.546999999999997</v>
      </c>
    </row>
    <row r="119" spans="1:7" x14ac:dyDescent="0.25">
      <c r="A119" s="29" t="s">
        <v>113</v>
      </c>
      <c r="B119" s="41">
        <v>4.8</v>
      </c>
      <c r="C119" s="23">
        <v>30</v>
      </c>
      <c r="D119" s="23">
        <v>3.24</v>
      </c>
      <c r="E119" s="23">
        <v>3.24</v>
      </c>
      <c r="F119" s="39">
        <f t="shared" si="1"/>
        <v>0</v>
      </c>
      <c r="G119" s="40">
        <v>0</v>
      </c>
    </row>
    <row r="120" spans="1:7" x14ac:dyDescent="0.25">
      <c r="A120" s="29" t="s">
        <v>114</v>
      </c>
      <c r="B120" s="41">
        <v>3.76</v>
      </c>
      <c r="C120" s="23">
        <v>552</v>
      </c>
      <c r="D120" s="23">
        <v>2.8</v>
      </c>
      <c r="E120" s="23">
        <v>2.8</v>
      </c>
      <c r="F120" s="39">
        <f t="shared" si="1"/>
        <v>0</v>
      </c>
      <c r="G120" s="40">
        <v>3.641</v>
      </c>
    </row>
    <row r="121" spans="1:7" x14ac:dyDescent="0.25">
      <c r="A121" s="29" t="s">
        <v>115</v>
      </c>
      <c r="B121" s="41">
        <v>5.2</v>
      </c>
      <c r="C121" s="23">
        <v>1244</v>
      </c>
      <c r="D121" s="23">
        <v>2.76</v>
      </c>
      <c r="E121" s="23">
        <v>2.76</v>
      </c>
      <c r="F121" s="39">
        <f t="shared" si="1"/>
        <v>0</v>
      </c>
      <c r="G121" s="40">
        <v>3600.0309999999999</v>
      </c>
    </row>
    <row r="122" spans="1:7" x14ac:dyDescent="0.25">
      <c r="A122" s="29" t="s">
        <v>116</v>
      </c>
      <c r="B122" s="41">
        <v>6.16</v>
      </c>
      <c r="C122" s="23">
        <v>1512</v>
      </c>
      <c r="D122" s="23">
        <v>6.08</v>
      </c>
      <c r="E122" s="23">
        <v>6.08</v>
      </c>
      <c r="F122" s="39">
        <f t="shared" si="1"/>
        <v>0</v>
      </c>
      <c r="G122" s="40">
        <v>3368.2190000000001</v>
      </c>
    </row>
    <row r="123" spans="1:7" x14ac:dyDescent="0.25">
      <c r="A123" s="29" t="s">
        <v>117</v>
      </c>
      <c r="B123" s="41">
        <v>3.28</v>
      </c>
      <c r="C123" s="23">
        <v>3065</v>
      </c>
      <c r="D123" s="23">
        <v>2</v>
      </c>
      <c r="E123" s="23">
        <v>2</v>
      </c>
      <c r="F123" s="39">
        <f t="shared" si="1"/>
        <v>0</v>
      </c>
      <c r="G123" s="40">
        <v>77.578999999999994</v>
      </c>
    </row>
    <row r="124" spans="1:7" x14ac:dyDescent="0.25">
      <c r="A124" s="29" t="s">
        <v>118</v>
      </c>
      <c r="B124" s="41">
        <v>3.24</v>
      </c>
      <c r="C124" s="23">
        <v>1444</v>
      </c>
      <c r="D124" s="23">
        <v>3.64</v>
      </c>
      <c r="E124" s="23">
        <v>3.64</v>
      </c>
      <c r="F124" s="39">
        <f t="shared" si="1"/>
        <v>0</v>
      </c>
      <c r="G124" s="40">
        <v>3600.0320000000002</v>
      </c>
    </row>
    <row r="125" spans="1:7" x14ac:dyDescent="0.25">
      <c r="A125" s="29" t="s">
        <v>119</v>
      </c>
      <c r="B125" s="41">
        <v>3.68</v>
      </c>
      <c r="C125" s="23">
        <v>3143</v>
      </c>
      <c r="D125" s="23">
        <v>2.76</v>
      </c>
      <c r="E125" s="23">
        <v>2.76</v>
      </c>
      <c r="F125" s="39">
        <f t="shared" si="1"/>
        <v>0</v>
      </c>
      <c r="G125" s="40">
        <v>568.92200000000003</v>
      </c>
    </row>
    <row r="126" spans="1:7" ht="15.75" thickBot="1" x14ac:dyDescent="0.3">
      <c r="A126" s="30" t="s">
        <v>120</v>
      </c>
      <c r="B126" s="42">
        <v>5.52</v>
      </c>
      <c r="C126" s="26">
        <v>1071</v>
      </c>
      <c r="D126" s="26">
        <v>4.88</v>
      </c>
      <c r="E126" s="26">
        <v>4.88</v>
      </c>
      <c r="F126" s="43">
        <f t="shared" si="1"/>
        <v>0</v>
      </c>
      <c r="G126" s="44">
        <v>157.09399999999999</v>
      </c>
    </row>
  </sheetData>
  <mergeCells count="1">
    <mergeCell ref="B5:G5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FBA25-CE9D-48C8-A2FB-4DE06181A8F8}">
  <dimension ref="A1:AJ539"/>
  <sheetViews>
    <sheetView zoomScaleNormal="100" workbookViewId="0">
      <selection activeCell="V8" sqref="V8"/>
    </sheetView>
  </sheetViews>
  <sheetFormatPr defaultRowHeight="15" x14ac:dyDescent="0.25"/>
  <cols>
    <col min="1" max="1" width="22.42578125" bestFit="1" customWidth="1"/>
    <col min="2" max="2" width="10.28515625" bestFit="1" customWidth="1"/>
    <col min="6" max="6" width="10" bestFit="1" customWidth="1"/>
    <col min="8" max="8" width="10.140625" bestFit="1" customWidth="1"/>
    <col min="9" max="9" width="10" bestFit="1" customWidth="1"/>
    <col min="10" max="10" width="14.42578125" bestFit="1" customWidth="1"/>
    <col min="11" max="11" width="14.42578125" customWidth="1"/>
    <col min="12" max="12" width="15.5703125" bestFit="1" customWidth="1"/>
    <col min="14" max="14" width="16.140625" bestFit="1" customWidth="1"/>
    <col min="15" max="15" width="10.28515625" bestFit="1" customWidth="1"/>
    <col min="19" max="19" width="10" bestFit="1" customWidth="1"/>
    <col min="21" max="21" width="16.140625" bestFit="1" customWidth="1"/>
  </cols>
  <sheetData>
    <row r="1" spans="1:36" ht="15.75" thickBot="1" x14ac:dyDescent="0.3">
      <c r="A1" s="3" t="s">
        <v>549</v>
      </c>
    </row>
    <row r="2" spans="1:36" x14ac:dyDescent="0.25">
      <c r="A2" s="2" t="s">
        <v>550</v>
      </c>
    </row>
    <row r="3" spans="1:36" x14ac:dyDescent="0.25">
      <c r="A3" s="1" t="s">
        <v>551</v>
      </c>
    </row>
    <row r="4" spans="1:36" ht="15.75" thickBot="1" x14ac:dyDescent="0.3">
      <c r="A4" s="1" t="s">
        <v>552</v>
      </c>
    </row>
    <row r="5" spans="1:36" ht="15.75" thickBot="1" x14ac:dyDescent="0.3">
      <c r="A5" s="9" t="s">
        <v>553</v>
      </c>
      <c r="N5" s="98" t="s">
        <v>700</v>
      </c>
      <c r="O5" s="99"/>
      <c r="P5" s="100"/>
      <c r="Q5" s="98" t="s">
        <v>697</v>
      </c>
      <c r="R5" s="101"/>
      <c r="S5" s="102"/>
      <c r="V5" s="65" t="s">
        <v>704</v>
      </c>
      <c r="W5" s="66" t="s">
        <v>706</v>
      </c>
      <c r="X5" s="67" t="s">
        <v>705</v>
      </c>
      <c r="Y5" s="65" t="s">
        <v>704</v>
      </c>
      <c r="Z5" s="66" t="s">
        <v>706</v>
      </c>
      <c r="AA5" s="67" t="s">
        <v>705</v>
      </c>
      <c r="AB5" s="65" t="s">
        <v>704</v>
      </c>
      <c r="AC5" s="66" t="s">
        <v>706</v>
      </c>
      <c r="AD5" s="67" t="s">
        <v>705</v>
      </c>
      <c r="AE5" s="65" t="s">
        <v>704</v>
      </c>
      <c r="AF5" s="66" t="s">
        <v>706</v>
      </c>
      <c r="AG5" s="67" t="s">
        <v>705</v>
      </c>
      <c r="AH5" s="65" t="s">
        <v>704</v>
      </c>
      <c r="AI5" s="66" t="s">
        <v>706</v>
      </c>
      <c r="AJ5" s="67" t="s">
        <v>705</v>
      </c>
    </row>
    <row r="6" spans="1:36" ht="15.75" thickBot="1" x14ac:dyDescent="0.3">
      <c r="A6" s="45" t="s">
        <v>0</v>
      </c>
      <c r="B6" s="63" t="s">
        <v>688</v>
      </c>
      <c r="C6" s="11" t="s">
        <v>684</v>
      </c>
      <c r="D6" s="63" t="s">
        <v>695</v>
      </c>
      <c r="E6" s="63" t="s">
        <v>696</v>
      </c>
      <c r="F6" s="46" t="s">
        <v>702</v>
      </c>
      <c r="G6" s="47" t="s">
        <v>685</v>
      </c>
      <c r="H6" s="46" t="s">
        <v>686</v>
      </c>
      <c r="I6" s="46" t="s">
        <v>687</v>
      </c>
      <c r="J6" s="46" t="s">
        <v>698</v>
      </c>
      <c r="K6" s="47" t="s">
        <v>701</v>
      </c>
      <c r="L6" s="47" t="s">
        <v>703</v>
      </c>
      <c r="N6" s="46" t="s">
        <v>713</v>
      </c>
      <c r="O6" s="46" t="s">
        <v>688</v>
      </c>
      <c r="P6" s="46" t="s">
        <v>684</v>
      </c>
      <c r="Q6" s="46" t="s">
        <v>699</v>
      </c>
      <c r="R6" s="46" t="s">
        <v>696</v>
      </c>
      <c r="S6" s="46" t="s">
        <v>702</v>
      </c>
      <c r="U6" s="46" t="s">
        <v>713</v>
      </c>
      <c r="V6" s="95" t="s">
        <v>688</v>
      </c>
      <c r="W6" s="96"/>
      <c r="X6" s="97"/>
      <c r="Y6" s="95" t="s">
        <v>684</v>
      </c>
      <c r="Z6" s="96"/>
      <c r="AA6" s="97"/>
      <c r="AB6" s="95" t="s">
        <v>699</v>
      </c>
      <c r="AC6" s="96"/>
      <c r="AD6" s="97"/>
      <c r="AE6" s="95" t="s">
        <v>696</v>
      </c>
      <c r="AF6" s="96"/>
      <c r="AG6" s="97"/>
      <c r="AH6" s="95" t="s">
        <v>702</v>
      </c>
      <c r="AI6" s="96"/>
      <c r="AJ6" s="97"/>
    </row>
    <row r="7" spans="1:36" ht="15.75" thickBot="1" x14ac:dyDescent="0.3">
      <c r="A7" s="16" t="s">
        <v>1</v>
      </c>
      <c r="B7" s="51">
        <v>5.8</v>
      </c>
      <c r="C7" s="37">
        <v>6.2799999999999994</v>
      </c>
      <c r="D7" s="37">
        <v>5.8</v>
      </c>
      <c r="E7" s="37">
        <v>5.8</v>
      </c>
      <c r="F7" s="37">
        <v>5.8</v>
      </c>
      <c r="G7" s="38">
        <v>5.8</v>
      </c>
      <c r="H7" s="48">
        <f>(B7-G7)/G7</f>
        <v>0</v>
      </c>
      <c r="I7" s="48">
        <f>(C7-G7)/G7</f>
        <v>8.2758620689655102E-2</v>
      </c>
      <c r="J7" s="49">
        <f>(D7-G7)/G7</f>
        <v>0</v>
      </c>
      <c r="K7" s="49">
        <f>(E7-G7)/G7</f>
        <v>0</v>
      </c>
      <c r="L7" s="49">
        <f>(F7-G7)/G7</f>
        <v>0</v>
      </c>
      <c r="N7" s="54">
        <v>50</v>
      </c>
      <c r="O7" s="51">
        <f>AVERAGE(H97:H106)*100</f>
        <v>6.8995539575249705</v>
      </c>
      <c r="P7" s="38">
        <f>AVERAGE(I97:I106)*100</f>
        <v>8.181485511426926</v>
      </c>
      <c r="Q7" s="51">
        <f>AVERAGE(J97:J106)*100</f>
        <v>0</v>
      </c>
      <c r="R7" s="37">
        <f>AVERAGE(K97:K106)*100</f>
        <v>0</v>
      </c>
      <c r="S7" s="38">
        <f>AVERAGE(L97:L106)*100</f>
        <v>0</v>
      </c>
      <c r="U7" s="54">
        <v>50</v>
      </c>
      <c r="V7" s="22">
        <f>COUNTIF(H97:H106, "&lt;0")</f>
        <v>0</v>
      </c>
      <c r="W7" s="23">
        <f>COUNTIF(H97:H106, "=0")</f>
        <v>4</v>
      </c>
      <c r="X7" s="24">
        <f>COUNTIF(H97:H106, "&gt;0")</f>
        <v>6</v>
      </c>
      <c r="Y7" s="22">
        <f>COUNTIF(I97:I106, "&lt;0")</f>
        <v>0</v>
      </c>
      <c r="Z7" s="23">
        <f>COUNTIF(I97:I106, "=0")</f>
        <v>2</v>
      </c>
      <c r="AA7" s="24">
        <f>COUNTIF(I97:I106, "&gt;0")</f>
        <v>8</v>
      </c>
      <c r="AB7" s="22">
        <f>COUNTIF(J97:J106, "&lt;0")</f>
        <v>0</v>
      </c>
      <c r="AC7" s="23">
        <f>COUNTIF(J97:J106, "=0")</f>
        <v>10</v>
      </c>
      <c r="AD7" s="24">
        <f>COUNTIF(J97:J106, "&gt;0")</f>
        <v>0</v>
      </c>
      <c r="AE7" s="22">
        <f>COUNTIF(K97:K106, "&lt;0")</f>
        <v>0</v>
      </c>
      <c r="AF7" s="23">
        <f>COUNTIF(K97:K106, "=0")</f>
        <v>10</v>
      </c>
      <c r="AG7" s="24">
        <f>COUNTIF(K97:K106, "&gt;0")</f>
        <v>0</v>
      </c>
      <c r="AH7" s="22">
        <f>COUNTIF(L97:L106, "&lt;0")</f>
        <v>0</v>
      </c>
      <c r="AI7" s="23">
        <f>COUNTIF(L97:L106, "=0")</f>
        <v>10</v>
      </c>
      <c r="AJ7" s="24">
        <f>COUNTIF(L97:L106, "&gt;0")</f>
        <v>0</v>
      </c>
    </row>
    <row r="8" spans="1:36" ht="15.75" thickBot="1" x14ac:dyDescent="0.3">
      <c r="A8" s="16" t="s">
        <v>2</v>
      </c>
      <c r="B8" s="52">
        <v>2.6</v>
      </c>
      <c r="C8" s="39">
        <v>2.6</v>
      </c>
      <c r="D8" s="39">
        <v>2.6</v>
      </c>
      <c r="E8" s="39">
        <v>2.6</v>
      </c>
      <c r="F8" s="39">
        <v>2.6</v>
      </c>
      <c r="G8" s="40">
        <v>2.6</v>
      </c>
      <c r="H8" s="48">
        <f t="shared" ref="H8:H71" si="0">(B8-G8)/G8</f>
        <v>0</v>
      </c>
      <c r="I8" s="48">
        <f t="shared" ref="I8:I71" si="1">(C8-G8)/G8</f>
        <v>0</v>
      </c>
      <c r="J8" s="49">
        <f>(D8-G8)/G8</f>
        <v>0</v>
      </c>
      <c r="K8" s="49">
        <f t="shared" ref="K8:K71" si="2">(E8-G8)/G8</f>
        <v>0</v>
      </c>
      <c r="L8" s="49">
        <f t="shared" ref="L8:L71" si="3">(F8-G8)/G8</f>
        <v>0</v>
      </c>
      <c r="N8" s="55">
        <v>75</v>
      </c>
      <c r="O8" s="52">
        <f>AVERAGE(H117:H126)*100</f>
        <v>14.273694295993245</v>
      </c>
      <c r="P8" s="40">
        <f>AVERAGE(I117:I126)*100</f>
        <v>15.550799607456547</v>
      </c>
      <c r="Q8" s="52">
        <f>AVERAGE(J117:J126)*100</f>
        <v>0.42553191489361747</v>
      </c>
      <c r="R8" s="39">
        <f>AVERAGE(K117:K126)*100</f>
        <v>7.6923076923076983E-2</v>
      </c>
      <c r="S8" s="40">
        <f>AVERAGE(L117:L126)*100</f>
        <v>7.6923076923076983E-2</v>
      </c>
      <c r="U8" s="55">
        <v>75</v>
      </c>
      <c r="V8" s="22">
        <f>COUNTIF(H117:H126, "&lt;0")</f>
        <v>0</v>
      </c>
      <c r="W8" s="23">
        <f>COUNTIF(H117:H126, "=0")</f>
        <v>1</v>
      </c>
      <c r="X8" s="24">
        <f>COUNTIF(H117:H126, "&gt;0")</f>
        <v>9</v>
      </c>
      <c r="Y8" s="22">
        <f>COUNTIF(I117:I126, "&lt;0")</f>
        <v>0</v>
      </c>
      <c r="Z8" s="23">
        <f>COUNTIF(I117:I126, "=0")</f>
        <v>0</v>
      </c>
      <c r="AA8" s="24">
        <f>COUNTIF(I117:I126, "&gt;0")</f>
        <v>10</v>
      </c>
      <c r="AB8" s="22">
        <f>COUNTIF(J117:J126, "&lt;0")</f>
        <v>0</v>
      </c>
      <c r="AC8" s="23">
        <f>COUNTIF(J117:J126, "=0")</f>
        <v>9</v>
      </c>
      <c r="AD8" s="24">
        <f>COUNTIF(J117:J126, "&gt;0")</f>
        <v>1</v>
      </c>
      <c r="AE8" s="22">
        <f>COUNTIF(K117:K126, "&lt;0")</f>
        <v>0</v>
      </c>
      <c r="AF8" s="23">
        <f>COUNTIF(K117:K126, "=0")</f>
        <v>9</v>
      </c>
      <c r="AG8" s="24">
        <f>COUNTIF(K117:K126, "&gt;0")</f>
        <v>1</v>
      </c>
      <c r="AH8" s="22">
        <f>COUNTIF(L117:L126, "&lt;0")</f>
        <v>0</v>
      </c>
      <c r="AI8" s="23">
        <f>COUNTIF(L117:L126, "=0")</f>
        <v>9</v>
      </c>
      <c r="AJ8" s="24">
        <f>COUNTIF(L117:L126, "&gt;0")</f>
        <v>1</v>
      </c>
    </row>
    <row r="9" spans="1:36" ht="15.75" thickBot="1" x14ac:dyDescent="0.3">
      <c r="A9" s="16" t="s">
        <v>3</v>
      </c>
      <c r="B9" s="52">
        <v>4.92</v>
      </c>
      <c r="C9" s="39">
        <v>4.92</v>
      </c>
      <c r="D9" s="39">
        <v>4.28</v>
      </c>
      <c r="E9" s="39">
        <v>4.28</v>
      </c>
      <c r="F9" s="39">
        <v>4.28</v>
      </c>
      <c r="G9" s="40">
        <v>4.28</v>
      </c>
      <c r="H9" s="48">
        <f t="shared" si="0"/>
        <v>0.14953271028037374</v>
      </c>
      <c r="I9" s="48">
        <f t="shared" si="1"/>
        <v>0.14953271028037374</v>
      </c>
      <c r="J9" s="49">
        <f t="shared" ref="J9:J72" si="4">(D9-G9)/G9</f>
        <v>0</v>
      </c>
      <c r="K9" s="49">
        <f t="shared" si="2"/>
        <v>0</v>
      </c>
      <c r="L9" s="49">
        <f t="shared" si="3"/>
        <v>0</v>
      </c>
      <c r="N9" s="55">
        <v>100</v>
      </c>
      <c r="O9" s="52">
        <f>AVERAGE(H17:H26)*100</f>
        <v>15.416029485946597</v>
      </c>
      <c r="P9" s="40">
        <f>AVERAGE(I17:I26)*100</f>
        <v>18.526062180529294</v>
      </c>
      <c r="Q9" s="52">
        <f>AVERAGE(J17:J26)*100</f>
        <v>0</v>
      </c>
      <c r="R9" s="39">
        <f>AVERAGE(K17:K26)*100</f>
        <v>0</v>
      </c>
      <c r="S9" s="40">
        <f>AVERAGE(L17:L26)*100</f>
        <v>0</v>
      </c>
      <c r="U9" s="55">
        <v>100</v>
      </c>
      <c r="V9" s="22">
        <f>COUNTIF(H17:H26, "&lt;0")</f>
        <v>0</v>
      </c>
      <c r="W9" s="23">
        <f>COUNTIF(H17:H26, "=0")</f>
        <v>3</v>
      </c>
      <c r="X9" s="24">
        <f>COUNTIF(H17:H26, "&gt;0")</f>
        <v>7</v>
      </c>
      <c r="Y9" s="22">
        <f>COUNTIF(I17:I26, "&lt;0")</f>
        <v>0</v>
      </c>
      <c r="Z9" s="23">
        <f>COUNTIF(I17:I26, "=0")</f>
        <v>0</v>
      </c>
      <c r="AA9" s="24">
        <f>COUNTIF(I17:I26, "&gt;0")</f>
        <v>10</v>
      </c>
      <c r="AB9" s="22">
        <f>COUNTIF(J17:J26, "&lt;0")</f>
        <v>0</v>
      </c>
      <c r="AC9" s="23">
        <f>COUNTIF(J17:J26, "=0")</f>
        <v>10</v>
      </c>
      <c r="AD9" s="24">
        <f>COUNTIF(J17:J26, "&gt;0")</f>
        <v>0</v>
      </c>
      <c r="AE9" s="22">
        <f>COUNTIF(K17:K26, "&lt;0")</f>
        <v>0</v>
      </c>
      <c r="AF9" s="23">
        <f>COUNTIF(K17:K26, "=0")</f>
        <v>10</v>
      </c>
      <c r="AG9" s="24">
        <f>COUNTIF(K17:K26, "&gt;0")</f>
        <v>0</v>
      </c>
      <c r="AH9" s="22">
        <f>COUNTIF(L17:L26, "&lt;0")</f>
        <v>0</v>
      </c>
      <c r="AI9" s="23">
        <f>COUNTIF(L17:L26, "=0")</f>
        <v>10</v>
      </c>
      <c r="AJ9" s="24">
        <f>COUNTIF(L17:L26, "&gt;0")</f>
        <v>0</v>
      </c>
    </row>
    <row r="10" spans="1:36" ht="15.75" thickBot="1" x14ac:dyDescent="0.3">
      <c r="A10" s="16" t="s">
        <v>4</v>
      </c>
      <c r="B10" s="52">
        <v>6.6</v>
      </c>
      <c r="C10" s="39">
        <v>6.6</v>
      </c>
      <c r="D10" s="39">
        <v>6.6</v>
      </c>
      <c r="E10" s="39">
        <v>6.6</v>
      </c>
      <c r="F10" s="39">
        <v>6.6</v>
      </c>
      <c r="G10" s="40">
        <v>6.6</v>
      </c>
      <c r="H10" s="48">
        <f t="shared" si="0"/>
        <v>0</v>
      </c>
      <c r="I10" s="48">
        <f t="shared" si="1"/>
        <v>0</v>
      </c>
      <c r="J10" s="49">
        <f t="shared" si="4"/>
        <v>0</v>
      </c>
      <c r="K10" s="49">
        <f t="shared" si="2"/>
        <v>0</v>
      </c>
      <c r="L10" s="49">
        <f t="shared" si="3"/>
        <v>0</v>
      </c>
      <c r="N10" s="55">
        <v>120</v>
      </c>
      <c r="O10" s="52">
        <f>AVERAGE(H27:H36)*100</f>
        <v>12.368779888031508</v>
      </c>
      <c r="P10" s="40">
        <f>AVERAGE(I27:I36)*100</f>
        <v>12.206310163223071</v>
      </c>
      <c r="Q10" s="52">
        <f>AVERAGE(J27:J36)*100</f>
        <v>0</v>
      </c>
      <c r="R10" s="39">
        <f>AVERAGE(K27:K36)*100</f>
        <v>0</v>
      </c>
      <c r="S10" s="40">
        <f>AVERAGE(L27:L36)*100</f>
        <v>0</v>
      </c>
      <c r="U10" s="55">
        <v>120</v>
      </c>
      <c r="V10" s="22">
        <f>COUNTIF(H27:H36, "&lt;0")</f>
        <v>0</v>
      </c>
      <c r="W10" s="23">
        <f>COUNTIF(H27:H36, "=0")</f>
        <v>4</v>
      </c>
      <c r="X10" s="24">
        <f>COUNTIF(H27:H36, "&gt;0")</f>
        <v>6</v>
      </c>
      <c r="Y10" s="22">
        <f>COUNTIF(I27:I36, "&lt;0")</f>
        <v>0</v>
      </c>
      <c r="Z10" s="23">
        <f>COUNTIF(I27:I36, "=0")</f>
        <v>1</v>
      </c>
      <c r="AA10" s="24">
        <f>COUNTIF(I27:I36, "&gt;0")</f>
        <v>9</v>
      </c>
      <c r="AB10" s="22">
        <f>COUNTIF(J27:J36, "&lt;0")</f>
        <v>0</v>
      </c>
      <c r="AC10" s="23">
        <f>COUNTIF(J27:J36, "=0")</f>
        <v>10</v>
      </c>
      <c r="AD10" s="24">
        <f>COUNTIF(J27:J36, "&gt;0")</f>
        <v>0</v>
      </c>
      <c r="AE10" s="22">
        <f>COUNTIF(K27:K36, "&lt;0")</f>
        <v>0</v>
      </c>
      <c r="AF10" s="23">
        <f>COUNTIF(K27:K36, "=0")</f>
        <v>10</v>
      </c>
      <c r="AG10" s="24">
        <f>COUNTIF(K27:K36, "&gt;0")</f>
        <v>0</v>
      </c>
      <c r="AH10" s="22">
        <f>COUNTIF(L27:L36, "&lt;0")</f>
        <v>0</v>
      </c>
      <c r="AI10" s="23">
        <f>COUNTIF(L27:L36, "=0")</f>
        <v>10</v>
      </c>
      <c r="AJ10" s="24">
        <f>COUNTIF(L27:L36, "&gt;0")</f>
        <v>0</v>
      </c>
    </row>
    <row r="11" spans="1:36" ht="15.75" thickBot="1" x14ac:dyDescent="0.3">
      <c r="A11" s="16" t="s">
        <v>5</v>
      </c>
      <c r="B11" s="52">
        <v>3.52</v>
      </c>
      <c r="C11" s="39">
        <v>3.84</v>
      </c>
      <c r="D11" s="39">
        <v>3.52</v>
      </c>
      <c r="E11" s="39">
        <v>3.52</v>
      </c>
      <c r="F11" s="39">
        <v>3.52</v>
      </c>
      <c r="G11" s="40">
        <v>3.52</v>
      </c>
      <c r="H11" s="48">
        <f t="shared" si="0"/>
        <v>0</v>
      </c>
      <c r="I11" s="48">
        <f t="shared" si="1"/>
        <v>9.090909090909087E-2</v>
      </c>
      <c r="J11" s="49">
        <f t="shared" si="4"/>
        <v>0</v>
      </c>
      <c r="K11" s="49">
        <f t="shared" si="2"/>
        <v>0</v>
      </c>
      <c r="L11" s="49">
        <f t="shared" si="3"/>
        <v>0</v>
      </c>
      <c r="N11" s="55">
        <v>125</v>
      </c>
      <c r="O11" s="52">
        <f>AVERAGE(H37:H46)*100</f>
        <v>11.92836409161119</v>
      </c>
      <c r="P11" s="40">
        <f>AVERAGE(I37:I46)*100</f>
        <v>20.381469268937803</v>
      </c>
      <c r="Q11" s="52">
        <f>AVERAGE(J28:J37)*100</f>
        <v>0</v>
      </c>
      <c r="R11" s="39">
        <f>AVERAGE(K28:K37)*100</f>
        <v>0</v>
      </c>
      <c r="S11" s="40">
        <f>AVERAGE(L37:L46)*100</f>
        <v>6.8027210884353803E-2</v>
      </c>
      <c r="U11" s="55">
        <v>125</v>
      </c>
      <c r="V11" s="22">
        <f>COUNTIF(H37:H46, "&lt;0")</f>
        <v>0</v>
      </c>
      <c r="W11" s="23">
        <f>COUNTIF(H37:H46, "=0")</f>
        <v>3</v>
      </c>
      <c r="X11" s="24">
        <f>COUNTIF(H37:H46, "&gt;0")</f>
        <v>7</v>
      </c>
      <c r="Y11" s="22">
        <f>COUNTIF(I37:I46, "&lt;0")</f>
        <v>0</v>
      </c>
      <c r="Z11" s="23">
        <f>COUNTIF(I37:I46, "=0")</f>
        <v>0</v>
      </c>
      <c r="AA11" s="24">
        <f>COUNTIF(I37:I46, "&gt;0")</f>
        <v>10</v>
      </c>
      <c r="AB11" s="22">
        <f>COUNTIF(J37:J46, "&lt;0")</f>
        <v>0</v>
      </c>
      <c r="AC11" s="23">
        <f>COUNTIF(J37:J46, "=0")</f>
        <v>10</v>
      </c>
      <c r="AD11" s="24">
        <f>COUNTIF(J37:J46, "&gt;0")</f>
        <v>0</v>
      </c>
      <c r="AE11" s="22">
        <f>COUNTIF(K37:K46, "&lt;0")</f>
        <v>0</v>
      </c>
      <c r="AF11" s="23">
        <f>COUNTIF(K37:K46, "=0")</f>
        <v>9</v>
      </c>
      <c r="AG11" s="24">
        <f>COUNTIF(K37:K46, "&gt;0")</f>
        <v>1</v>
      </c>
      <c r="AH11" s="22">
        <f>COUNTIF(L37:L46, "&lt;0")</f>
        <v>0</v>
      </c>
      <c r="AI11" s="23">
        <f>COUNTIF(L37:L46, "=0")</f>
        <v>9</v>
      </c>
      <c r="AJ11" s="24">
        <f>COUNTIF(L37:L46, "&gt;0")</f>
        <v>1</v>
      </c>
    </row>
    <row r="12" spans="1:36" ht="15.75" thickBot="1" x14ac:dyDescent="0.3">
      <c r="A12" s="16" t="s">
        <v>6</v>
      </c>
      <c r="B12" s="52">
        <v>4.12</v>
      </c>
      <c r="C12" s="39">
        <v>4.4399999999999995</v>
      </c>
      <c r="D12" s="39">
        <v>3.12</v>
      </c>
      <c r="E12" s="39">
        <v>3.12</v>
      </c>
      <c r="F12" s="39">
        <v>3.12</v>
      </c>
      <c r="G12" s="40">
        <v>3.12</v>
      </c>
      <c r="H12" s="48">
        <f t="shared" si="0"/>
        <v>0.32051282051282048</v>
      </c>
      <c r="I12" s="48">
        <f t="shared" si="1"/>
        <v>0.42307692307692285</v>
      </c>
      <c r="J12" s="49">
        <f t="shared" si="4"/>
        <v>0</v>
      </c>
      <c r="K12" s="49">
        <f t="shared" si="2"/>
        <v>0</v>
      </c>
      <c r="L12" s="49">
        <f t="shared" si="3"/>
        <v>0</v>
      </c>
      <c r="N12" s="55">
        <v>150</v>
      </c>
      <c r="O12" s="52">
        <f>AVERAGE(H47:H56)*100</f>
        <v>11.442281692517309</v>
      </c>
      <c r="P12" s="40">
        <f>AVERAGE(I47:I56)*100</f>
        <v>14.07385847394079</v>
      </c>
      <c r="Q12" s="52">
        <f>AVERAGE(J29:J38)*100</f>
        <v>0</v>
      </c>
      <c r="R12" s="39">
        <f>AVERAGE(K29:K38)*100</f>
        <v>0</v>
      </c>
      <c r="S12" s="40">
        <f>AVERAGE(L47:L56)*100</f>
        <v>9.174311926605512E-2</v>
      </c>
      <c r="U12" s="55">
        <v>150</v>
      </c>
      <c r="V12" s="22">
        <f>COUNTIF(H47:H56, "&lt;0")</f>
        <v>0</v>
      </c>
      <c r="W12" s="23">
        <f>COUNTIF(H47:H56, "=0")</f>
        <v>2</v>
      </c>
      <c r="X12" s="24">
        <f>COUNTIF(H47:H56, "&gt;0")</f>
        <v>8</v>
      </c>
      <c r="Y12" s="22">
        <f>COUNTIF(I47:I56, "&lt;0")</f>
        <v>0</v>
      </c>
      <c r="Z12" s="23">
        <f>COUNTIF(I47:I56, "=0")</f>
        <v>0</v>
      </c>
      <c r="AA12" s="24">
        <f>COUNTIF(I47:I56, "&gt;0")</f>
        <v>10</v>
      </c>
      <c r="AB12" s="22">
        <f>COUNTIF(J47:J56, "&lt;0")</f>
        <v>0</v>
      </c>
      <c r="AC12" s="23">
        <f>COUNTIF(J47:J56, "=0")</f>
        <v>10</v>
      </c>
      <c r="AD12" s="24">
        <f>COUNTIF(J47:J56, "&gt;0")</f>
        <v>0</v>
      </c>
      <c r="AE12" s="22">
        <f>COUNTIF(K47:K56, "&lt;0")</f>
        <v>0</v>
      </c>
      <c r="AF12" s="23">
        <f>COUNTIF(K47:K56, "=0")</f>
        <v>9</v>
      </c>
      <c r="AG12" s="24">
        <f>COUNTIF(K47:K56, "&gt;0")</f>
        <v>1</v>
      </c>
      <c r="AH12" s="22">
        <f>COUNTIF(L47:L56, "&lt;0")</f>
        <v>0</v>
      </c>
      <c r="AI12" s="23">
        <f>COUNTIF(L47:L56, "=0")</f>
        <v>9</v>
      </c>
      <c r="AJ12" s="24">
        <f>COUNTIF(L47:L56, "&gt;0")</f>
        <v>1</v>
      </c>
    </row>
    <row r="13" spans="1:36" ht="15.75" thickBot="1" x14ac:dyDescent="0.3">
      <c r="A13" s="16" t="s">
        <v>7</v>
      </c>
      <c r="B13" s="52">
        <v>3.8</v>
      </c>
      <c r="C13" s="39">
        <v>3.8000000000000003</v>
      </c>
      <c r="D13" s="39">
        <v>3.12</v>
      </c>
      <c r="E13" s="39">
        <v>3.12</v>
      </c>
      <c r="F13" s="39">
        <v>3.12</v>
      </c>
      <c r="G13" s="40">
        <v>3.12</v>
      </c>
      <c r="H13" s="48">
        <f t="shared" si="0"/>
        <v>0.21794871794871784</v>
      </c>
      <c r="I13" s="48">
        <f t="shared" si="1"/>
        <v>0.21794871794871798</v>
      </c>
      <c r="J13" s="49">
        <f t="shared" si="4"/>
        <v>0</v>
      </c>
      <c r="K13" s="49">
        <f t="shared" si="2"/>
        <v>0</v>
      </c>
      <c r="L13" s="49">
        <f t="shared" si="3"/>
        <v>0</v>
      </c>
      <c r="N13" s="55">
        <v>200</v>
      </c>
      <c r="O13" s="52">
        <f>AVERAGE(H57:H66)*100</f>
        <v>6.5373936047849091</v>
      </c>
      <c r="P13" s="40">
        <f>AVERAGE(I57:I66)*100</f>
        <v>8.4315406288445729</v>
      </c>
      <c r="Q13" s="52">
        <f>AVERAGE(J57:J66)*100</f>
        <v>0</v>
      </c>
      <c r="R13" s="39">
        <f>AVERAGE(K57:K66)*100</f>
        <v>0</v>
      </c>
      <c r="S13" s="40">
        <f>AVERAGE(L57:L66)*100</f>
        <v>0</v>
      </c>
      <c r="U13" s="55">
        <v>200</v>
      </c>
      <c r="V13" s="22">
        <f>COUNTIF(H57:H66, "&lt;0")</f>
        <v>0</v>
      </c>
      <c r="W13" s="23">
        <f>COUNTIF(H57:H66, "=0")</f>
        <v>5</v>
      </c>
      <c r="X13" s="24">
        <f>COUNTIF(H57:H66, "&gt;0")</f>
        <v>5</v>
      </c>
      <c r="Y13" s="22">
        <f>COUNTIF(I57:I66, "&lt;0")</f>
        <v>0</v>
      </c>
      <c r="Z13" s="23">
        <f>COUNTIF(I57:I66, "=0")</f>
        <v>1</v>
      </c>
      <c r="AA13" s="24">
        <f>COUNTIF(I57:I66, "&gt;0")</f>
        <v>9</v>
      </c>
      <c r="AB13" s="22">
        <f>COUNTIF(J57:J66, "&lt;0")</f>
        <v>0</v>
      </c>
      <c r="AC13" s="23">
        <f>COUNTIF(J57:J66, "=0")</f>
        <v>10</v>
      </c>
      <c r="AD13" s="24">
        <f>COUNTIF(J57:J66, "&gt;0")</f>
        <v>0</v>
      </c>
      <c r="AE13" s="22">
        <f>COUNTIF(K57:K66, "&lt;0")</f>
        <v>0</v>
      </c>
      <c r="AF13" s="23">
        <f>COUNTIF(K57:K66, "=0")</f>
        <v>10</v>
      </c>
      <c r="AG13" s="24">
        <f>COUNTIF(K57:K66, "&gt;0")</f>
        <v>0</v>
      </c>
      <c r="AH13" s="22">
        <f>COUNTIF(L57:L66, "&lt;0")</f>
        <v>0</v>
      </c>
      <c r="AI13" s="23">
        <f>COUNTIF(L57:L66, "=0")</f>
        <v>10</v>
      </c>
      <c r="AJ13" s="24">
        <f>COUNTIF(L57:L66, "&gt;0")</f>
        <v>0</v>
      </c>
    </row>
    <row r="14" spans="1:36" ht="15.75" thickBot="1" x14ac:dyDescent="0.3">
      <c r="A14" s="16" t="s">
        <v>8</v>
      </c>
      <c r="B14" s="52">
        <v>2.8</v>
      </c>
      <c r="C14" s="39">
        <v>2.8</v>
      </c>
      <c r="D14" s="39">
        <v>2.8</v>
      </c>
      <c r="E14" s="39">
        <v>2.8</v>
      </c>
      <c r="F14" s="39">
        <v>2.8</v>
      </c>
      <c r="G14" s="40">
        <v>2.8</v>
      </c>
      <c r="H14" s="48">
        <f t="shared" si="0"/>
        <v>0</v>
      </c>
      <c r="I14" s="48">
        <f t="shared" si="1"/>
        <v>0</v>
      </c>
      <c r="J14" s="49">
        <f t="shared" si="4"/>
        <v>0</v>
      </c>
      <c r="K14" s="49">
        <f t="shared" si="2"/>
        <v>0</v>
      </c>
      <c r="L14" s="49">
        <f t="shared" si="3"/>
        <v>0</v>
      </c>
      <c r="N14" s="55">
        <v>300</v>
      </c>
      <c r="O14" s="52">
        <f>AVERAGE(H67:H76)*100</f>
        <v>12.465571029684194</v>
      </c>
      <c r="P14" s="40">
        <f>AVERAGE(I67:I76)*100</f>
        <v>15.41906736649365</v>
      </c>
      <c r="Q14" s="52">
        <f>AVERAGE(J67:J76)*100</f>
        <v>1.1246406223575169</v>
      </c>
      <c r="R14" s="39">
        <f>AVERAGE(K67:K76)*100</f>
        <v>0</v>
      </c>
      <c r="S14" s="40">
        <f>AVERAGE(L67:L76)*100</f>
        <v>0.49382716049382619</v>
      </c>
      <c r="U14" s="55">
        <v>300</v>
      </c>
      <c r="V14" s="22">
        <f>COUNTIF(H67:H76, "&lt;0")</f>
        <v>0</v>
      </c>
      <c r="W14" s="23">
        <f>COUNTIF(H67:H76, "=0")</f>
        <v>2</v>
      </c>
      <c r="X14" s="24">
        <f>COUNTIF(H67:H76, "&gt;0")</f>
        <v>8</v>
      </c>
      <c r="Y14" s="22">
        <f>COUNTIF(I67:I76, "&lt;0")</f>
        <v>0</v>
      </c>
      <c r="Z14" s="23">
        <f>COUNTIF(I67:I76, "=0")</f>
        <v>0</v>
      </c>
      <c r="AA14" s="24">
        <f>COUNTIF(I67:I76, "&gt;0")</f>
        <v>10</v>
      </c>
      <c r="AB14" s="22">
        <f>COUNTIF(J67:J76, "&lt;0")</f>
        <v>0</v>
      </c>
      <c r="AC14" s="23">
        <f>COUNTIF(J67:J76, "=0")</f>
        <v>8</v>
      </c>
      <c r="AD14" s="24">
        <f>COUNTIF(J67:J76, "&gt;0")</f>
        <v>2</v>
      </c>
      <c r="AE14" s="22">
        <f>COUNTIF(K67:K76, "&lt;0")</f>
        <v>0</v>
      </c>
      <c r="AF14" s="23">
        <f>COUNTIF(K67:K76, "=0")</f>
        <v>10</v>
      </c>
      <c r="AG14" s="24">
        <f>COUNTIF(K67:K76, "&gt;0")</f>
        <v>0</v>
      </c>
      <c r="AH14" s="22">
        <f>COUNTIF(L67:L76, "&lt;0")</f>
        <v>0</v>
      </c>
      <c r="AI14" s="23">
        <f>COUNTIF(L67:L76, "=0")</f>
        <v>9</v>
      </c>
      <c r="AJ14" s="24">
        <f>COUNTIF(L67:L76, "&gt;0")</f>
        <v>1</v>
      </c>
    </row>
    <row r="15" spans="1:36" ht="15.75" thickBot="1" x14ac:dyDescent="0.3">
      <c r="A15" s="16" t="s">
        <v>9</v>
      </c>
      <c r="B15" s="52">
        <v>6.2</v>
      </c>
      <c r="C15" s="39">
        <v>5.2</v>
      </c>
      <c r="D15" s="39">
        <v>4.84</v>
      </c>
      <c r="E15" s="39">
        <v>4.2</v>
      </c>
      <c r="F15" s="39">
        <v>4.2</v>
      </c>
      <c r="G15" s="40">
        <v>4.2</v>
      </c>
      <c r="H15" s="48">
        <f t="shared" si="0"/>
        <v>0.47619047619047616</v>
      </c>
      <c r="I15" s="48">
        <f t="shared" si="1"/>
        <v>0.23809523809523808</v>
      </c>
      <c r="J15" s="49">
        <f t="shared" si="4"/>
        <v>0.15238095238095231</v>
      </c>
      <c r="K15" s="49">
        <f t="shared" si="2"/>
        <v>0</v>
      </c>
      <c r="L15" s="49">
        <f t="shared" si="3"/>
        <v>0</v>
      </c>
      <c r="N15" s="55">
        <v>400</v>
      </c>
      <c r="O15" s="52">
        <f>AVERAGE(H77:H86)*100</f>
        <v>12.226605290835604</v>
      </c>
      <c r="P15" s="40">
        <f>AVERAGE(I77:I86)*100</f>
        <v>19.453018399485629</v>
      </c>
      <c r="Q15" s="52">
        <f>AVERAGE(J77:J86)*100</f>
        <v>1.6061606160616075</v>
      </c>
      <c r="R15" s="39">
        <f>AVERAGE(K77:K86)*100</f>
        <v>0.59665077076633077</v>
      </c>
      <c r="S15" s="40">
        <f>AVERAGE(L77:L86)*100</f>
        <v>0</v>
      </c>
      <c r="U15" s="55">
        <v>400</v>
      </c>
      <c r="V15" s="22">
        <f>COUNTIF(H77:H86, "&lt;0")</f>
        <v>0</v>
      </c>
      <c r="W15" s="23">
        <f>COUNTIF(H77:H86, "=0")</f>
        <v>2</v>
      </c>
      <c r="X15" s="24">
        <f>COUNTIF(H77:H86, "&gt;0")</f>
        <v>8</v>
      </c>
      <c r="Y15" s="22">
        <f>COUNTIF(I77:I86, "&lt;0")</f>
        <v>0</v>
      </c>
      <c r="Z15" s="23">
        <f>COUNTIF(I77:I86, "=0")</f>
        <v>0</v>
      </c>
      <c r="AA15" s="24">
        <f>COUNTIF(I77:I86, "&gt;0")</f>
        <v>10</v>
      </c>
      <c r="AB15" s="22">
        <f>COUNTIF(J77:J86, "&lt;0")</f>
        <v>0</v>
      </c>
      <c r="AC15" s="23">
        <f>COUNTIF(J77:J86, "=0")</f>
        <v>8</v>
      </c>
      <c r="AD15" s="24">
        <f>COUNTIF(J77:J86, "&gt;0")</f>
        <v>2</v>
      </c>
      <c r="AE15" s="22">
        <f>COUNTIF(K77:K86, "&lt;0")</f>
        <v>0</v>
      </c>
      <c r="AF15" s="23">
        <f>COUNTIF(K77:K86, "=0")</f>
        <v>8</v>
      </c>
      <c r="AG15" s="24">
        <f>COUNTIF(K77:K86, "&gt;0")</f>
        <v>2</v>
      </c>
      <c r="AH15" s="22">
        <f>COUNTIF(L77:L86, "&lt;0")</f>
        <v>0</v>
      </c>
      <c r="AI15" s="23">
        <f>COUNTIF(L77:L86, "=0")</f>
        <v>10</v>
      </c>
      <c r="AJ15" s="24">
        <f>COUNTIF(L77:L86, "&gt;0")</f>
        <v>0</v>
      </c>
    </row>
    <row r="16" spans="1:36" ht="15.75" thickBot="1" x14ac:dyDescent="0.3">
      <c r="A16" s="16" t="s">
        <v>10</v>
      </c>
      <c r="B16" s="52">
        <v>6</v>
      </c>
      <c r="C16" s="39">
        <v>6</v>
      </c>
      <c r="D16" s="39">
        <v>5</v>
      </c>
      <c r="E16" s="39">
        <v>5</v>
      </c>
      <c r="F16" s="39">
        <v>5</v>
      </c>
      <c r="G16" s="40">
        <v>5</v>
      </c>
      <c r="H16" s="48">
        <f t="shared" si="0"/>
        <v>0.2</v>
      </c>
      <c r="I16" s="48">
        <f t="shared" si="1"/>
        <v>0.2</v>
      </c>
      <c r="J16" s="49">
        <f t="shared" si="4"/>
        <v>0</v>
      </c>
      <c r="K16" s="49">
        <f t="shared" si="2"/>
        <v>0</v>
      </c>
      <c r="L16" s="49">
        <f t="shared" si="3"/>
        <v>0</v>
      </c>
      <c r="N16" s="55">
        <v>500</v>
      </c>
      <c r="O16" s="52">
        <f>AVERAGE(H87:H96)*100</f>
        <v>14.506447702958909</v>
      </c>
      <c r="P16" s="40">
        <f>AVERAGE(I87:I96)*100</f>
        <v>25.297563089428753</v>
      </c>
      <c r="Q16" s="52">
        <f>AVERAGE(J87:J96)*100</f>
        <v>0.26108885921970054</v>
      </c>
      <c r="R16" s="39">
        <f>AVERAGE(K87:K96)*100</f>
        <v>-0.3738317757009349</v>
      </c>
      <c r="S16" s="40">
        <f>AVERAGE(L87:L96)*100</f>
        <v>-0.3738317757009349</v>
      </c>
      <c r="U16" s="55">
        <v>500</v>
      </c>
      <c r="V16" s="22">
        <f>COUNTIF(H87:H96, "&lt;0")</f>
        <v>0</v>
      </c>
      <c r="W16" s="23">
        <f>COUNTIF(H87:H96, "=0")</f>
        <v>3</v>
      </c>
      <c r="X16" s="24">
        <f>COUNTIF(H87:H96, "&gt;0")</f>
        <v>7</v>
      </c>
      <c r="Y16" s="22">
        <f>COUNTIF(I87:I96, "&lt;0")</f>
        <v>0</v>
      </c>
      <c r="Z16" s="23">
        <f>COUNTIF(I87:I96, "=0")</f>
        <v>0</v>
      </c>
      <c r="AA16" s="24">
        <f>COUNTIF(I87:I96, "&gt;0")</f>
        <v>10</v>
      </c>
      <c r="AB16" s="22">
        <f>COUNTIF(J87:J96, "&lt;0")</f>
        <v>1</v>
      </c>
      <c r="AC16" s="23">
        <f>COUNTIF(J87:J96, "=0")</f>
        <v>8</v>
      </c>
      <c r="AD16" s="24">
        <f>COUNTIF(J87:J96, "&gt;0")</f>
        <v>1</v>
      </c>
      <c r="AE16" s="22">
        <f>COUNTIF(K87:K96, "&lt;0")</f>
        <v>1</v>
      </c>
      <c r="AF16" s="23">
        <f>COUNTIF(K87:K96, "=0")</f>
        <v>9</v>
      </c>
      <c r="AG16" s="24">
        <f>COUNTIF(K87:K96, "&gt;0")</f>
        <v>0</v>
      </c>
      <c r="AH16" s="22">
        <f>COUNTIF(L87:L96, "&lt;0")</f>
        <v>1</v>
      </c>
      <c r="AI16" s="23">
        <f>COUNTIF(L87:L96, "=0")</f>
        <v>9</v>
      </c>
      <c r="AJ16" s="24">
        <f>COUNTIF(L87:L96, "&gt;0")</f>
        <v>0</v>
      </c>
    </row>
    <row r="17" spans="1:36" ht="15.75" thickBot="1" x14ac:dyDescent="0.3">
      <c r="A17" s="16" t="s">
        <v>11</v>
      </c>
      <c r="B17" s="52">
        <v>6.08</v>
      </c>
      <c r="C17" s="39">
        <v>6.24</v>
      </c>
      <c r="D17" s="39">
        <v>5.08</v>
      </c>
      <c r="E17" s="39">
        <v>5.08</v>
      </c>
      <c r="F17" s="39">
        <v>5.08</v>
      </c>
      <c r="G17" s="40">
        <v>5.08</v>
      </c>
      <c r="H17" s="48">
        <f t="shared" si="0"/>
        <v>0.19685039370078738</v>
      </c>
      <c r="I17" s="48">
        <f t="shared" si="1"/>
        <v>0.22834645669291342</v>
      </c>
      <c r="J17" s="49">
        <f t="shared" si="4"/>
        <v>0</v>
      </c>
      <c r="K17" s="49">
        <f t="shared" si="2"/>
        <v>0</v>
      </c>
      <c r="L17" s="49">
        <f t="shared" si="3"/>
        <v>0</v>
      </c>
      <c r="N17" s="55">
        <v>750</v>
      </c>
      <c r="O17" s="52">
        <f>AVERAGE(H107:H116)*100</f>
        <v>14.749487101572917</v>
      </c>
      <c r="P17" s="40">
        <f>AVERAGE(I107:I116)*100</f>
        <v>21.465977129291517</v>
      </c>
      <c r="Q17" s="52">
        <f>AVERAGE(J107:J116)*100</f>
        <v>-0.48780487804877964</v>
      </c>
      <c r="R17" s="39">
        <f>AVERAGE(K107:K116)*100</f>
        <v>-0.48780487804877964</v>
      </c>
      <c r="S17" s="40">
        <f>AVERAGE(L107:L116)*100</f>
        <v>-0.48780487804877964</v>
      </c>
      <c r="U17" s="55">
        <v>750</v>
      </c>
      <c r="V17" s="22">
        <f>COUNTIF(H107:H116, "&lt;0")</f>
        <v>0</v>
      </c>
      <c r="W17" s="23">
        <f>COUNTIF(H107:H116, "=0")</f>
        <v>3</v>
      </c>
      <c r="X17" s="24">
        <f>COUNTIF(H107:H116, "&gt;0")</f>
        <v>7</v>
      </c>
      <c r="Y17" s="22">
        <f>COUNTIF(I107:I116, "&lt;0")</f>
        <v>0</v>
      </c>
      <c r="Z17" s="23">
        <f>COUNTIF(I107:I116, "=0")</f>
        <v>1</v>
      </c>
      <c r="AA17" s="24">
        <f>COUNTIF(I107:I116, "&gt;0")</f>
        <v>9</v>
      </c>
      <c r="AB17" s="22">
        <f>COUNTIF(J107:J116, "&lt;0")</f>
        <v>1</v>
      </c>
      <c r="AC17" s="23">
        <f>COUNTIF(J107:J116, "=0")</f>
        <v>9</v>
      </c>
      <c r="AD17" s="24">
        <f>COUNTIF(J107:J116, "&gt;0")</f>
        <v>0</v>
      </c>
      <c r="AE17" s="22">
        <f>COUNTIF(K107:K116, "&lt;0")</f>
        <v>1</v>
      </c>
      <c r="AF17" s="23">
        <f>COUNTIF(K107:K116, "=0")</f>
        <v>9</v>
      </c>
      <c r="AG17" s="24">
        <f>COUNTIF(K107:K116, "&gt;0")</f>
        <v>0</v>
      </c>
      <c r="AH17" s="22">
        <f>COUNTIF(L107:L116, "&lt;0")</f>
        <v>1</v>
      </c>
      <c r="AI17" s="23">
        <f>COUNTIF(L107:L116, "=0")</f>
        <v>9</v>
      </c>
      <c r="AJ17" s="24">
        <f>COUNTIF(L107:L116, "&gt;0")</f>
        <v>0</v>
      </c>
    </row>
    <row r="18" spans="1:36" ht="15.75" thickBot="1" x14ac:dyDescent="0.3">
      <c r="A18" s="16" t="s">
        <v>12</v>
      </c>
      <c r="B18" s="52">
        <v>3.72</v>
      </c>
      <c r="C18" s="39">
        <v>3.88</v>
      </c>
      <c r="D18" s="39">
        <v>3.72</v>
      </c>
      <c r="E18" s="39">
        <v>3.72</v>
      </c>
      <c r="F18" s="39">
        <v>3.72</v>
      </c>
      <c r="G18" s="40">
        <v>3.72</v>
      </c>
      <c r="H18" s="48">
        <f t="shared" si="0"/>
        <v>0</v>
      </c>
      <c r="I18" s="48">
        <f t="shared" si="1"/>
        <v>4.3010752688171956E-2</v>
      </c>
      <c r="J18" s="49">
        <f t="shared" si="4"/>
        <v>0</v>
      </c>
      <c r="K18" s="49">
        <f t="shared" si="2"/>
        <v>0</v>
      </c>
      <c r="L18" s="49">
        <f t="shared" si="3"/>
        <v>0</v>
      </c>
      <c r="N18" s="56">
        <v>1000</v>
      </c>
      <c r="O18" s="53">
        <f>AVERAGE(H7:H16)*100</f>
        <v>13.641847249323883</v>
      </c>
      <c r="P18" s="44">
        <f>AVERAGE(I7:I16)*100</f>
        <v>14.023213009999985</v>
      </c>
      <c r="Q18" s="53">
        <f>AVERAGE(J7:J16)*100</f>
        <v>1.5238095238095231</v>
      </c>
      <c r="R18" s="43">
        <f>AVERAGE(K7:K16)*100</f>
        <v>0</v>
      </c>
      <c r="S18" s="44">
        <f>AVERAGE(L7:L16)*100</f>
        <v>0</v>
      </c>
      <c r="U18" s="56">
        <v>1000</v>
      </c>
      <c r="V18" s="25">
        <f>COUNTIF(H7:H16, "&lt;0")</f>
        <v>0</v>
      </c>
      <c r="W18" s="26">
        <f>COUNTIF(H7:H16, "=0")</f>
        <v>5</v>
      </c>
      <c r="X18" s="27">
        <f>COUNTIF(H7:H16, "&gt;0")</f>
        <v>5</v>
      </c>
      <c r="Y18" s="25">
        <f>COUNTIF(I7:I16, "&lt;0")</f>
        <v>0</v>
      </c>
      <c r="Z18" s="26">
        <f>COUNTIF(I7:I16, "=0")</f>
        <v>3</v>
      </c>
      <c r="AA18" s="27">
        <f>COUNTIF(I7:I16, "&gt;0")</f>
        <v>7</v>
      </c>
      <c r="AB18" s="25">
        <f>COUNTIF(J7:J16, "&lt;0")</f>
        <v>0</v>
      </c>
      <c r="AC18" s="26">
        <f>COUNTIF(J7:J16, "=0")</f>
        <v>9</v>
      </c>
      <c r="AD18" s="27">
        <f>COUNTIF(J7:J16, "&gt;0")</f>
        <v>1</v>
      </c>
      <c r="AE18" s="25">
        <f>COUNTIF(K7:K16, "&lt;0")</f>
        <v>0</v>
      </c>
      <c r="AF18" s="26">
        <f>COUNTIF(K7:K16, "=0")</f>
        <v>10</v>
      </c>
      <c r="AG18" s="27">
        <f>COUNTIF(K7:K16, "&gt;0")</f>
        <v>0</v>
      </c>
      <c r="AH18" s="25">
        <f>COUNTIF(L7:L16, "&lt;0")</f>
        <v>0</v>
      </c>
      <c r="AI18" s="26">
        <f>COUNTIF(L7:L16, "=0")</f>
        <v>10</v>
      </c>
      <c r="AJ18" s="27">
        <f>COUNTIF(L7:L16, "&gt;0")</f>
        <v>0</v>
      </c>
    </row>
    <row r="19" spans="1:36" ht="15.75" thickBot="1" x14ac:dyDescent="0.3">
      <c r="A19" s="16" t="s">
        <v>13</v>
      </c>
      <c r="B19" s="52">
        <v>5</v>
      </c>
      <c r="C19" s="39">
        <v>5.32</v>
      </c>
      <c r="D19" s="39">
        <v>5</v>
      </c>
      <c r="E19" s="39">
        <v>5</v>
      </c>
      <c r="F19" s="39">
        <v>5</v>
      </c>
      <c r="G19" s="40">
        <v>5</v>
      </c>
      <c r="H19" s="48">
        <f t="shared" si="0"/>
        <v>0</v>
      </c>
      <c r="I19" s="48">
        <f t="shared" si="1"/>
        <v>6.4000000000000057E-2</v>
      </c>
      <c r="J19" s="49">
        <f t="shared" si="4"/>
        <v>0</v>
      </c>
      <c r="K19" s="49">
        <f t="shared" si="2"/>
        <v>0</v>
      </c>
      <c r="L19" s="49">
        <f t="shared" si="3"/>
        <v>0</v>
      </c>
      <c r="AB19" s="64"/>
      <c r="AC19" s="64"/>
    </row>
    <row r="20" spans="1:36" ht="15.75" thickBot="1" x14ac:dyDescent="0.3">
      <c r="A20" s="16" t="s">
        <v>14</v>
      </c>
      <c r="B20" s="52">
        <v>1.92</v>
      </c>
      <c r="C20" s="39">
        <v>1.7600000000000002</v>
      </c>
      <c r="D20" s="39">
        <v>1.76</v>
      </c>
      <c r="E20" s="39">
        <v>1.76</v>
      </c>
      <c r="F20" s="39">
        <v>1.76</v>
      </c>
      <c r="G20" s="40">
        <v>1.76</v>
      </c>
      <c r="H20" s="48">
        <f t="shared" si="0"/>
        <v>9.090909090909087E-2</v>
      </c>
      <c r="I20" s="48">
        <f t="shared" si="1"/>
        <v>1.261617073437678E-16</v>
      </c>
      <c r="J20" s="49">
        <f t="shared" si="4"/>
        <v>0</v>
      </c>
      <c r="K20" s="49">
        <f t="shared" si="2"/>
        <v>0</v>
      </c>
      <c r="L20" s="49">
        <f t="shared" si="3"/>
        <v>0</v>
      </c>
    </row>
    <row r="21" spans="1:36" ht="15.75" thickBot="1" x14ac:dyDescent="0.3">
      <c r="A21" s="16" t="s">
        <v>15</v>
      </c>
      <c r="B21" s="52">
        <v>4.92</v>
      </c>
      <c r="C21" s="39">
        <v>5.5600000000000005</v>
      </c>
      <c r="D21" s="39">
        <v>3.76</v>
      </c>
      <c r="E21" s="39">
        <v>3.76</v>
      </c>
      <c r="F21" s="39">
        <v>3.76</v>
      </c>
      <c r="G21" s="40">
        <v>3.76</v>
      </c>
      <c r="H21" s="48">
        <f t="shared" si="0"/>
        <v>0.3085106382978724</v>
      </c>
      <c r="I21" s="48">
        <f t="shared" si="1"/>
        <v>0.47872340425531934</v>
      </c>
      <c r="J21" s="49">
        <f t="shared" si="4"/>
        <v>0</v>
      </c>
      <c r="K21" s="49">
        <f t="shared" si="2"/>
        <v>0</v>
      </c>
      <c r="L21" s="49">
        <f t="shared" si="3"/>
        <v>0</v>
      </c>
      <c r="P21" s="8"/>
    </row>
    <row r="22" spans="1:36" ht="15.75" thickBot="1" x14ac:dyDescent="0.3">
      <c r="A22" s="16" t="s">
        <v>16</v>
      </c>
      <c r="B22" s="52">
        <v>5.12</v>
      </c>
      <c r="C22" s="39">
        <v>5.44</v>
      </c>
      <c r="D22" s="39">
        <v>4.12</v>
      </c>
      <c r="E22" s="39">
        <v>4.12</v>
      </c>
      <c r="F22" s="39">
        <v>4.12</v>
      </c>
      <c r="G22" s="40">
        <v>4.12</v>
      </c>
      <c r="H22" s="48">
        <f t="shared" si="0"/>
        <v>0.24271844660194175</v>
      </c>
      <c r="I22" s="48">
        <f t="shared" si="1"/>
        <v>0.32038834951456319</v>
      </c>
      <c r="J22" s="49">
        <f t="shared" si="4"/>
        <v>0</v>
      </c>
      <c r="K22" s="49">
        <f t="shared" si="2"/>
        <v>0</v>
      </c>
      <c r="L22" s="49">
        <f t="shared" si="3"/>
        <v>0</v>
      </c>
    </row>
    <row r="23" spans="1:36" ht="15.75" thickBot="1" x14ac:dyDescent="0.3">
      <c r="A23" s="16" t="s">
        <v>17</v>
      </c>
      <c r="B23" s="52">
        <v>3.4</v>
      </c>
      <c r="C23" s="39">
        <v>3.3600000000000003</v>
      </c>
      <c r="D23" s="39">
        <v>2.88</v>
      </c>
      <c r="E23" s="39">
        <v>2.88</v>
      </c>
      <c r="F23" s="39">
        <v>2.88</v>
      </c>
      <c r="G23" s="40">
        <v>2.88</v>
      </c>
      <c r="H23" s="48">
        <f t="shared" si="0"/>
        <v>0.18055555555555558</v>
      </c>
      <c r="I23" s="48">
        <f t="shared" si="1"/>
        <v>0.16666666666666682</v>
      </c>
      <c r="J23" s="49">
        <f t="shared" si="4"/>
        <v>0</v>
      </c>
      <c r="K23" s="49">
        <f t="shared" si="2"/>
        <v>0</v>
      </c>
      <c r="L23" s="49">
        <f t="shared" si="3"/>
        <v>0</v>
      </c>
    </row>
    <row r="24" spans="1:36" ht="15.75" thickBot="1" x14ac:dyDescent="0.3">
      <c r="A24" s="16" t="s">
        <v>18</v>
      </c>
      <c r="B24" s="52">
        <v>3.24</v>
      </c>
      <c r="C24" s="39">
        <v>3.4000000000000004</v>
      </c>
      <c r="D24" s="39">
        <v>2.2400000000000002</v>
      </c>
      <c r="E24" s="39">
        <v>2.2400000000000002</v>
      </c>
      <c r="F24" s="39">
        <v>2.2400000000000002</v>
      </c>
      <c r="G24" s="40">
        <v>2.2400000000000002</v>
      </c>
      <c r="H24" s="48">
        <f t="shared" si="0"/>
        <v>0.4464285714285714</v>
      </c>
      <c r="I24" s="48">
        <f t="shared" si="1"/>
        <v>0.5178571428571429</v>
      </c>
      <c r="J24" s="49">
        <f t="shared" si="4"/>
        <v>0</v>
      </c>
      <c r="K24" s="49">
        <f t="shared" si="2"/>
        <v>0</v>
      </c>
      <c r="L24" s="49">
        <f t="shared" si="3"/>
        <v>0</v>
      </c>
    </row>
    <row r="25" spans="1:36" ht="15.75" thickBot="1" x14ac:dyDescent="0.3">
      <c r="A25" s="16" t="s">
        <v>19</v>
      </c>
      <c r="B25" s="52">
        <v>5.12</v>
      </c>
      <c r="C25" s="39">
        <v>4.92</v>
      </c>
      <c r="D25" s="39">
        <v>4.76</v>
      </c>
      <c r="E25" s="39">
        <v>4.76</v>
      </c>
      <c r="F25" s="39">
        <v>4.76</v>
      </c>
      <c r="G25" s="40">
        <v>4.76</v>
      </c>
      <c r="H25" s="48">
        <f t="shared" si="0"/>
        <v>7.5630252100840401E-2</v>
      </c>
      <c r="I25" s="48">
        <f t="shared" si="1"/>
        <v>3.3613445378151294E-2</v>
      </c>
      <c r="J25" s="49">
        <f t="shared" si="4"/>
        <v>0</v>
      </c>
      <c r="K25" s="49">
        <f t="shared" si="2"/>
        <v>0</v>
      </c>
      <c r="L25" s="49">
        <f t="shared" si="3"/>
        <v>0</v>
      </c>
    </row>
    <row r="26" spans="1:36" ht="15.75" thickBot="1" x14ac:dyDescent="0.3">
      <c r="A26" s="16" t="s">
        <v>20</v>
      </c>
      <c r="B26" s="52">
        <v>5.2</v>
      </c>
      <c r="C26" s="39">
        <v>5.2000000000000011</v>
      </c>
      <c r="D26" s="39">
        <v>5.2</v>
      </c>
      <c r="E26" s="39">
        <v>5.2</v>
      </c>
      <c r="F26" s="39">
        <v>5.2</v>
      </c>
      <c r="G26" s="40">
        <v>5.2</v>
      </c>
      <c r="H26" s="48">
        <f t="shared" si="0"/>
        <v>0</v>
      </c>
      <c r="I26" s="48">
        <f t="shared" si="1"/>
        <v>1.7080354225002407E-16</v>
      </c>
      <c r="J26" s="49">
        <f t="shared" si="4"/>
        <v>0</v>
      </c>
      <c r="K26" s="49">
        <f t="shared" si="2"/>
        <v>0</v>
      </c>
      <c r="L26" s="49">
        <f t="shared" si="3"/>
        <v>0</v>
      </c>
    </row>
    <row r="27" spans="1:36" ht="15.75" thickBot="1" x14ac:dyDescent="0.3">
      <c r="A27" s="16" t="s">
        <v>21</v>
      </c>
      <c r="B27" s="52">
        <v>4.08</v>
      </c>
      <c r="C27" s="39">
        <v>4.24</v>
      </c>
      <c r="D27" s="39">
        <v>3.32</v>
      </c>
      <c r="E27" s="39">
        <v>3.32</v>
      </c>
      <c r="F27" s="39">
        <v>3.32</v>
      </c>
      <c r="G27" s="40">
        <v>3.32</v>
      </c>
      <c r="H27" s="48">
        <f t="shared" si="0"/>
        <v>0.22891566265060248</v>
      </c>
      <c r="I27" s="48">
        <f t="shared" si="1"/>
        <v>0.27710843373493987</v>
      </c>
      <c r="J27" s="49">
        <f t="shared" si="4"/>
        <v>0</v>
      </c>
      <c r="K27" s="49">
        <f t="shared" si="2"/>
        <v>0</v>
      </c>
      <c r="L27" s="49">
        <f t="shared" si="3"/>
        <v>0</v>
      </c>
    </row>
    <row r="28" spans="1:36" ht="15.75" thickBot="1" x14ac:dyDescent="0.3">
      <c r="A28" s="16" t="s">
        <v>22</v>
      </c>
      <c r="B28" s="52">
        <v>6.36</v>
      </c>
      <c r="C28" s="39">
        <v>6.5200000000000005</v>
      </c>
      <c r="D28" s="39">
        <v>6.36</v>
      </c>
      <c r="E28" s="39">
        <v>6.36</v>
      </c>
      <c r="F28" s="39">
        <v>6.36</v>
      </c>
      <c r="G28" s="40">
        <v>6.36</v>
      </c>
      <c r="H28" s="48">
        <f t="shared" si="0"/>
        <v>0</v>
      </c>
      <c r="I28" s="48">
        <f t="shared" si="1"/>
        <v>2.5157232704402538E-2</v>
      </c>
      <c r="J28" s="49">
        <f t="shared" si="4"/>
        <v>0</v>
      </c>
      <c r="K28" s="49">
        <f t="shared" si="2"/>
        <v>0</v>
      </c>
      <c r="L28" s="49">
        <f t="shared" si="3"/>
        <v>0</v>
      </c>
    </row>
    <row r="29" spans="1:36" ht="15.75" thickBot="1" x14ac:dyDescent="0.3">
      <c r="A29" s="16" t="s">
        <v>23</v>
      </c>
      <c r="B29" s="52">
        <v>4.5999999999999996</v>
      </c>
      <c r="C29" s="39">
        <v>4.5600000000000005</v>
      </c>
      <c r="D29" s="39">
        <v>4.24</v>
      </c>
      <c r="E29" s="39">
        <v>4.24</v>
      </c>
      <c r="F29" s="39">
        <v>4.24</v>
      </c>
      <c r="G29" s="40">
        <v>4.24</v>
      </c>
      <c r="H29" s="48">
        <f t="shared" si="0"/>
        <v>8.4905660377358347E-2</v>
      </c>
      <c r="I29" s="48">
        <f t="shared" si="1"/>
        <v>7.5471698113207614E-2</v>
      </c>
      <c r="J29" s="49">
        <f t="shared" si="4"/>
        <v>0</v>
      </c>
      <c r="K29" s="49">
        <f t="shared" si="2"/>
        <v>0</v>
      </c>
      <c r="L29" s="49">
        <f t="shared" si="3"/>
        <v>0</v>
      </c>
    </row>
    <row r="30" spans="1:36" ht="15.75" thickBot="1" x14ac:dyDescent="0.3">
      <c r="A30" s="16" t="s">
        <v>24</v>
      </c>
      <c r="B30" s="52">
        <v>6.4</v>
      </c>
      <c r="C30" s="39">
        <v>5.4</v>
      </c>
      <c r="D30" s="39">
        <v>4.4400000000000004</v>
      </c>
      <c r="E30" s="39">
        <v>4.4400000000000004</v>
      </c>
      <c r="F30" s="39">
        <v>4.4400000000000004</v>
      </c>
      <c r="G30" s="40">
        <v>4.4400000000000004</v>
      </c>
      <c r="H30" s="48">
        <f t="shared" si="0"/>
        <v>0.44144144144144137</v>
      </c>
      <c r="I30" s="48">
        <f t="shared" si="1"/>
        <v>0.2162162162162162</v>
      </c>
      <c r="J30" s="49">
        <f t="shared" si="4"/>
        <v>0</v>
      </c>
      <c r="K30" s="49">
        <f t="shared" si="2"/>
        <v>0</v>
      </c>
      <c r="L30" s="49">
        <f t="shared" si="3"/>
        <v>0</v>
      </c>
    </row>
    <row r="31" spans="1:36" ht="15.75" thickBot="1" x14ac:dyDescent="0.3">
      <c r="A31" s="16" t="s">
        <v>25</v>
      </c>
      <c r="B31" s="52">
        <v>4.8</v>
      </c>
      <c r="C31" s="39">
        <v>4.9600000000000009</v>
      </c>
      <c r="D31" s="39">
        <v>4.28</v>
      </c>
      <c r="E31" s="39">
        <v>4.28</v>
      </c>
      <c r="F31" s="39">
        <v>4.28</v>
      </c>
      <c r="G31" s="40">
        <v>4.28</v>
      </c>
      <c r="H31" s="48">
        <f t="shared" si="0"/>
        <v>0.12149532710280363</v>
      </c>
      <c r="I31" s="48">
        <f t="shared" si="1"/>
        <v>0.15887850467289732</v>
      </c>
      <c r="J31" s="49">
        <f t="shared" si="4"/>
        <v>0</v>
      </c>
      <c r="K31" s="49">
        <f t="shared" si="2"/>
        <v>0</v>
      </c>
      <c r="L31" s="49">
        <f t="shared" si="3"/>
        <v>0</v>
      </c>
    </row>
    <row r="32" spans="1:36" ht="15.75" thickBot="1" x14ac:dyDescent="0.3">
      <c r="A32" s="16" t="s">
        <v>26</v>
      </c>
      <c r="B32" s="52">
        <v>3.8</v>
      </c>
      <c r="C32" s="39">
        <v>3.9600000000000004</v>
      </c>
      <c r="D32" s="39">
        <v>3.8</v>
      </c>
      <c r="E32" s="39">
        <v>3.8</v>
      </c>
      <c r="F32" s="39">
        <v>3.8</v>
      </c>
      <c r="G32" s="40">
        <v>3.8</v>
      </c>
      <c r="H32" s="48">
        <f t="shared" si="0"/>
        <v>0</v>
      </c>
      <c r="I32" s="48">
        <f t="shared" si="1"/>
        <v>4.2105263157894895E-2</v>
      </c>
      <c r="J32" s="49">
        <f t="shared" si="4"/>
        <v>0</v>
      </c>
      <c r="K32" s="49">
        <f t="shared" si="2"/>
        <v>0</v>
      </c>
      <c r="L32" s="49">
        <f t="shared" si="3"/>
        <v>0</v>
      </c>
    </row>
    <row r="33" spans="1:12" ht="15.75" thickBot="1" x14ac:dyDescent="0.3">
      <c r="A33" s="16" t="s">
        <v>27</v>
      </c>
      <c r="B33" s="52">
        <v>2.44</v>
      </c>
      <c r="C33" s="39">
        <v>2.6</v>
      </c>
      <c r="D33" s="39">
        <v>2.44</v>
      </c>
      <c r="E33" s="39">
        <v>2.44</v>
      </c>
      <c r="F33" s="39">
        <v>2.44</v>
      </c>
      <c r="G33" s="40">
        <v>2.44</v>
      </c>
      <c r="H33" s="48">
        <f t="shared" si="0"/>
        <v>0</v>
      </c>
      <c r="I33" s="48">
        <f t="shared" si="1"/>
        <v>6.5573770491803338E-2</v>
      </c>
      <c r="J33" s="49">
        <f t="shared" si="4"/>
        <v>0</v>
      </c>
      <c r="K33" s="49">
        <f t="shared" si="2"/>
        <v>0</v>
      </c>
      <c r="L33" s="49">
        <f t="shared" si="3"/>
        <v>0</v>
      </c>
    </row>
    <row r="34" spans="1:12" ht="15.75" thickBot="1" x14ac:dyDescent="0.3">
      <c r="A34" s="16" t="s">
        <v>28</v>
      </c>
      <c r="B34" s="52">
        <v>3</v>
      </c>
      <c r="C34" s="39">
        <v>3</v>
      </c>
      <c r="D34" s="39">
        <v>2.48</v>
      </c>
      <c r="E34" s="39">
        <v>2.48</v>
      </c>
      <c r="F34" s="39">
        <v>2.48</v>
      </c>
      <c r="G34" s="40">
        <v>2.48</v>
      </c>
      <c r="H34" s="48">
        <f t="shared" si="0"/>
        <v>0.20967741935483872</v>
      </c>
      <c r="I34" s="48">
        <f t="shared" si="1"/>
        <v>0.20967741935483872</v>
      </c>
      <c r="J34" s="49">
        <f t="shared" si="4"/>
        <v>0</v>
      </c>
      <c r="K34" s="49">
        <f t="shared" si="2"/>
        <v>0</v>
      </c>
      <c r="L34" s="49">
        <f t="shared" si="3"/>
        <v>0</v>
      </c>
    </row>
    <row r="35" spans="1:12" ht="15.75" thickBot="1" x14ac:dyDescent="0.3">
      <c r="A35" s="16" t="s">
        <v>29</v>
      </c>
      <c r="B35" s="52">
        <v>6.2</v>
      </c>
      <c r="C35" s="39">
        <v>6.2</v>
      </c>
      <c r="D35" s="39">
        <v>6.2</v>
      </c>
      <c r="E35" s="39">
        <v>6.2</v>
      </c>
      <c r="F35" s="39">
        <v>6.2</v>
      </c>
      <c r="G35" s="40">
        <v>6.2</v>
      </c>
      <c r="H35" s="48">
        <f t="shared" si="0"/>
        <v>0</v>
      </c>
      <c r="I35" s="48">
        <f t="shared" si="1"/>
        <v>0</v>
      </c>
      <c r="J35" s="49">
        <f t="shared" si="4"/>
        <v>0</v>
      </c>
      <c r="K35" s="49">
        <f t="shared" si="2"/>
        <v>0</v>
      </c>
      <c r="L35" s="49">
        <f t="shared" si="3"/>
        <v>0</v>
      </c>
    </row>
    <row r="36" spans="1:12" ht="15.75" thickBot="1" x14ac:dyDescent="0.3">
      <c r="A36" s="16" t="s">
        <v>30</v>
      </c>
      <c r="B36" s="52">
        <v>5.2</v>
      </c>
      <c r="C36" s="39">
        <v>5.2000000000000011</v>
      </c>
      <c r="D36" s="39">
        <v>4.5199999999999996</v>
      </c>
      <c r="E36" s="39">
        <v>4.5199999999999996</v>
      </c>
      <c r="F36" s="39">
        <v>4.5199999999999996</v>
      </c>
      <c r="G36" s="40">
        <v>4.5199999999999996</v>
      </c>
      <c r="H36" s="48">
        <f t="shared" si="0"/>
        <v>0.15044247787610635</v>
      </c>
      <c r="I36" s="48">
        <f t="shared" si="1"/>
        <v>0.15044247787610654</v>
      </c>
      <c r="J36" s="49">
        <f t="shared" si="4"/>
        <v>0</v>
      </c>
      <c r="K36" s="49">
        <f t="shared" si="2"/>
        <v>0</v>
      </c>
      <c r="L36" s="49">
        <f t="shared" si="3"/>
        <v>0</v>
      </c>
    </row>
    <row r="37" spans="1:12" ht="15.75" thickBot="1" x14ac:dyDescent="0.3">
      <c r="A37" s="16" t="s">
        <v>31</v>
      </c>
      <c r="B37" s="52">
        <v>6.56</v>
      </c>
      <c r="C37" s="39">
        <v>7.04</v>
      </c>
      <c r="D37" s="39">
        <v>6.24</v>
      </c>
      <c r="E37" s="39">
        <v>6.24</v>
      </c>
      <c r="F37" s="39">
        <v>6.24</v>
      </c>
      <c r="G37" s="40">
        <v>6.24</v>
      </c>
      <c r="H37" s="48">
        <f t="shared" si="0"/>
        <v>5.1282051282051183E-2</v>
      </c>
      <c r="I37" s="48">
        <f t="shared" si="1"/>
        <v>0.12820512820512817</v>
      </c>
      <c r="J37" s="49">
        <f t="shared" si="4"/>
        <v>0</v>
      </c>
      <c r="K37" s="49">
        <f t="shared" si="2"/>
        <v>0</v>
      </c>
      <c r="L37" s="49">
        <f t="shared" si="3"/>
        <v>0</v>
      </c>
    </row>
    <row r="38" spans="1:12" ht="15.75" thickBot="1" x14ac:dyDescent="0.3">
      <c r="A38" s="16" t="s">
        <v>32</v>
      </c>
      <c r="B38" s="52">
        <v>2.8</v>
      </c>
      <c r="C38" s="39">
        <v>3.4400000000000004</v>
      </c>
      <c r="D38" s="39">
        <v>2.6</v>
      </c>
      <c r="E38" s="39">
        <v>2.6</v>
      </c>
      <c r="F38" s="39">
        <v>2.6</v>
      </c>
      <c r="G38" s="40">
        <v>2.6</v>
      </c>
      <c r="H38" s="48">
        <f t="shared" si="0"/>
        <v>7.6923076923076816E-2</v>
      </c>
      <c r="I38" s="48">
        <f t="shared" si="1"/>
        <v>0.32307692307692321</v>
      </c>
      <c r="J38" s="49">
        <f t="shared" si="4"/>
        <v>0</v>
      </c>
      <c r="K38" s="49">
        <f t="shared" si="2"/>
        <v>0</v>
      </c>
      <c r="L38" s="49">
        <f t="shared" si="3"/>
        <v>0</v>
      </c>
    </row>
    <row r="39" spans="1:12" ht="15.75" thickBot="1" x14ac:dyDescent="0.3">
      <c r="A39" s="16" t="s">
        <v>33</v>
      </c>
      <c r="B39" s="52">
        <v>3.84</v>
      </c>
      <c r="C39" s="39">
        <v>4.16</v>
      </c>
      <c r="D39" s="39">
        <v>3.36</v>
      </c>
      <c r="E39" s="39">
        <v>3.36</v>
      </c>
      <c r="F39" s="39">
        <v>3.36</v>
      </c>
      <c r="G39" s="40">
        <v>3.36</v>
      </c>
      <c r="H39" s="48">
        <f t="shared" si="0"/>
        <v>0.14285714285714285</v>
      </c>
      <c r="I39" s="48">
        <f t="shared" si="1"/>
        <v>0.23809523809523819</v>
      </c>
      <c r="J39" s="49">
        <f t="shared" si="4"/>
        <v>0</v>
      </c>
      <c r="K39" s="49">
        <f t="shared" si="2"/>
        <v>0</v>
      </c>
      <c r="L39" s="49">
        <f t="shared" si="3"/>
        <v>0</v>
      </c>
    </row>
    <row r="40" spans="1:12" ht="15.75" thickBot="1" x14ac:dyDescent="0.3">
      <c r="A40" s="16" t="s">
        <v>34</v>
      </c>
      <c r="B40" s="52">
        <v>2.8</v>
      </c>
      <c r="C40" s="39">
        <v>3.12</v>
      </c>
      <c r="D40" s="39">
        <v>2.8</v>
      </c>
      <c r="E40" s="39">
        <v>2.8</v>
      </c>
      <c r="F40" s="39">
        <v>2.8</v>
      </c>
      <c r="G40" s="40">
        <v>2.8</v>
      </c>
      <c r="H40" s="48">
        <f t="shared" si="0"/>
        <v>0</v>
      </c>
      <c r="I40" s="48">
        <f t="shared" si="1"/>
        <v>0.11428571428571439</v>
      </c>
      <c r="J40" s="49">
        <f t="shared" si="4"/>
        <v>0</v>
      </c>
      <c r="K40" s="49">
        <f t="shared" si="2"/>
        <v>0</v>
      </c>
      <c r="L40" s="49">
        <f t="shared" si="3"/>
        <v>0</v>
      </c>
    </row>
    <row r="41" spans="1:12" ht="15.75" thickBot="1" x14ac:dyDescent="0.3">
      <c r="A41" s="16" t="s">
        <v>35</v>
      </c>
      <c r="B41" s="52">
        <v>4.8</v>
      </c>
      <c r="C41" s="39">
        <v>4.8000000000000007</v>
      </c>
      <c r="D41" s="39">
        <v>3.8</v>
      </c>
      <c r="E41" s="39">
        <v>3.8</v>
      </c>
      <c r="F41" s="39">
        <v>3.8</v>
      </c>
      <c r="G41" s="40">
        <v>3.8</v>
      </c>
      <c r="H41" s="48">
        <f t="shared" si="0"/>
        <v>0.26315789473684209</v>
      </c>
      <c r="I41" s="48">
        <f t="shared" si="1"/>
        <v>0.26315789473684237</v>
      </c>
      <c r="J41" s="49">
        <f t="shared" si="4"/>
        <v>0</v>
      </c>
      <c r="K41" s="49">
        <f t="shared" si="2"/>
        <v>0</v>
      </c>
      <c r="L41" s="49">
        <f t="shared" si="3"/>
        <v>0</v>
      </c>
    </row>
    <row r="42" spans="1:12" ht="15.75" thickBot="1" x14ac:dyDescent="0.3">
      <c r="A42" s="16" t="s">
        <v>36</v>
      </c>
      <c r="B42" s="52">
        <v>5.8</v>
      </c>
      <c r="C42" s="39">
        <v>6.120000000000001</v>
      </c>
      <c r="D42" s="39">
        <v>5.8</v>
      </c>
      <c r="E42" s="39">
        <v>5.8</v>
      </c>
      <c r="F42" s="39">
        <v>5.8</v>
      </c>
      <c r="G42" s="40">
        <v>5.8</v>
      </c>
      <c r="H42" s="48">
        <f t="shared" si="0"/>
        <v>0</v>
      </c>
      <c r="I42" s="48">
        <f t="shared" si="1"/>
        <v>5.5172413793103649E-2</v>
      </c>
      <c r="J42" s="49">
        <f t="shared" si="4"/>
        <v>0</v>
      </c>
      <c r="K42" s="49">
        <f t="shared" si="2"/>
        <v>0</v>
      </c>
      <c r="L42" s="49">
        <f t="shared" si="3"/>
        <v>0</v>
      </c>
    </row>
    <row r="43" spans="1:12" ht="15.75" thickBot="1" x14ac:dyDescent="0.3">
      <c r="A43" s="16" t="s">
        <v>37</v>
      </c>
      <c r="B43" s="52">
        <v>5.88</v>
      </c>
      <c r="C43" s="39">
        <v>6.36</v>
      </c>
      <c r="D43" s="39">
        <v>5.88</v>
      </c>
      <c r="E43" s="39">
        <v>5.92</v>
      </c>
      <c r="F43" s="39">
        <v>5.92</v>
      </c>
      <c r="G43" s="40">
        <v>5.88</v>
      </c>
      <c r="H43" s="48">
        <f t="shared" si="0"/>
        <v>0</v>
      </c>
      <c r="I43" s="48">
        <f t="shared" si="1"/>
        <v>8.1632653061224567E-2</v>
      </c>
      <c r="J43" s="49">
        <f t="shared" si="4"/>
        <v>0</v>
      </c>
      <c r="K43" s="49">
        <f t="shared" si="2"/>
        <v>6.80272108843538E-3</v>
      </c>
      <c r="L43" s="49">
        <f t="shared" si="3"/>
        <v>6.80272108843538E-3</v>
      </c>
    </row>
    <row r="44" spans="1:12" ht="15.75" thickBot="1" x14ac:dyDescent="0.3">
      <c r="A44" s="16" t="s">
        <v>38</v>
      </c>
      <c r="B44" s="52">
        <v>6.4</v>
      </c>
      <c r="C44" s="39">
        <v>6.4</v>
      </c>
      <c r="D44" s="39">
        <v>5.4</v>
      </c>
      <c r="E44" s="39">
        <v>5.4</v>
      </c>
      <c r="F44" s="39">
        <v>5.4</v>
      </c>
      <c r="G44" s="40">
        <v>5.4</v>
      </c>
      <c r="H44" s="48">
        <f t="shared" si="0"/>
        <v>0.18518518518518517</v>
      </c>
      <c r="I44" s="48">
        <f t="shared" si="1"/>
        <v>0.18518518518518517</v>
      </c>
      <c r="J44" s="49">
        <f t="shared" si="4"/>
        <v>0</v>
      </c>
      <c r="K44" s="49">
        <f t="shared" si="2"/>
        <v>0</v>
      </c>
      <c r="L44" s="49">
        <f t="shared" si="3"/>
        <v>0</v>
      </c>
    </row>
    <row r="45" spans="1:12" ht="15.75" thickBot="1" x14ac:dyDescent="0.3">
      <c r="A45" s="16" t="s">
        <v>39</v>
      </c>
      <c r="B45" s="52">
        <v>5.36</v>
      </c>
      <c r="C45" s="39">
        <v>5.68</v>
      </c>
      <c r="D45" s="39">
        <v>4.72</v>
      </c>
      <c r="E45" s="39">
        <v>4.72</v>
      </c>
      <c r="F45" s="39">
        <v>4.72</v>
      </c>
      <c r="G45" s="40">
        <v>4.72</v>
      </c>
      <c r="H45" s="48">
        <f t="shared" si="0"/>
        <v>0.13559322033898319</v>
      </c>
      <c r="I45" s="48">
        <f t="shared" si="1"/>
        <v>0.20338983050847459</v>
      </c>
      <c r="J45" s="49">
        <f t="shared" si="4"/>
        <v>0</v>
      </c>
      <c r="K45" s="49">
        <f t="shared" si="2"/>
        <v>0</v>
      </c>
      <c r="L45" s="49">
        <f t="shared" si="3"/>
        <v>0</v>
      </c>
    </row>
    <row r="46" spans="1:12" ht="15.75" thickBot="1" x14ac:dyDescent="0.3">
      <c r="A46" s="16" t="s">
        <v>40</v>
      </c>
      <c r="B46" s="52">
        <v>3.96</v>
      </c>
      <c r="C46" s="39">
        <v>4.28</v>
      </c>
      <c r="D46" s="39">
        <v>2.96</v>
      </c>
      <c r="E46" s="39">
        <v>2.96</v>
      </c>
      <c r="F46" s="39">
        <v>2.96</v>
      </c>
      <c r="G46" s="40">
        <v>2.96</v>
      </c>
      <c r="H46" s="48">
        <f t="shared" si="0"/>
        <v>0.33783783783783783</v>
      </c>
      <c r="I46" s="48">
        <f t="shared" si="1"/>
        <v>0.44594594594594605</v>
      </c>
      <c r="J46" s="49">
        <f t="shared" si="4"/>
        <v>0</v>
      </c>
      <c r="K46" s="49">
        <f t="shared" si="2"/>
        <v>0</v>
      </c>
      <c r="L46" s="49">
        <f t="shared" si="3"/>
        <v>0</v>
      </c>
    </row>
    <row r="47" spans="1:12" ht="15.75" thickBot="1" x14ac:dyDescent="0.3">
      <c r="A47" s="16" t="s">
        <v>41</v>
      </c>
      <c r="B47" s="52">
        <v>2.12</v>
      </c>
      <c r="C47" s="39">
        <v>2.12</v>
      </c>
      <c r="D47" s="39">
        <v>1.96</v>
      </c>
      <c r="E47" s="39">
        <v>1.96</v>
      </c>
      <c r="F47" s="39">
        <v>1.96</v>
      </c>
      <c r="G47" s="40">
        <v>1.96</v>
      </c>
      <c r="H47" s="48">
        <f t="shared" si="0"/>
        <v>8.1632653061224567E-2</v>
      </c>
      <c r="I47" s="48">
        <f t="shared" si="1"/>
        <v>8.1632653061224567E-2</v>
      </c>
      <c r="J47" s="49">
        <f t="shared" si="4"/>
        <v>0</v>
      </c>
      <c r="K47" s="49">
        <f t="shared" si="2"/>
        <v>0</v>
      </c>
      <c r="L47" s="49">
        <f t="shared" si="3"/>
        <v>0</v>
      </c>
    </row>
    <row r="48" spans="1:12" ht="15.75" thickBot="1" x14ac:dyDescent="0.3">
      <c r="A48" s="16" t="s">
        <v>42</v>
      </c>
      <c r="B48" s="52">
        <v>3.44</v>
      </c>
      <c r="C48" s="39">
        <v>3.6</v>
      </c>
      <c r="D48" s="39">
        <v>3.44</v>
      </c>
      <c r="E48" s="39">
        <v>3.44</v>
      </c>
      <c r="F48" s="39">
        <v>3.44</v>
      </c>
      <c r="G48" s="40">
        <v>3.44</v>
      </c>
      <c r="H48" s="48">
        <f t="shared" si="0"/>
        <v>0</v>
      </c>
      <c r="I48" s="48">
        <f t="shared" si="1"/>
        <v>4.6511627906976785E-2</v>
      </c>
      <c r="J48" s="49">
        <f t="shared" si="4"/>
        <v>0</v>
      </c>
      <c r="K48" s="49">
        <f t="shared" si="2"/>
        <v>0</v>
      </c>
      <c r="L48" s="49">
        <f t="shared" si="3"/>
        <v>0</v>
      </c>
    </row>
    <row r="49" spans="1:12" ht="15.75" thickBot="1" x14ac:dyDescent="0.3">
      <c r="A49" s="16" t="s">
        <v>43</v>
      </c>
      <c r="B49" s="52">
        <v>3.8</v>
      </c>
      <c r="C49" s="39">
        <v>3.8000000000000003</v>
      </c>
      <c r="D49" s="39">
        <v>3.12</v>
      </c>
      <c r="E49" s="39">
        <v>3.12</v>
      </c>
      <c r="F49" s="39">
        <v>3.12</v>
      </c>
      <c r="G49" s="40">
        <v>3.12</v>
      </c>
      <c r="H49" s="48">
        <f t="shared" si="0"/>
        <v>0.21794871794871784</v>
      </c>
      <c r="I49" s="48">
        <f t="shared" si="1"/>
        <v>0.21794871794871798</v>
      </c>
      <c r="J49" s="49">
        <f t="shared" si="4"/>
        <v>0</v>
      </c>
      <c r="K49" s="49">
        <f t="shared" si="2"/>
        <v>0</v>
      </c>
      <c r="L49" s="49">
        <f t="shared" si="3"/>
        <v>0</v>
      </c>
    </row>
    <row r="50" spans="1:12" ht="15.75" thickBot="1" x14ac:dyDescent="0.3">
      <c r="A50" s="16" t="s">
        <v>44</v>
      </c>
      <c r="B50" s="52">
        <v>4.4000000000000004</v>
      </c>
      <c r="C50" s="39">
        <v>4.8800000000000008</v>
      </c>
      <c r="D50" s="39">
        <v>4.3600000000000003</v>
      </c>
      <c r="E50" s="39">
        <v>4.4000000000000004</v>
      </c>
      <c r="F50" s="39">
        <v>4.4000000000000004</v>
      </c>
      <c r="G50" s="40">
        <v>4.3600000000000003</v>
      </c>
      <c r="H50" s="48">
        <f t="shared" si="0"/>
        <v>9.174311926605512E-3</v>
      </c>
      <c r="I50" s="48">
        <f t="shared" si="1"/>
        <v>0.11926605504587166</v>
      </c>
      <c r="J50" s="49">
        <f t="shared" si="4"/>
        <v>0</v>
      </c>
      <c r="K50" s="49">
        <f t="shared" si="2"/>
        <v>9.174311926605512E-3</v>
      </c>
      <c r="L50" s="49">
        <f t="shared" si="3"/>
        <v>9.174311926605512E-3</v>
      </c>
    </row>
    <row r="51" spans="1:12" ht="15.75" thickBot="1" x14ac:dyDescent="0.3">
      <c r="A51" s="16" t="s">
        <v>45</v>
      </c>
      <c r="B51" s="52">
        <v>4.04</v>
      </c>
      <c r="C51" s="39">
        <v>4.3600000000000003</v>
      </c>
      <c r="D51" s="39">
        <v>3.56</v>
      </c>
      <c r="E51" s="39">
        <v>3.56</v>
      </c>
      <c r="F51" s="39">
        <v>3.56</v>
      </c>
      <c r="G51" s="40">
        <v>3.56</v>
      </c>
      <c r="H51" s="48">
        <f t="shared" si="0"/>
        <v>0.1348314606741573</v>
      </c>
      <c r="I51" s="48">
        <f t="shared" si="1"/>
        <v>0.22471910112359558</v>
      </c>
      <c r="J51" s="49">
        <f t="shared" si="4"/>
        <v>0</v>
      </c>
      <c r="K51" s="49">
        <f t="shared" si="2"/>
        <v>0</v>
      </c>
      <c r="L51" s="49">
        <f t="shared" si="3"/>
        <v>0</v>
      </c>
    </row>
    <row r="52" spans="1:12" ht="15.75" thickBot="1" x14ac:dyDescent="0.3">
      <c r="A52" s="16" t="s">
        <v>46</v>
      </c>
      <c r="B52" s="52">
        <v>4</v>
      </c>
      <c r="C52" s="39">
        <v>3.4800000000000004</v>
      </c>
      <c r="D52" s="39">
        <v>3</v>
      </c>
      <c r="E52" s="39">
        <v>3</v>
      </c>
      <c r="F52" s="39">
        <v>3</v>
      </c>
      <c r="G52" s="40">
        <v>3</v>
      </c>
      <c r="H52" s="48">
        <f t="shared" si="0"/>
        <v>0.33333333333333331</v>
      </c>
      <c r="I52" s="48">
        <f t="shared" si="1"/>
        <v>0.16000000000000014</v>
      </c>
      <c r="J52" s="49">
        <f t="shared" si="4"/>
        <v>0</v>
      </c>
      <c r="K52" s="49">
        <f t="shared" si="2"/>
        <v>0</v>
      </c>
      <c r="L52" s="49">
        <f t="shared" si="3"/>
        <v>0</v>
      </c>
    </row>
    <row r="53" spans="1:12" ht="15.75" thickBot="1" x14ac:dyDescent="0.3">
      <c r="A53" s="16" t="s">
        <v>47</v>
      </c>
      <c r="B53" s="52">
        <v>5.2</v>
      </c>
      <c r="C53" s="39">
        <v>5.84</v>
      </c>
      <c r="D53" s="39">
        <v>5.2</v>
      </c>
      <c r="E53" s="39">
        <v>5.2</v>
      </c>
      <c r="F53" s="39">
        <v>5.2</v>
      </c>
      <c r="G53" s="40">
        <v>5.2</v>
      </c>
      <c r="H53" s="48">
        <f t="shared" si="0"/>
        <v>0</v>
      </c>
      <c r="I53" s="48">
        <f t="shared" si="1"/>
        <v>0.12307692307692301</v>
      </c>
      <c r="J53" s="49">
        <f t="shared" si="4"/>
        <v>0</v>
      </c>
      <c r="K53" s="49">
        <f t="shared" si="2"/>
        <v>0</v>
      </c>
      <c r="L53" s="49">
        <f t="shared" si="3"/>
        <v>0</v>
      </c>
    </row>
    <row r="54" spans="1:12" ht="15.75" thickBot="1" x14ac:dyDescent="0.3">
      <c r="A54" s="16" t="s">
        <v>48</v>
      </c>
      <c r="B54" s="52">
        <v>4.2</v>
      </c>
      <c r="C54" s="39">
        <v>4.16</v>
      </c>
      <c r="D54" s="39">
        <v>4</v>
      </c>
      <c r="E54" s="39">
        <v>4</v>
      </c>
      <c r="F54" s="39">
        <v>4</v>
      </c>
      <c r="G54" s="40">
        <v>4</v>
      </c>
      <c r="H54" s="48">
        <f t="shared" si="0"/>
        <v>5.0000000000000044E-2</v>
      </c>
      <c r="I54" s="48">
        <f t="shared" si="1"/>
        <v>4.0000000000000036E-2</v>
      </c>
      <c r="J54" s="49">
        <f t="shared" si="4"/>
        <v>0</v>
      </c>
      <c r="K54" s="49">
        <f t="shared" si="2"/>
        <v>0</v>
      </c>
      <c r="L54" s="49">
        <f t="shared" si="3"/>
        <v>0</v>
      </c>
    </row>
    <row r="55" spans="1:12" ht="15.75" thickBot="1" x14ac:dyDescent="0.3">
      <c r="A55" s="16" t="s">
        <v>49</v>
      </c>
      <c r="B55" s="52">
        <v>4.68</v>
      </c>
      <c r="C55" s="39">
        <v>5</v>
      </c>
      <c r="D55" s="39">
        <v>4.16</v>
      </c>
      <c r="E55" s="39">
        <v>4.16</v>
      </c>
      <c r="F55" s="39">
        <v>4.16</v>
      </c>
      <c r="G55" s="40">
        <v>4.16</v>
      </c>
      <c r="H55" s="48">
        <f t="shared" si="0"/>
        <v>0.12499999999999989</v>
      </c>
      <c r="I55" s="48">
        <f t="shared" si="1"/>
        <v>0.20192307692307687</v>
      </c>
      <c r="J55" s="49">
        <f t="shared" si="4"/>
        <v>0</v>
      </c>
      <c r="K55" s="49">
        <f t="shared" si="2"/>
        <v>0</v>
      </c>
      <c r="L55" s="49">
        <f t="shared" si="3"/>
        <v>0</v>
      </c>
    </row>
    <row r="56" spans="1:12" ht="15.75" thickBot="1" x14ac:dyDescent="0.3">
      <c r="A56" s="16" t="s">
        <v>50</v>
      </c>
      <c r="B56" s="52">
        <v>6.2</v>
      </c>
      <c r="C56" s="39">
        <v>6.2</v>
      </c>
      <c r="D56" s="39">
        <v>5.2</v>
      </c>
      <c r="E56" s="39">
        <v>5.2</v>
      </c>
      <c r="F56" s="39">
        <v>5.2</v>
      </c>
      <c r="G56" s="40">
        <v>5.2</v>
      </c>
      <c r="H56" s="48">
        <f t="shared" si="0"/>
        <v>0.19230769230769229</v>
      </c>
      <c r="I56" s="48">
        <f t="shared" si="1"/>
        <v>0.19230769230769229</v>
      </c>
      <c r="J56" s="49">
        <f t="shared" si="4"/>
        <v>0</v>
      </c>
      <c r="K56" s="49">
        <f t="shared" si="2"/>
        <v>0</v>
      </c>
      <c r="L56" s="49">
        <f t="shared" si="3"/>
        <v>0</v>
      </c>
    </row>
    <row r="57" spans="1:12" ht="15.75" thickBot="1" x14ac:dyDescent="0.3">
      <c r="A57" s="16" t="s">
        <v>51</v>
      </c>
      <c r="B57" s="52">
        <v>4</v>
      </c>
      <c r="C57" s="39">
        <v>4.16</v>
      </c>
      <c r="D57" s="39">
        <v>3.84</v>
      </c>
      <c r="E57" s="39">
        <v>3.84</v>
      </c>
      <c r="F57" s="39">
        <v>3.84</v>
      </c>
      <c r="G57" s="40">
        <v>3.84</v>
      </c>
      <c r="H57" s="48">
        <f t="shared" si="0"/>
        <v>4.1666666666666706E-2</v>
      </c>
      <c r="I57" s="48">
        <f t="shared" si="1"/>
        <v>8.3333333333333412E-2</v>
      </c>
      <c r="J57" s="49">
        <f t="shared" si="4"/>
        <v>0</v>
      </c>
      <c r="K57" s="49">
        <f t="shared" si="2"/>
        <v>0</v>
      </c>
      <c r="L57" s="49">
        <f t="shared" si="3"/>
        <v>0</v>
      </c>
    </row>
    <row r="58" spans="1:12" ht="15.75" thickBot="1" x14ac:dyDescent="0.3">
      <c r="A58" s="16" t="s">
        <v>52</v>
      </c>
      <c r="B58" s="52">
        <v>6.4</v>
      </c>
      <c r="C58" s="39">
        <v>7.2000000000000011</v>
      </c>
      <c r="D58" s="39">
        <v>6.4</v>
      </c>
      <c r="E58" s="39">
        <v>6.4</v>
      </c>
      <c r="F58" s="39">
        <v>6.4</v>
      </c>
      <c r="G58" s="40">
        <v>6.4</v>
      </c>
      <c r="H58" s="48">
        <f t="shared" si="0"/>
        <v>0</v>
      </c>
      <c r="I58" s="48">
        <f t="shared" si="1"/>
        <v>0.12500000000000011</v>
      </c>
      <c r="J58" s="49">
        <f t="shared" si="4"/>
        <v>0</v>
      </c>
      <c r="K58" s="49">
        <f t="shared" si="2"/>
        <v>0</v>
      </c>
      <c r="L58" s="49">
        <f t="shared" si="3"/>
        <v>0</v>
      </c>
    </row>
    <row r="59" spans="1:12" ht="15.75" thickBot="1" x14ac:dyDescent="0.3">
      <c r="A59" s="16" t="s">
        <v>53</v>
      </c>
      <c r="B59" s="52">
        <v>6.24</v>
      </c>
      <c r="C59" s="39">
        <v>6.4</v>
      </c>
      <c r="D59" s="39">
        <v>6.24</v>
      </c>
      <c r="E59" s="39">
        <v>6.24</v>
      </c>
      <c r="F59" s="39">
        <v>6.24</v>
      </c>
      <c r="G59" s="40">
        <v>6.24</v>
      </c>
      <c r="H59" s="48">
        <f t="shared" si="0"/>
        <v>0</v>
      </c>
      <c r="I59" s="48">
        <f t="shared" si="1"/>
        <v>2.5641025641025664E-2</v>
      </c>
      <c r="J59" s="49">
        <f t="shared" si="4"/>
        <v>0</v>
      </c>
      <c r="K59" s="49">
        <f t="shared" si="2"/>
        <v>0</v>
      </c>
      <c r="L59" s="49">
        <f t="shared" si="3"/>
        <v>0</v>
      </c>
    </row>
    <row r="60" spans="1:12" ht="15.75" thickBot="1" x14ac:dyDescent="0.3">
      <c r="A60" s="16" t="s">
        <v>54</v>
      </c>
      <c r="B60" s="52">
        <v>5.2</v>
      </c>
      <c r="C60" s="39">
        <v>5.2000000000000011</v>
      </c>
      <c r="D60" s="39">
        <v>4.2</v>
      </c>
      <c r="E60" s="39">
        <v>4.2</v>
      </c>
      <c r="F60" s="39">
        <v>4.2</v>
      </c>
      <c r="G60" s="40">
        <v>4.2</v>
      </c>
      <c r="H60" s="48">
        <f t="shared" si="0"/>
        <v>0.23809523809523808</v>
      </c>
      <c r="I60" s="48">
        <f t="shared" si="1"/>
        <v>0.2380952380952383</v>
      </c>
      <c r="J60" s="49">
        <f t="shared" si="4"/>
        <v>0</v>
      </c>
      <c r="K60" s="49">
        <f t="shared" si="2"/>
        <v>0</v>
      </c>
      <c r="L60" s="49">
        <f t="shared" si="3"/>
        <v>0</v>
      </c>
    </row>
    <row r="61" spans="1:12" ht="15.75" thickBot="1" x14ac:dyDescent="0.3">
      <c r="A61" s="16" t="s">
        <v>55</v>
      </c>
      <c r="B61" s="52">
        <v>5.2</v>
      </c>
      <c r="C61" s="39">
        <v>5.4799999999999995</v>
      </c>
      <c r="D61" s="39">
        <v>5</v>
      </c>
      <c r="E61" s="39">
        <v>5</v>
      </c>
      <c r="F61" s="39">
        <v>5</v>
      </c>
      <c r="G61" s="40">
        <v>5</v>
      </c>
      <c r="H61" s="48">
        <f t="shared" si="0"/>
        <v>4.0000000000000036E-2</v>
      </c>
      <c r="I61" s="48">
        <f t="shared" si="1"/>
        <v>9.5999999999999905E-2</v>
      </c>
      <c r="J61" s="49">
        <f t="shared" si="4"/>
        <v>0</v>
      </c>
      <c r="K61" s="49">
        <f t="shared" si="2"/>
        <v>0</v>
      </c>
      <c r="L61" s="49">
        <f t="shared" si="3"/>
        <v>0</v>
      </c>
    </row>
    <row r="62" spans="1:12" ht="15.75" thickBot="1" x14ac:dyDescent="0.3">
      <c r="A62" s="16" t="s">
        <v>56</v>
      </c>
      <c r="B62" s="52">
        <v>5.56</v>
      </c>
      <c r="C62" s="39">
        <v>5.7200000000000006</v>
      </c>
      <c r="D62" s="39">
        <v>5.4</v>
      </c>
      <c r="E62" s="39">
        <v>5.4</v>
      </c>
      <c r="F62" s="39">
        <v>5.4</v>
      </c>
      <c r="G62" s="40">
        <v>5.4</v>
      </c>
      <c r="H62" s="48">
        <f t="shared" si="0"/>
        <v>2.9629629629629489E-2</v>
      </c>
      <c r="I62" s="48">
        <f t="shared" si="1"/>
        <v>5.925925925925931E-2</v>
      </c>
      <c r="J62" s="49">
        <f t="shared" si="4"/>
        <v>0</v>
      </c>
      <c r="K62" s="49">
        <f t="shared" si="2"/>
        <v>0</v>
      </c>
      <c r="L62" s="49">
        <f t="shared" si="3"/>
        <v>0</v>
      </c>
    </row>
    <row r="63" spans="1:12" ht="15.75" thickBot="1" x14ac:dyDescent="0.3">
      <c r="A63" s="16" t="s">
        <v>57</v>
      </c>
      <c r="B63" s="52">
        <v>4.32</v>
      </c>
      <c r="C63" s="39">
        <v>4.32</v>
      </c>
      <c r="D63" s="39">
        <v>4.32</v>
      </c>
      <c r="E63" s="39">
        <v>4.32</v>
      </c>
      <c r="F63" s="39">
        <v>4.32</v>
      </c>
      <c r="G63" s="40">
        <v>4.32</v>
      </c>
      <c r="H63" s="48">
        <f t="shared" si="0"/>
        <v>0</v>
      </c>
      <c r="I63" s="48">
        <f t="shared" si="1"/>
        <v>0</v>
      </c>
      <c r="J63" s="49">
        <f t="shared" si="4"/>
        <v>0</v>
      </c>
      <c r="K63" s="49">
        <f t="shared" si="2"/>
        <v>0</v>
      </c>
      <c r="L63" s="49">
        <f t="shared" si="3"/>
        <v>0</v>
      </c>
    </row>
    <row r="64" spans="1:12" ht="15.75" thickBot="1" x14ac:dyDescent="0.3">
      <c r="A64" s="16" t="s">
        <v>58</v>
      </c>
      <c r="B64" s="52">
        <v>5.12</v>
      </c>
      <c r="C64" s="39">
        <v>5.44</v>
      </c>
      <c r="D64" s="39">
        <v>5.12</v>
      </c>
      <c r="E64" s="39">
        <v>5.12</v>
      </c>
      <c r="F64" s="39">
        <v>5.12</v>
      </c>
      <c r="G64" s="40">
        <v>5.12</v>
      </c>
      <c r="H64" s="48">
        <f t="shared" si="0"/>
        <v>0</v>
      </c>
      <c r="I64" s="48">
        <f t="shared" si="1"/>
        <v>6.2500000000000056E-2</v>
      </c>
      <c r="J64" s="49">
        <f t="shared" si="4"/>
        <v>0</v>
      </c>
      <c r="K64" s="49">
        <f t="shared" si="2"/>
        <v>0</v>
      </c>
      <c r="L64" s="49">
        <f t="shared" si="3"/>
        <v>0</v>
      </c>
    </row>
    <row r="65" spans="1:12" ht="15.75" thickBot="1" x14ac:dyDescent="0.3">
      <c r="A65" s="16" t="s">
        <v>59</v>
      </c>
      <c r="B65" s="52">
        <v>4.28</v>
      </c>
      <c r="C65" s="39">
        <v>4.4399999999999995</v>
      </c>
      <c r="D65" s="39">
        <v>4.28</v>
      </c>
      <c r="E65" s="39">
        <v>4.28</v>
      </c>
      <c r="F65" s="39">
        <v>4.28</v>
      </c>
      <c r="G65" s="40">
        <v>4.28</v>
      </c>
      <c r="H65" s="48">
        <f t="shared" si="0"/>
        <v>0</v>
      </c>
      <c r="I65" s="48">
        <f t="shared" si="1"/>
        <v>3.7383177570093282E-2</v>
      </c>
      <c r="J65" s="49">
        <f t="shared" si="4"/>
        <v>0</v>
      </c>
      <c r="K65" s="49">
        <f t="shared" si="2"/>
        <v>0</v>
      </c>
      <c r="L65" s="49">
        <f t="shared" si="3"/>
        <v>0</v>
      </c>
    </row>
    <row r="66" spans="1:12" ht="15.75" thickBot="1" x14ac:dyDescent="0.3">
      <c r="A66" s="16" t="s">
        <v>60</v>
      </c>
      <c r="B66" s="52">
        <v>3.6</v>
      </c>
      <c r="C66" s="39">
        <v>3.08</v>
      </c>
      <c r="D66" s="39">
        <v>2.76</v>
      </c>
      <c r="E66" s="39">
        <v>2.76</v>
      </c>
      <c r="F66" s="39">
        <v>2.76</v>
      </c>
      <c r="G66" s="40">
        <v>2.76</v>
      </c>
      <c r="H66" s="48">
        <f t="shared" si="0"/>
        <v>0.30434782608695665</v>
      </c>
      <c r="I66" s="48">
        <f t="shared" si="1"/>
        <v>0.11594202898550736</v>
      </c>
      <c r="J66" s="49">
        <f t="shared" si="4"/>
        <v>0</v>
      </c>
      <c r="K66" s="49">
        <f t="shared" si="2"/>
        <v>0</v>
      </c>
      <c r="L66" s="49">
        <f t="shared" si="3"/>
        <v>0</v>
      </c>
    </row>
    <row r="67" spans="1:12" ht="15.75" thickBot="1" x14ac:dyDescent="0.3">
      <c r="A67" s="16" t="s">
        <v>61</v>
      </c>
      <c r="B67" s="52">
        <v>3.84</v>
      </c>
      <c r="C67" s="39">
        <v>4</v>
      </c>
      <c r="D67" s="39">
        <v>3.2</v>
      </c>
      <c r="E67" s="39">
        <v>3.2</v>
      </c>
      <c r="F67" s="39">
        <v>3.2</v>
      </c>
      <c r="G67" s="40">
        <v>3.2</v>
      </c>
      <c r="H67" s="48">
        <f t="shared" si="0"/>
        <v>0.1999999999999999</v>
      </c>
      <c r="I67" s="48">
        <f t="shared" si="1"/>
        <v>0.24999999999999994</v>
      </c>
      <c r="J67" s="49">
        <f t="shared" si="4"/>
        <v>0</v>
      </c>
      <c r="K67" s="49">
        <f t="shared" si="2"/>
        <v>0</v>
      </c>
      <c r="L67" s="49">
        <f t="shared" si="3"/>
        <v>0</v>
      </c>
    </row>
    <row r="68" spans="1:12" ht="15.75" thickBot="1" x14ac:dyDescent="0.3">
      <c r="A68" s="16" t="s">
        <v>62</v>
      </c>
      <c r="B68" s="52">
        <v>4.4400000000000004</v>
      </c>
      <c r="C68" s="39">
        <v>5.88</v>
      </c>
      <c r="D68" s="39">
        <v>4.4400000000000004</v>
      </c>
      <c r="E68" s="39">
        <v>4.4400000000000004</v>
      </c>
      <c r="F68" s="39">
        <v>4.4400000000000004</v>
      </c>
      <c r="G68" s="40">
        <v>4.4400000000000004</v>
      </c>
      <c r="H68" s="48">
        <f t="shared" si="0"/>
        <v>0</v>
      </c>
      <c r="I68" s="48">
        <f t="shared" si="1"/>
        <v>0.32432432432432418</v>
      </c>
      <c r="J68" s="49">
        <f t="shared" si="4"/>
        <v>0</v>
      </c>
      <c r="K68" s="49">
        <f t="shared" si="2"/>
        <v>0</v>
      </c>
      <c r="L68" s="49">
        <f t="shared" si="3"/>
        <v>0</v>
      </c>
    </row>
    <row r="69" spans="1:12" ht="15.75" thickBot="1" x14ac:dyDescent="0.3">
      <c r="A69" s="16" t="s">
        <v>63</v>
      </c>
      <c r="B69" s="52">
        <v>3.96</v>
      </c>
      <c r="C69" s="39">
        <v>3.9600000000000004</v>
      </c>
      <c r="D69" s="39">
        <v>3.76</v>
      </c>
      <c r="E69" s="39">
        <v>3.76</v>
      </c>
      <c r="F69" s="39">
        <v>3.76</v>
      </c>
      <c r="G69" s="40">
        <v>3.76</v>
      </c>
      <c r="H69" s="48">
        <f t="shared" si="0"/>
        <v>5.3191489361702177E-2</v>
      </c>
      <c r="I69" s="48">
        <f t="shared" si="1"/>
        <v>5.3191489361702295E-2</v>
      </c>
      <c r="J69" s="49">
        <f t="shared" si="4"/>
        <v>0</v>
      </c>
      <c r="K69" s="49">
        <f t="shared" si="2"/>
        <v>0</v>
      </c>
      <c r="L69" s="49">
        <f t="shared" si="3"/>
        <v>0</v>
      </c>
    </row>
    <row r="70" spans="1:12" ht="15.75" thickBot="1" x14ac:dyDescent="0.3">
      <c r="A70" s="16" t="s">
        <v>64</v>
      </c>
      <c r="B70" s="52">
        <v>7.44</v>
      </c>
      <c r="C70" s="39">
        <v>6.6</v>
      </c>
      <c r="D70" s="39">
        <v>5.44</v>
      </c>
      <c r="E70" s="39">
        <v>5.44</v>
      </c>
      <c r="F70" s="39">
        <v>5.44</v>
      </c>
      <c r="G70" s="40">
        <v>5.44</v>
      </c>
      <c r="H70" s="48">
        <f t="shared" si="0"/>
        <v>0.36764705882352938</v>
      </c>
      <c r="I70" s="48">
        <f t="shared" si="1"/>
        <v>0.21323529411764691</v>
      </c>
      <c r="J70" s="49">
        <f t="shared" si="4"/>
        <v>0</v>
      </c>
      <c r="K70" s="49">
        <f t="shared" si="2"/>
        <v>0</v>
      </c>
      <c r="L70" s="49">
        <f t="shared" si="3"/>
        <v>0</v>
      </c>
    </row>
    <row r="71" spans="1:12" ht="15.75" thickBot="1" x14ac:dyDescent="0.3">
      <c r="A71" s="16" t="s">
        <v>65</v>
      </c>
      <c r="B71" s="52">
        <v>3.12</v>
      </c>
      <c r="C71" s="39">
        <v>3.12</v>
      </c>
      <c r="D71" s="39">
        <v>2.96</v>
      </c>
      <c r="E71" s="39">
        <v>2.92</v>
      </c>
      <c r="F71" s="39">
        <v>2.92</v>
      </c>
      <c r="G71" s="40">
        <v>2.92</v>
      </c>
      <c r="H71" s="48">
        <f t="shared" si="0"/>
        <v>6.8493150684931572E-2</v>
      </c>
      <c r="I71" s="48">
        <f t="shared" si="1"/>
        <v>6.8493150684931572E-2</v>
      </c>
      <c r="J71" s="49">
        <f t="shared" si="4"/>
        <v>1.3698630136986314E-2</v>
      </c>
      <c r="K71" s="49">
        <f t="shared" si="2"/>
        <v>0</v>
      </c>
      <c r="L71" s="49">
        <f t="shared" si="3"/>
        <v>0</v>
      </c>
    </row>
    <row r="72" spans="1:12" ht="15.75" thickBot="1" x14ac:dyDescent="0.3">
      <c r="A72" s="16" t="s">
        <v>66</v>
      </c>
      <c r="B72" s="52">
        <v>4.2</v>
      </c>
      <c r="C72" s="39">
        <v>4.2</v>
      </c>
      <c r="D72" s="39">
        <v>3.56</v>
      </c>
      <c r="E72" s="39">
        <v>3.24</v>
      </c>
      <c r="F72" s="39">
        <v>3.24</v>
      </c>
      <c r="G72" s="40">
        <v>3.24</v>
      </c>
      <c r="H72" s="48">
        <f t="shared" ref="H72:H126" si="5">(B72-G72)/G72</f>
        <v>0.29629629629629628</v>
      </c>
      <c r="I72" s="48">
        <f t="shared" ref="I72:I126" si="6">(C72-G72)/G72</f>
        <v>0.29629629629629628</v>
      </c>
      <c r="J72" s="49">
        <f t="shared" si="4"/>
        <v>9.8765432098765371E-2</v>
      </c>
      <c r="K72" s="49">
        <f t="shared" ref="K72:K126" si="7">(E72-G72)/G72</f>
        <v>0</v>
      </c>
      <c r="L72" s="49">
        <f t="shared" ref="L72:L126" si="8">(F72-G72)/G72</f>
        <v>0</v>
      </c>
    </row>
    <row r="73" spans="1:12" ht="15.75" thickBot="1" x14ac:dyDescent="0.3">
      <c r="A73" s="16" t="s">
        <v>67</v>
      </c>
      <c r="B73" s="52">
        <v>4.4000000000000004</v>
      </c>
      <c r="C73" s="39">
        <v>4.5600000000000005</v>
      </c>
      <c r="D73" s="39">
        <v>4.4000000000000004</v>
      </c>
      <c r="E73" s="39">
        <v>4.4000000000000004</v>
      </c>
      <c r="F73" s="39">
        <v>4.4000000000000004</v>
      </c>
      <c r="G73" s="40">
        <v>4.4000000000000004</v>
      </c>
      <c r="H73" s="48">
        <f t="shared" si="5"/>
        <v>0</v>
      </c>
      <c r="I73" s="48">
        <f t="shared" si="6"/>
        <v>3.636363636363639E-2</v>
      </c>
      <c r="J73" s="49">
        <f t="shared" ref="J73:J126" si="9">(D73-G73)/G73</f>
        <v>0</v>
      </c>
      <c r="K73" s="49">
        <f t="shared" si="7"/>
        <v>0</v>
      </c>
      <c r="L73" s="49">
        <f t="shared" si="8"/>
        <v>0</v>
      </c>
    </row>
    <row r="74" spans="1:12" ht="15.75" thickBot="1" x14ac:dyDescent="0.3">
      <c r="A74" s="16" t="s">
        <v>68</v>
      </c>
      <c r="B74" s="52">
        <v>4.6399999999999997</v>
      </c>
      <c r="C74" s="39">
        <v>4.6400000000000006</v>
      </c>
      <c r="D74" s="39">
        <v>4</v>
      </c>
      <c r="E74" s="39">
        <v>4</v>
      </c>
      <c r="F74" s="39">
        <v>4</v>
      </c>
      <c r="G74" s="40">
        <v>4</v>
      </c>
      <c r="H74" s="48">
        <f t="shared" si="5"/>
        <v>0.15999999999999992</v>
      </c>
      <c r="I74" s="48">
        <f t="shared" si="6"/>
        <v>0.16000000000000014</v>
      </c>
      <c r="J74" s="49">
        <f t="shared" si="9"/>
        <v>0</v>
      </c>
      <c r="K74" s="49">
        <f t="shared" si="7"/>
        <v>0</v>
      </c>
      <c r="L74" s="49">
        <f t="shared" si="8"/>
        <v>0</v>
      </c>
    </row>
    <row r="75" spans="1:12" ht="15.75" thickBot="1" x14ac:dyDescent="0.3">
      <c r="A75" s="16" t="s">
        <v>69</v>
      </c>
      <c r="B75" s="52">
        <v>3.4</v>
      </c>
      <c r="C75" s="39">
        <v>3.5600000000000005</v>
      </c>
      <c r="D75" s="39">
        <v>3.24</v>
      </c>
      <c r="E75" s="39">
        <v>3.24</v>
      </c>
      <c r="F75" s="39">
        <v>3.4</v>
      </c>
      <c r="G75" s="40">
        <v>3.24</v>
      </c>
      <c r="H75" s="48">
        <f t="shared" si="5"/>
        <v>4.9382716049382616E-2</v>
      </c>
      <c r="I75" s="48">
        <f t="shared" si="6"/>
        <v>9.876543209876551E-2</v>
      </c>
      <c r="J75" s="49">
        <f t="shared" si="9"/>
        <v>0</v>
      </c>
      <c r="K75" s="49">
        <f t="shared" si="7"/>
        <v>0</v>
      </c>
      <c r="L75" s="49">
        <f t="shared" si="8"/>
        <v>4.9382716049382616E-2</v>
      </c>
    </row>
    <row r="76" spans="1:12" ht="15.75" thickBot="1" x14ac:dyDescent="0.3">
      <c r="A76" s="16" t="s">
        <v>70</v>
      </c>
      <c r="B76" s="52">
        <v>4.08</v>
      </c>
      <c r="C76" s="39">
        <v>4.04</v>
      </c>
      <c r="D76" s="39">
        <v>3.88</v>
      </c>
      <c r="E76" s="39">
        <v>3.88</v>
      </c>
      <c r="F76" s="39">
        <v>3.88</v>
      </c>
      <c r="G76" s="40">
        <v>3.88</v>
      </c>
      <c r="H76" s="48">
        <f t="shared" si="5"/>
        <v>5.1546391752577365E-2</v>
      </c>
      <c r="I76" s="48">
        <f t="shared" si="6"/>
        <v>4.1237113402061897E-2</v>
      </c>
      <c r="J76" s="49">
        <f t="shared" si="9"/>
        <v>0</v>
      </c>
      <c r="K76" s="49">
        <f t="shared" si="7"/>
        <v>0</v>
      </c>
      <c r="L76" s="49">
        <f t="shared" si="8"/>
        <v>0</v>
      </c>
    </row>
    <row r="77" spans="1:12" ht="15.75" thickBot="1" x14ac:dyDescent="0.3">
      <c r="A77" s="16" t="s">
        <v>71</v>
      </c>
      <c r="B77" s="52">
        <v>4.92</v>
      </c>
      <c r="C77" s="39">
        <v>5.24</v>
      </c>
      <c r="D77" s="39">
        <v>4.28</v>
      </c>
      <c r="E77" s="39">
        <v>4.28</v>
      </c>
      <c r="F77" s="39">
        <v>4.28</v>
      </c>
      <c r="G77" s="40">
        <v>4.28</v>
      </c>
      <c r="H77" s="48">
        <f t="shared" si="5"/>
        <v>0.14953271028037374</v>
      </c>
      <c r="I77" s="48">
        <f t="shared" si="6"/>
        <v>0.22429906542056072</v>
      </c>
      <c r="J77" s="49">
        <f t="shared" si="9"/>
        <v>0</v>
      </c>
      <c r="K77" s="49">
        <f t="shared" si="7"/>
        <v>0</v>
      </c>
      <c r="L77" s="49">
        <f t="shared" si="8"/>
        <v>0</v>
      </c>
    </row>
    <row r="78" spans="1:12" ht="15.75" thickBot="1" x14ac:dyDescent="0.3">
      <c r="A78" s="16" t="s">
        <v>72</v>
      </c>
      <c r="B78" s="52">
        <v>4.12</v>
      </c>
      <c r="C78" s="39">
        <v>4.6400000000000006</v>
      </c>
      <c r="D78" s="39">
        <v>3.96</v>
      </c>
      <c r="E78" s="39">
        <v>3.96</v>
      </c>
      <c r="F78" s="39">
        <v>3.96</v>
      </c>
      <c r="G78" s="40">
        <v>3.96</v>
      </c>
      <c r="H78" s="48">
        <f t="shared" si="5"/>
        <v>4.0404040404040442E-2</v>
      </c>
      <c r="I78" s="48">
        <f t="shared" si="6"/>
        <v>0.17171717171717188</v>
      </c>
      <c r="J78" s="49">
        <f t="shared" si="9"/>
        <v>0</v>
      </c>
      <c r="K78" s="49">
        <f t="shared" si="7"/>
        <v>0</v>
      </c>
      <c r="L78" s="49">
        <f t="shared" si="8"/>
        <v>0</v>
      </c>
    </row>
    <row r="79" spans="1:12" ht="15.75" thickBot="1" x14ac:dyDescent="0.3">
      <c r="A79" s="16" t="s">
        <v>73</v>
      </c>
      <c r="B79" s="52">
        <v>4.8</v>
      </c>
      <c r="C79" s="39">
        <v>4.8000000000000007</v>
      </c>
      <c r="D79" s="39">
        <v>3.96</v>
      </c>
      <c r="E79" s="39">
        <v>3.96</v>
      </c>
      <c r="F79" s="39">
        <v>3.96</v>
      </c>
      <c r="G79" s="40">
        <v>3.96</v>
      </c>
      <c r="H79" s="48">
        <f t="shared" si="5"/>
        <v>0.2121212121212121</v>
      </c>
      <c r="I79" s="48">
        <f t="shared" si="6"/>
        <v>0.21212121212121232</v>
      </c>
      <c r="J79" s="49">
        <f t="shared" si="9"/>
        <v>0</v>
      </c>
      <c r="K79" s="49">
        <f t="shared" si="7"/>
        <v>0</v>
      </c>
      <c r="L79" s="49">
        <f t="shared" si="8"/>
        <v>0</v>
      </c>
    </row>
    <row r="80" spans="1:12" ht="15.75" thickBot="1" x14ac:dyDescent="0.3">
      <c r="A80" s="16" t="s">
        <v>74</v>
      </c>
      <c r="B80" s="52">
        <v>3.24</v>
      </c>
      <c r="C80" s="39">
        <v>3.4000000000000004</v>
      </c>
      <c r="D80" s="39">
        <v>3.2</v>
      </c>
      <c r="E80" s="39">
        <v>2.88</v>
      </c>
      <c r="F80" s="39">
        <v>2.88</v>
      </c>
      <c r="G80" s="40">
        <v>2.88</v>
      </c>
      <c r="H80" s="48">
        <f t="shared" si="5"/>
        <v>0.12500000000000011</v>
      </c>
      <c r="I80" s="48">
        <f t="shared" si="6"/>
        <v>0.18055555555555572</v>
      </c>
      <c r="J80" s="49">
        <f t="shared" si="9"/>
        <v>0.11111111111111122</v>
      </c>
      <c r="K80" s="49">
        <f t="shared" si="7"/>
        <v>0</v>
      </c>
      <c r="L80" s="49">
        <f t="shared" si="8"/>
        <v>0</v>
      </c>
    </row>
    <row r="81" spans="1:12" ht="15.75" thickBot="1" x14ac:dyDescent="0.3">
      <c r="A81" s="16" t="s">
        <v>75</v>
      </c>
      <c r="B81" s="52">
        <v>4.04</v>
      </c>
      <c r="C81" s="39">
        <v>4.04</v>
      </c>
      <c r="D81" s="39">
        <v>3.4</v>
      </c>
      <c r="E81" s="39">
        <v>3.4</v>
      </c>
      <c r="F81" s="39">
        <v>3.4</v>
      </c>
      <c r="G81" s="40">
        <v>3.4</v>
      </c>
      <c r="H81" s="48">
        <f t="shared" si="5"/>
        <v>0.18823529411764711</v>
      </c>
      <c r="I81" s="48">
        <f t="shared" si="6"/>
        <v>0.18823529411764711</v>
      </c>
      <c r="J81" s="49">
        <f t="shared" si="9"/>
        <v>0</v>
      </c>
      <c r="K81" s="49">
        <f t="shared" si="7"/>
        <v>0</v>
      </c>
      <c r="L81" s="49">
        <f t="shared" si="8"/>
        <v>0</v>
      </c>
    </row>
    <row r="82" spans="1:12" ht="15.75" thickBot="1" x14ac:dyDescent="0.3">
      <c r="A82" s="16" t="s">
        <v>76</v>
      </c>
      <c r="B82" s="52">
        <v>5.24</v>
      </c>
      <c r="C82" s="39">
        <v>5.5600000000000005</v>
      </c>
      <c r="D82" s="39">
        <v>5.08</v>
      </c>
      <c r="E82" s="39">
        <v>5.08</v>
      </c>
      <c r="F82" s="39">
        <v>5.08</v>
      </c>
      <c r="G82" s="40">
        <v>5.08</v>
      </c>
      <c r="H82" s="48">
        <f t="shared" si="5"/>
        <v>3.1496062992126012E-2</v>
      </c>
      <c r="I82" s="48">
        <f t="shared" si="6"/>
        <v>9.4488188976378035E-2</v>
      </c>
      <c r="J82" s="49">
        <f t="shared" si="9"/>
        <v>0</v>
      </c>
      <c r="K82" s="49">
        <f t="shared" si="7"/>
        <v>0</v>
      </c>
      <c r="L82" s="49">
        <f t="shared" si="8"/>
        <v>0</v>
      </c>
    </row>
    <row r="83" spans="1:12" ht="15.75" thickBot="1" x14ac:dyDescent="0.3">
      <c r="A83" s="16" t="s">
        <v>77</v>
      </c>
      <c r="B83" s="52">
        <v>5.04</v>
      </c>
      <c r="C83" s="39">
        <v>5.2</v>
      </c>
      <c r="D83" s="39">
        <v>4.24</v>
      </c>
      <c r="E83" s="39">
        <v>4.04</v>
      </c>
      <c r="F83" s="39">
        <v>4.04</v>
      </c>
      <c r="G83" s="40">
        <v>4.04</v>
      </c>
      <c r="H83" s="48">
        <f t="shared" si="5"/>
        <v>0.24752475247524752</v>
      </c>
      <c r="I83" s="48">
        <f t="shared" si="6"/>
        <v>0.28712871287128716</v>
      </c>
      <c r="J83" s="49">
        <f t="shared" si="9"/>
        <v>4.9504950495049549E-2</v>
      </c>
      <c r="K83" s="49">
        <f t="shared" si="7"/>
        <v>0</v>
      </c>
      <c r="L83" s="49">
        <f t="shared" si="8"/>
        <v>0</v>
      </c>
    </row>
    <row r="84" spans="1:12" ht="15.75" thickBot="1" x14ac:dyDescent="0.3">
      <c r="A84" s="16" t="s">
        <v>78</v>
      </c>
      <c r="B84" s="52">
        <v>2.6</v>
      </c>
      <c r="C84" s="39">
        <v>2.92</v>
      </c>
      <c r="D84" s="39">
        <v>2.6</v>
      </c>
      <c r="E84" s="39">
        <v>2.6</v>
      </c>
      <c r="F84" s="39">
        <v>2.6</v>
      </c>
      <c r="G84" s="40">
        <v>2.6</v>
      </c>
      <c r="H84" s="48">
        <f t="shared" si="5"/>
        <v>0</v>
      </c>
      <c r="I84" s="48">
        <f t="shared" si="6"/>
        <v>0.12307692307692301</v>
      </c>
      <c r="J84" s="49">
        <f t="shared" si="9"/>
        <v>0</v>
      </c>
      <c r="K84" s="49">
        <f t="shared" si="7"/>
        <v>0</v>
      </c>
      <c r="L84" s="49">
        <f t="shared" si="8"/>
        <v>0</v>
      </c>
    </row>
    <row r="85" spans="1:12" ht="15.75" thickBot="1" x14ac:dyDescent="0.3">
      <c r="A85" s="16" t="s">
        <v>79</v>
      </c>
      <c r="B85" s="52">
        <v>6.24</v>
      </c>
      <c r="C85" s="39">
        <v>6.7200000000000006</v>
      </c>
      <c r="D85" s="39">
        <v>5.08</v>
      </c>
      <c r="E85" s="39">
        <v>5.24</v>
      </c>
      <c r="F85" s="39">
        <v>5.08</v>
      </c>
      <c r="G85" s="40">
        <v>5.08</v>
      </c>
      <c r="H85" s="48">
        <f t="shared" si="5"/>
        <v>0.22834645669291342</v>
      </c>
      <c r="I85" s="48">
        <f t="shared" si="6"/>
        <v>0.32283464566929143</v>
      </c>
      <c r="J85" s="49">
        <f t="shared" si="9"/>
        <v>0</v>
      </c>
      <c r="K85" s="49">
        <f t="shared" si="7"/>
        <v>3.1496062992126012E-2</v>
      </c>
      <c r="L85" s="49">
        <f t="shared" si="8"/>
        <v>0</v>
      </c>
    </row>
    <row r="86" spans="1:12" ht="15.75" thickBot="1" x14ac:dyDescent="0.3">
      <c r="A86" s="16" t="s">
        <v>80</v>
      </c>
      <c r="B86" s="52">
        <v>5.68</v>
      </c>
      <c r="C86" s="39">
        <v>6.4799999999999995</v>
      </c>
      <c r="D86" s="39">
        <v>5.68</v>
      </c>
      <c r="E86" s="39">
        <v>5.84</v>
      </c>
      <c r="F86" s="39">
        <v>5.68</v>
      </c>
      <c r="G86" s="40">
        <v>5.68</v>
      </c>
      <c r="H86" s="48">
        <f t="shared" si="5"/>
        <v>0</v>
      </c>
      <c r="I86" s="48">
        <f t="shared" si="6"/>
        <v>0.14084507042253519</v>
      </c>
      <c r="J86" s="49">
        <f t="shared" si="9"/>
        <v>0</v>
      </c>
      <c r="K86" s="49">
        <f t="shared" si="7"/>
        <v>2.8169014084507067E-2</v>
      </c>
      <c r="L86" s="49">
        <f t="shared" si="8"/>
        <v>0</v>
      </c>
    </row>
    <row r="87" spans="1:12" ht="15.75" thickBot="1" x14ac:dyDescent="0.3">
      <c r="A87" s="16" t="s">
        <v>81</v>
      </c>
      <c r="B87" s="52">
        <v>2.6</v>
      </c>
      <c r="C87" s="39">
        <v>3.5600000000000005</v>
      </c>
      <c r="D87" s="39">
        <v>2.6</v>
      </c>
      <c r="E87" s="39">
        <v>2.6</v>
      </c>
      <c r="F87" s="39">
        <v>2.6</v>
      </c>
      <c r="G87" s="40">
        <v>2.6</v>
      </c>
      <c r="H87" s="48">
        <f t="shared" si="5"/>
        <v>0</v>
      </c>
      <c r="I87" s="48">
        <f t="shared" si="6"/>
        <v>0.36923076923076936</v>
      </c>
      <c r="J87" s="49">
        <f t="shared" si="9"/>
        <v>0</v>
      </c>
      <c r="K87" s="49">
        <f t="shared" si="7"/>
        <v>0</v>
      </c>
      <c r="L87" s="49">
        <f t="shared" si="8"/>
        <v>0</v>
      </c>
    </row>
    <row r="88" spans="1:12" ht="15.75" thickBot="1" x14ac:dyDescent="0.3">
      <c r="A88" s="16" t="s">
        <v>82</v>
      </c>
      <c r="B88" s="52">
        <v>3.04</v>
      </c>
      <c r="C88" s="39">
        <v>3.2</v>
      </c>
      <c r="D88" s="39">
        <v>2.68</v>
      </c>
      <c r="E88" s="39">
        <v>2.52</v>
      </c>
      <c r="F88" s="39">
        <v>2.52</v>
      </c>
      <c r="G88" s="40">
        <v>2.52</v>
      </c>
      <c r="H88" s="48">
        <f t="shared" si="5"/>
        <v>0.20634920634920637</v>
      </c>
      <c r="I88" s="48">
        <f t="shared" si="6"/>
        <v>0.26984126984126988</v>
      </c>
      <c r="J88" s="49">
        <f t="shared" si="9"/>
        <v>6.3492063492063544E-2</v>
      </c>
      <c r="K88" s="49">
        <f t="shared" si="7"/>
        <v>0</v>
      </c>
      <c r="L88" s="49">
        <f t="shared" si="8"/>
        <v>0</v>
      </c>
    </row>
    <row r="89" spans="1:12" ht="15.75" thickBot="1" x14ac:dyDescent="0.3">
      <c r="A89" s="16" t="s">
        <v>83</v>
      </c>
      <c r="B89" s="52">
        <v>3.6</v>
      </c>
      <c r="C89" s="39">
        <v>3.4000000000000004</v>
      </c>
      <c r="D89" s="39">
        <v>3.24</v>
      </c>
      <c r="E89" s="39">
        <v>3.24</v>
      </c>
      <c r="F89" s="39">
        <v>3.24</v>
      </c>
      <c r="G89" s="40">
        <v>3.24</v>
      </c>
      <c r="H89" s="48">
        <f t="shared" si="5"/>
        <v>0.11111111111111106</v>
      </c>
      <c r="I89" s="48">
        <f t="shared" si="6"/>
        <v>4.9382716049382755E-2</v>
      </c>
      <c r="J89" s="49">
        <f t="shared" si="9"/>
        <v>0</v>
      </c>
      <c r="K89" s="49">
        <f t="shared" si="7"/>
        <v>0</v>
      </c>
      <c r="L89" s="49">
        <f t="shared" si="8"/>
        <v>0</v>
      </c>
    </row>
    <row r="90" spans="1:12" ht="15.75" thickBot="1" x14ac:dyDescent="0.3">
      <c r="A90" s="16" t="s">
        <v>84</v>
      </c>
      <c r="B90" s="52">
        <v>6.2</v>
      </c>
      <c r="C90" s="39">
        <v>6.84</v>
      </c>
      <c r="D90" s="39">
        <v>5.2</v>
      </c>
      <c r="E90" s="39">
        <v>5.2</v>
      </c>
      <c r="F90" s="39">
        <v>5.2</v>
      </c>
      <c r="G90" s="40">
        <v>5.2</v>
      </c>
      <c r="H90" s="48">
        <f t="shared" si="5"/>
        <v>0.19230769230769229</v>
      </c>
      <c r="I90" s="48">
        <f t="shared" si="6"/>
        <v>0.31538461538461532</v>
      </c>
      <c r="J90" s="49">
        <f t="shared" si="9"/>
        <v>0</v>
      </c>
      <c r="K90" s="49">
        <f t="shared" si="7"/>
        <v>0</v>
      </c>
      <c r="L90" s="49">
        <f t="shared" si="8"/>
        <v>0</v>
      </c>
    </row>
    <row r="91" spans="1:12" ht="15.75" thickBot="1" x14ac:dyDescent="0.3">
      <c r="A91" s="16" t="s">
        <v>85</v>
      </c>
      <c r="B91" s="52">
        <v>4.4800000000000004</v>
      </c>
      <c r="C91" s="39">
        <v>4.9600000000000009</v>
      </c>
      <c r="D91" s="39">
        <v>4.12</v>
      </c>
      <c r="E91" s="39">
        <v>4.12</v>
      </c>
      <c r="F91" s="39">
        <v>4.12</v>
      </c>
      <c r="G91" s="40">
        <v>4.28</v>
      </c>
      <c r="H91" s="48">
        <f t="shared" si="5"/>
        <v>4.6728971962616862E-2</v>
      </c>
      <c r="I91" s="48">
        <f t="shared" si="6"/>
        <v>0.15887850467289732</v>
      </c>
      <c r="J91" s="49">
        <f t="shared" si="9"/>
        <v>-3.738317757009349E-2</v>
      </c>
      <c r="K91" s="49">
        <f t="shared" si="7"/>
        <v>-3.738317757009349E-2</v>
      </c>
      <c r="L91" s="49">
        <f t="shared" si="8"/>
        <v>-3.738317757009349E-2</v>
      </c>
    </row>
    <row r="92" spans="1:12" ht="15.75" thickBot="1" x14ac:dyDescent="0.3">
      <c r="A92" s="16" t="s">
        <v>86</v>
      </c>
      <c r="B92" s="52">
        <v>2.6</v>
      </c>
      <c r="C92" s="39">
        <v>2.7199999999999998</v>
      </c>
      <c r="D92" s="39">
        <v>1.6</v>
      </c>
      <c r="E92" s="39">
        <v>1.6</v>
      </c>
      <c r="F92" s="39">
        <v>1.6</v>
      </c>
      <c r="G92" s="40">
        <v>1.6</v>
      </c>
      <c r="H92" s="48">
        <f t="shared" si="5"/>
        <v>0.625</v>
      </c>
      <c r="I92" s="48">
        <f t="shared" si="6"/>
        <v>0.69999999999999973</v>
      </c>
      <c r="J92" s="49">
        <f t="shared" si="9"/>
        <v>0</v>
      </c>
      <c r="K92" s="49">
        <f t="shared" si="7"/>
        <v>0</v>
      </c>
      <c r="L92" s="49">
        <f t="shared" si="8"/>
        <v>0</v>
      </c>
    </row>
    <row r="93" spans="1:12" ht="15.75" thickBot="1" x14ac:dyDescent="0.3">
      <c r="A93" s="16" t="s">
        <v>87</v>
      </c>
      <c r="B93" s="52">
        <v>3.8</v>
      </c>
      <c r="C93" s="39">
        <v>3.9600000000000004</v>
      </c>
      <c r="D93" s="39">
        <v>3.6</v>
      </c>
      <c r="E93" s="39">
        <v>3.6</v>
      </c>
      <c r="F93" s="39">
        <v>3.6</v>
      </c>
      <c r="G93" s="40">
        <v>3.6</v>
      </c>
      <c r="H93" s="48">
        <f t="shared" si="5"/>
        <v>5.5555555555555483E-2</v>
      </c>
      <c r="I93" s="48">
        <f t="shared" si="6"/>
        <v>0.10000000000000009</v>
      </c>
      <c r="J93" s="49">
        <f t="shared" si="9"/>
        <v>0</v>
      </c>
      <c r="K93" s="49">
        <f t="shared" si="7"/>
        <v>0</v>
      </c>
      <c r="L93" s="49">
        <f t="shared" si="8"/>
        <v>0</v>
      </c>
    </row>
    <row r="94" spans="1:12" ht="15.75" thickBot="1" x14ac:dyDescent="0.3">
      <c r="A94" s="16" t="s">
        <v>88</v>
      </c>
      <c r="B94" s="52">
        <v>4.84</v>
      </c>
      <c r="C94" s="39">
        <v>5</v>
      </c>
      <c r="D94" s="39">
        <v>4.84</v>
      </c>
      <c r="E94" s="39">
        <v>4.84</v>
      </c>
      <c r="F94" s="39">
        <v>4.84</v>
      </c>
      <c r="G94" s="40">
        <v>4.84</v>
      </c>
      <c r="H94" s="48">
        <f t="shared" si="5"/>
        <v>0</v>
      </c>
      <c r="I94" s="48">
        <f t="shared" si="6"/>
        <v>3.305785123966945E-2</v>
      </c>
      <c r="J94" s="49">
        <f t="shared" si="9"/>
        <v>0</v>
      </c>
      <c r="K94" s="49">
        <f t="shared" si="7"/>
        <v>0</v>
      </c>
      <c r="L94" s="49">
        <f t="shared" si="8"/>
        <v>0</v>
      </c>
    </row>
    <row r="95" spans="1:12" ht="15.75" thickBot="1" x14ac:dyDescent="0.3">
      <c r="A95" s="16" t="s">
        <v>89</v>
      </c>
      <c r="B95" s="52">
        <v>5</v>
      </c>
      <c r="C95" s="39">
        <v>5</v>
      </c>
      <c r="D95" s="39">
        <v>4.12</v>
      </c>
      <c r="E95" s="39">
        <v>4.12</v>
      </c>
      <c r="F95" s="39">
        <v>4.12</v>
      </c>
      <c r="G95" s="40">
        <v>4.12</v>
      </c>
      <c r="H95" s="48">
        <f t="shared" si="5"/>
        <v>0.2135922330097087</v>
      </c>
      <c r="I95" s="48">
        <f t="shared" si="6"/>
        <v>0.2135922330097087</v>
      </c>
      <c r="J95" s="49">
        <f t="shared" si="9"/>
        <v>0</v>
      </c>
      <c r="K95" s="49">
        <f t="shared" si="7"/>
        <v>0</v>
      </c>
      <c r="L95" s="49">
        <f t="shared" si="8"/>
        <v>0</v>
      </c>
    </row>
    <row r="96" spans="1:12" ht="15.75" thickBot="1" x14ac:dyDescent="0.3">
      <c r="A96" s="16" t="s">
        <v>90</v>
      </c>
      <c r="B96" s="52">
        <v>4.12</v>
      </c>
      <c r="C96" s="39">
        <v>5.44</v>
      </c>
      <c r="D96" s="39">
        <v>4.12</v>
      </c>
      <c r="E96" s="39">
        <v>4.12</v>
      </c>
      <c r="F96" s="39">
        <v>4.12</v>
      </c>
      <c r="G96" s="40">
        <v>4.12</v>
      </c>
      <c r="H96" s="48">
        <f t="shared" si="5"/>
        <v>0</v>
      </c>
      <c r="I96" s="48">
        <f t="shared" si="6"/>
        <v>0.32038834951456319</v>
      </c>
      <c r="J96" s="49">
        <f t="shared" si="9"/>
        <v>0</v>
      </c>
      <c r="K96" s="49">
        <f t="shared" si="7"/>
        <v>0</v>
      </c>
      <c r="L96" s="49">
        <f t="shared" si="8"/>
        <v>0</v>
      </c>
    </row>
    <row r="97" spans="1:12" ht="15.75" thickBot="1" x14ac:dyDescent="0.3">
      <c r="A97" s="16" t="s">
        <v>91</v>
      </c>
      <c r="B97" s="52">
        <v>4.84</v>
      </c>
      <c r="C97" s="39">
        <v>5.32</v>
      </c>
      <c r="D97" s="39">
        <v>4.68</v>
      </c>
      <c r="E97" s="39">
        <v>4.68</v>
      </c>
      <c r="F97" s="39">
        <v>4.68</v>
      </c>
      <c r="G97" s="40">
        <v>4.68</v>
      </c>
      <c r="H97" s="48">
        <f t="shared" si="5"/>
        <v>3.4188034188034219E-2</v>
      </c>
      <c r="I97" s="48">
        <f t="shared" si="6"/>
        <v>0.13675213675213688</v>
      </c>
      <c r="J97" s="49">
        <f t="shared" si="9"/>
        <v>0</v>
      </c>
      <c r="K97" s="49">
        <f t="shared" si="7"/>
        <v>0</v>
      </c>
      <c r="L97" s="49">
        <f t="shared" si="8"/>
        <v>0</v>
      </c>
    </row>
    <row r="98" spans="1:12" ht="15.75" thickBot="1" x14ac:dyDescent="0.3">
      <c r="A98" s="16" t="s">
        <v>92</v>
      </c>
      <c r="B98" s="52">
        <v>5</v>
      </c>
      <c r="C98" s="39">
        <v>5</v>
      </c>
      <c r="D98" s="39">
        <v>5</v>
      </c>
      <c r="E98" s="39">
        <v>5</v>
      </c>
      <c r="F98" s="39">
        <v>5</v>
      </c>
      <c r="G98" s="40">
        <v>5</v>
      </c>
      <c r="H98" s="48">
        <f t="shared" si="5"/>
        <v>0</v>
      </c>
      <c r="I98" s="48">
        <f t="shared" si="6"/>
        <v>0</v>
      </c>
      <c r="J98" s="49">
        <f t="shared" si="9"/>
        <v>0</v>
      </c>
      <c r="K98" s="49">
        <f t="shared" si="7"/>
        <v>0</v>
      </c>
      <c r="L98" s="49">
        <f t="shared" si="8"/>
        <v>0</v>
      </c>
    </row>
    <row r="99" spans="1:12" ht="15.75" thickBot="1" x14ac:dyDescent="0.3">
      <c r="A99" s="16" t="s">
        <v>93</v>
      </c>
      <c r="B99" s="52">
        <v>3.76</v>
      </c>
      <c r="C99" s="39">
        <v>3.92</v>
      </c>
      <c r="D99" s="39">
        <v>3.76</v>
      </c>
      <c r="E99" s="39">
        <v>3.76</v>
      </c>
      <c r="F99" s="39">
        <v>3.76</v>
      </c>
      <c r="G99" s="40">
        <v>3.76</v>
      </c>
      <c r="H99" s="48">
        <f t="shared" si="5"/>
        <v>0</v>
      </c>
      <c r="I99" s="48">
        <f t="shared" si="6"/>
        <v>4.2553191489361743E-2</v>
      </c>
      <c r="J99" s="49">
        <f t="shared" si="9"/>
        <v>0</v>
      </c>
      <c r="K99" s="49">
        <f t="shared" si="7"/>
        <v>0</v>
      </c>
      <c r="L99" s="49">
        <f t="shared" si="8"/>
        <v>0</v>
      </c>
    </row>
    <row r="100" spans="1:12" ht="15.75" thickBot="1" x14ac:dyDescent="0.3">
      <c r="A100" s="16" t="s">
        <v>94</v>
      </c>
      <c r="B100" s="52">
        <v>4.68</v>
      </c>
      <c r="C100" s="39">
        <v>5</v>
      </c>
      <c r="D100" s="39">
        <v>4.68</v>
      </c>
      <c r="E100" s="39">
        <v>4.68</v>
      </c>
      <c r="F100" s="39">
        <v>4.68</v>
      </c>
      <c r="G100" s="40">
        <v>4.68</v>
      </c>
      <c r="H100" s="48">
        <f t="shared" si="5"/>
        <v>0</v>
      </c>
      <c r="I100" s="48">
        <f t="shared" si="6"/>
        <v>6.8376068376068438E-2</v>
      </c>
      <c r="J100" s="49">
        <f t="shared" si="9"/>
        <v>0</v>
      </c>
      <c r="K100" s="49">
        <f t="shared" si="7"/>
        <v>0</v>
      </c>
      <c r="L100" s="49">
        <f t="shared" si="8"/>
        <v>0</v>
      </c>
    </row>
    <row r="101" spans="1:12" ht="15.75" thickBot="1" x14ac:dyDescent="0.3">
      <c r="A101" s="16" t="s">
        <v>95</v>
      </c>
      <c r="B101" s="52">
        <v>6.52</v>
      </c>
      <c r="C101" s="39">
        <v>6.68</v>
      </c>
      <c r="D101" s="39">
        <v>5.52</v>
      </c>
      <c r="E101" s="39">
        <v>5.52</v>
      </c>
      <c r="F101" s="39">
        <v>5.52</v>
      </c>
      <c r="G101" s="40">
        <v>5.52</v>
      </c>
      <c r="H101" s="48">
        <f t="shared" si="5"/>
        <v>0.1811594202898551</v>
      </c>
      <c r="I101" s="48">
        <f t="shared" si="6"/>
        <v>0.21014492753623193</v>
      </c>
      <c r="J101" s="49">
        <f t="shared" si="9"/>
        <v>0</v>
      </c>
      <c r="K101" s="49">
        <f t="shared" si="7"/>
        <v>0</v>
      </c>
      <c r="L101" s="49">
        <f t="shared" si="8"/>
        <v>0</v>
      </c>
    </row>
    <row r="102" spans="1:12" ht="15.75" thickBot="1" x14ac:dyDescent="0.3">
      <c r="A102" s="16" t="s">
        <v>96</v>
      </c>
      <c r="B102" s="52">
        <v>3.4</v>
      </c>
      <c r="C102" s="39">
        <v>3.4000000000000004</v>
      </c>
      <c r="D102" s="39">
        <v>3.24</v>
      </c>
      <c r="E102" s="39">
        <v>3.24</v>
      </c>
      <c r="F102" s="39">
        <v>3.24</v>
      </c>
      <c r="G102" s="40">
        <v>3.24</v>
      </c>
      <c r="H102" s="48">
        <f t="shared" si="5"/>
        <v>4.9382716049382616E-2</v>
      </c>
      <c r="I102" s="48">
        <f t="shared" si="6"/>
        <v>4.9382716049382755E-2</v>
      </c>
      <c r="J102" s="49">
        <f t="shared" si="9"/>
        <v>0</v>
      </c>
      <c r="K102" s="49">
        <f t="shared" si="7"/>
        <v>0</v>
      </c>
      <c r="L102" s="49">
        <f t="shared" si="8"/>
        <v>0</v>
      </c>
    </row>
    <row r="103" spans="1:12" ht="15.75" thickBot="1" x14ac:dyDescent="0.3">
      <c r="A103" s="16" t="s">
        <v>97</v>
      </c>
      <c r="B103" s="52">
        <v>4.88</v>
      </c>
      <c r="C103" s="39">
        <v>4.4000000000000004</v>
      </c>
      <c r="D103" s="39">
        <v>4.2</v>
      </c>
      <c r="E103" s="39">
        <v>4.2</v>
      </c>
      <c r="F103" s="39">
        <v>4.2</v>
      </c>
      <c r="G103" s="40">
        <v>4.2</v>
      </c>
      <c r="H103" s="48">
        <f t="shared" si="5"/>
        <v>0.16190476190476183</v>
      </c>
      <c r="I103" s="48">
        <f t="shared" si="6"/>
        <v>4.7619047619047658E-2</v>
      </c>
      <c r="J103" s="49">
        <f t="shared" si="9"/>
        <v>0</v>
      </c>
      <c r="K103" s="49">
        <f t="shared" si="7"/>
        <v>0</v>
      </c>
      <c r="L103" s="49">
        <f t="shared" si="8"/>
        <v>0</v>
      </c>
    </row>
    <row r="104" spans="1:12" ht="15.75" thickBot="1" x14ac:dyDescent="0.3">
      <c r="A104" s="16" t="s">
        <v>98</v>
      </c>
      <c r="B104" s="52">
        <v>5.44</v>
      </c>
      <c r="C104" s="39">
        <v>5.44</v>
      </c>
      <c r="D104" s="39">
        <v>4.4400000000000004</v>
      </c>
      <c r="E104" s="39">
        <v>4.4400000000000004</v>
      </c>
      <c r="F104" s="39">
        <v>4.4400000000000004</v>
      </c>
      <c r="G104" s="40">
        <v>4.4400000000000004</v>
      </c>
      <c r="H104" s="48">
        <f t="shared" si="5"/>
        <v>0.2252252252252252</v>
      </c>
      <c r="I104" s="48">
        <f t="shared" si="6"/>
        <v>0.2252252252252252</v>
      </c>
      <c r="J104" s="49">
        <f t="shared" si="9"/>
        <v>0</v>
      </c>
      <c r="K104" s="49">
        <f t="shared" si="7"/>
        <v>0</v>
      </c>
      <c r="L104" s="49">
        <f t="shared" si="8"/>
        <v>0</v>
      </c>
    </row>
    <row r="105" spans="1:12" ht="15.75" thickBot="1" x14ac:dyDescent="0.3">
      <c r="A105" s="16" t="s">
        <v>99</v>
      </c>
      <c r="B105" s="52">
        <v>3.2</v>
      </c>
      <c r="C105" s="39">
        <v>3.2</v>
      </c>
      <c r="D105" s="39">
        <v>3.2</v>
      </c>
      <c r="E105" s="39">
        <v>3.2</v>
      </c>
      <c r="F105" s="39">
        <v>3.2</v>
      </c>
      <c r="G105" s="40">
        <v>3.2</v>
      </c>
      <c r="H105" s="48">
        <f t="shared" si="5"/>
        <v>0</v>
      </c>
      <c r="I105" s="48">
        <f t="shared" si="6"/>
        <v>0</v>
      </c>
      <c r="J105" s="49">
        <f t="shared" si="9"/>
        <v>0</v>
      </c>
      <c r="K105" s="49">
        <f t="shared" si="7"/>
        <v>0</v>
      </c>
      <c r="L105" s="49">
        <f t="shared" si="8"/>
        <v>0</v>
      </c>
    </row>
    <row r="106" spans="1:12" ht="15.75" thickBot="1" x14ac:dyDescent="0.3">
      <c r="A106" s="16" t="s">
        <v>100</v>
      </c>
      <c r="B106" s="52">
        <v>4.3600000000000003</v>
      </c>
      <c r="C106" s="39">
        <v>4.3600000000000003</v>
      </c>
      <c r="D106" s="39">
        <v>4.2</v>
      </c>
      <c r="E106" s="39">
        <v>4.2</v>
      </c>
      <c r="F106" s="39">
        <v>4.2</v>
      </c>
      <c r="G106" s="40">
        <v>4.2</v>
      </c>
      <c r="H106" s="48">
        <f t="shared" si="5"/>
        <v>3.8095238095238126E-2</v>
      </c>
      <c r="I106" s="48">
        <f t="shared" si="6"/>
        <v>3.8095238095238126E-2</v>
      </c>
      <c r="J106" s="49">
        <f t="shared" si="9"/>
        <v>0</v>
      </c>
      <c r="K106" s="49">
        <f t="shared" si="7"/>
        <v>0</v>
      </c>
      <c r="L106" s="49">
        <f t="shared" si="8"/>
        <v>0</v>
      </c>
    </row>
    <row r="107" spans="1:12" ht="15.75" thickBot="1" x14ac:dyDescent="0.3">
      <c r="A107" s="16" t="s">
        <v>101</v>
      </c>
      <c r="B107" s="52">
        <v>4.24</v>
      </c>
      <c r="C107" s="39">
        <v>4.4000000000000004</v>
      </c>
      <c r="D107" s="39">
        <v>3.12</v>
      </c>
      <c r="E107" s="39">
        <v>3.12</v>
      </c>
      <c r="F107" s="39">
        <v>3.12</v>
      </c>
      <c r="G107" s="40">
        <v>3.28</v>
      </c>
      <c r="H107" s="48">
        <f t="shared" si="5"/>
        <v>0.29268292682926844</v>
      </c>
      <c r="I107" s="48">
        <f t="shared" si="6"/>
        <v>0.34146341463414653</v>
      </c>
      <c r="J107" s="49">
        <f t="shared" si="9"/>
        <v>-4.878048780487796E-2</v>
      </c>
      <c r="K107" s="49">
        <f t="shared" si="7"/>
        <v>-4.878048780487796E-2</v>
      </c>
      <c r="L107" s="49">
        <f t="shared" si="8"/>
        <v>-4.878048780487796E-2</v>
      </c>
    </row>
    <row r="108" spans="1:12" ht="15.75" thickBot="1" x14ac:dyDescent="0.3">
      <c r="A108" s="16" t="s">
        <v>102</v>
      </c>
      <c r="B108" s="52">
        <v>7.2</v>
      </c>
      <c r="C108" s="39">
        <v>8.16</v>
      </c>
      <c r="D108" s="39">
        <v>6.2</v>
      </c>
      <c r="E108" s="39">
        <v>6.2</v>
      </c>
      <c r="F108" s="39">
        <v>6.2</v>
      </c>
      <c r="G108" s="40">
        <v>6.2</v>
      </c>
      <c r="H108" s="48">
        <f t="shared" si="5"/>
        <v>0.16129032258064516</v>
      </c>
      <c r="I108" s="48">
        <f t="shared" si="6"/>
        <v>0.31612903225806449</v>
      </c>
      <c r="J108" s="49">
        <f t="shared" si="9"/>
        <v>0</v>
      </c>
      <c r="K108" s="49">
        <f t="shared" si="7"/>
        <v>0</v>
      </c>
      <c r="L108" s="49">
        <f t="shared" si="8"/>
        <v>0</v>
      </c>
    </row>
    <row r="109" spans="1:12" ht="15.75" thickBot="1" x14ac:dyDescent="0.3">
      <c r="A109" s="16" t="s">
        <v>103</v>
      </c>
      <c r="B109" s="52">
        <v>3.24</v>
      </c>
      <c r="C109" s="39">
        <v>3.4000000000000004</v>
      </c>
      <c r="D109" s="39">
        <v>3.24</v>
      </c>
      <c r="E109" s="39">
        <v>3.24</v>
      </c>
      <c r="F109" s="39">
        <v>3.24</v>
      </c>
      <c r="G109" s="40">
        <v>3.24</v>
      </c>
      <c r="H109" s="48">
        <f t="shared" si="5"/>
        <v>0</v>
      </c>
      <c r="I109" s="48">
        <f t="shared" si="6"/>
        <v>4.9382716049382755E-2</v>
      </c>
      <c r="J109" s="49">
        <f t="shared" si="9"/>
        <v>0</v>
      </c>
      <c r="K109" s="49">
        <f t="shared" si="7"/>
        <v>0</v>
      </c>
      <c r="L109" s="49">
        <f t="shared" si="8"/>
        <v>0</v>
      </c>
    </row>
    <row r="110" spans="1:12" ht="15.75" thickBot="1" x14ac:dyDescent="0.3">
      <c r="A110" s="16" t="s">
        <v>104</v>
      </c>
      <c r="B110" s="52">
        <v>2.8</v>
      </c>
      <c r="C110" s="39">
        <v>2.8</v>
      </c>
      <c r="D110" s="39">
        <v>2.8</v>
      </c>
      <c r="E110" s="39">
        <v>2.8</v>
      </c>
      <c r="F110" s="39">
        <v>2.8</v>
      </c>
      <c r="G110" s="40">
        <v>2.8</v>
      </c>
      <c r="H110" s="48">
        <f t="shared" si="5"/>
        <v>0</v>
      </c>
      <c r="I110" s="48">
        <f t="shared" si="6"/>
        <v>0</v>
      </c>
      <c r="J110" s="49">
        <f t="shared" si="9"/>
        <v>0</v>
      </c>
      <c r="K110" s="49">
        <f t="shared" si="7"/>
        <v>0</v>
      </c>
      <c r="L110" s="49">
        <f t="shared" si="8"/>
        <v>0</v>
      </c>
    </row>
    <row r="111" spans="1:12" ht="15.75" thickBot="1" x14ac:dyDescent="0.3">
      <c r="A111" s="16" t="s">
        <v>105</v>
      </c>
      <c r="B111" s="52">
        <v>3.4</v>
      </c>
      <c r="C111" s="39">
        <v>3.4000000000000004</v>
      </c>
      <c r="D111" s="39">
        <v>2.76</v>
      </c>
      <c r="E111" s="39">
        <v>2.76</v>
      </c>
      <c r="F111" s="39">
        <v>2.76</v>
      </c>
      <c r="G111" s="40">
        <v>2.76</v>
      </c>
      <c r="H111" s="48">
        <f t="shared" si="5"/>
        <v>0.23188405797101455</v>
      </c>
      <c r="I111" s="48">
        <f t="shared" si="6"/>
        <v>0.23188405797101472</v>
      </c>
      <c r="J111" s="49">
        <f t="shared" si="9"/>
        <v>0</v>
      </c>
      <c r="K111" s="49">
        <f t="shared" si="7"/>
        <v>0</v>
      </c>
      <c r="L111" s="49">
        <f t="shared" si="8"/>
        <v>0</v>
      </c>
    </row>
    <row r="112" spans="1:12" ht="15.75" thickBot="1" x14ac:dyDescent="0.3">
      <c r="A112" s="16" t="s">
        <v>106</v>
      </c>
      <c r="B112" s="52">
        <v>6.08</v>
      </c>
      <c r="C112" s="39">
        <v>6.7200000000000006</v>
      </c>
      <c r="D112" s="39">
        <v>6.08</v>
      </c>
      <c r="E112" s="39">
        <v>6.08</v>
      </c>
      <c r="F112" s="39">
        <v>6.08</v>
      </c>
      <c r="G112" s="40">
        <v>6.08</v>
      </c>
      <c r="H112" s="48">
        <f t="shared" si="5"/>
        <v>0</v>
      </c>
      <c r="I112" s="48">
        <f t="shared" si="6"/>
        <v>0.10526315789473693</v>
      </c>
      <c r="J112" s="49">
        <f t="shared" si="9"/>
        <v>0</v>
      </c>
      <c r="K112" s="49">
        <f t="shared" si="7"/>
        <v>0</v>
      </c>
      <c r="L112" s="49">
        <f t="shared" si="8"/>
        <v>0</v>
      </c>
    </row>
    <row r="113" spans="1:16" ht="15.75" thickBot="1" x14ac:dyDescent="0.3">
      <c r="A113" s="16" t="s">
        <v>107</v>
      </c>
      <c r="B113" s="52">
        <v>3</v>
      </c>
      <c r="C113" s="39">
        <v>3</v>
      </c>
      <c r="D113" s="39">
        <v>2</v>
      </c>
      <c r="E113" s="39">
        <v>2</v>
      </c>
      <c r="F113" s="39">
        <v>2</v>
      </c>
      <c r="G113" s="40">
        <v>2</v>
      </c>
      <c r="H113" s="48">
        <f t="shared" si="5"/>
        <v>0.5</v>
      </c>
      <c r="I113" s="48">
        <f t="shared" si="6"/>
        <v>0.5</v>
      </c>
      <c r="J113" s="49">
        <f t="shared" si="9"/>
        <v>0</v>
      </c>
      <c r="K113" s="49">
        <f t="shared" si="7"/>
        <v>0</v>
      </c>
      <c r="L113" s="49">
        <f t="shared" si="8"/>
        <v>0</v>
      </c>
    </row>
    <row r="114" spans="1:16" ht="15.75" thickBot="1" x14ac:dyDescent="0.3">
      <c r="A114" s="16" t="s">
        <v>108</v>
      </c>
      <c r="B114" s="52">
        <v>4.16</v>
      </c>
      <c r="C114" s="39">
        <v>4.6400000000000006</v>
      </c>
      <c r="D114" s="39">
        <v>3.64</v>
      </c>
      <c r="E114" s="39">
        <v>3.64</v>
      </c>
      <c r="F114" s="39">
        <v>3.64</v>
      </c>
      <c r="G114" s="40">
        <v>3.64</v>
      </c>
      <c r="H114" s="48">
        <f t="shared" si="5"/>
        <v>0.14285714285714285</v>
      </c>
      <c r="I114" s="48">
        <f t="shared" si="6"/>
        <v>0.27472527472527486</v>
      </c>
      <c r="J114" s="49">
        <f t="shared" si="9"/>
        <v>0</v>
      </c>
      <c r="K114" s="49">
        <f t="shared" si="7"/>
        <v>0</v>
      </c>
      <c r="L114" s="49">
        <f t="shared" si="8"/>
        <v>0</v>
      </c>
    </row>
    <row r="115" spans="1:16" ht="15.75" thickBot="1" x14ac:dyDescent="0.3">
      <c r="A115" s="16" t="s">
        <v>109</v>
      </c>
      <c r="B115" s="52">
        <v>2.96</v>
      </c>
      <c r="C115" s="39">
        <v>3.2800000000000002</v>
      </c>
      <c r="D115" s="39">
        <v>2.76</v>
      </c>
      <c r="E115" s="39">
        <v>2.76</v>
      </c>
      <c r="F115" s="39">
        <v>2.76</v>
      </c>
      <c r="G115" s="40">
        <v>2.76</v>
      </c>
      <c r="H115" s="48">
        <f t="shared" si="5"/>
        <v>7.2463768115942101E-2</v>
      </c>
      <c r="I115" s="48">
        <f t="shared" si="6"/>
        <v>0.18840579710144945</v>
      </c>
      <c r="J115" s="49">
        <f t="shared" si="9"/>
        <v>0</v>
      </c>
      <c r="K115" s="49">
        <f t="shared" si="7"/>
        <v>0</v>
      </c>
      <c r="L115" s="49">
        <f t="shared" si="8"/>
        <v>0</v>
      </c>
    </row>
    <row r="116" spans="1:16" ht="15.75" thickBot="1" x14ac:dyDescent="0.3">
      <c r="A116" s="16" t="s">
        <v>110</v>
      </c>
      <c r="B116" s="52">
        <v>5.24</v>
      </c>
      <c r="C116" s="39">
        <v>5.5600000000000005</v>
      </c>
      <c r="D116" s="39">
        <v>4.88</v>
      </c>
      <c r="E116" s="39">
        <v>4.88</v>
      </c>
      <c r="F116" s="39">
        <v>4.88</v>
      </c>
      <c r="G116" s="40">
        <v>4.88</v>
      </c>
      <c r="H116" s="48">
        <f t="shared" si="5"/>
        <v>7.3770491803278757E-2</v>
      </c>
      <c r="I116" s="48">
        <f t="shared" si="6"/>
        <v>0.13934426229508209</v>
      </c>
      <c r="J116" s="49">
        <f t="shared" si="9"/>
        <v>0</v>
      </c>
      <c r="K116" s="49">
        <f t="shared" si="7"/>
        <v>0</v>
      </c>
      <c r="L116" s="49">
        <f t="shared" si="8"/>
        <v>0</v>
      </c>
    </row>
    <row r="117" spans="1:16" ht="15.75" thickBot="1" x14ac:dyDescent="0.3">
      <c r="A117" s="16" t="s">
        <v>111</v>
      </c>
      <c r="B117" s="52">
        <v>4</v>
      </c>
      <c r="C117" s="39">
        <v>3.8000000000000003</v>
      </c>
      <c r="D117" s="39">
        <v>3.16</v>
      </c>
      <c r="E117" s="39">
        <v>3.16</v>
      </c>
      <c r="F117" s="39">
        <v>3.16</v>
      </c>
      <c r="G117" s="40">
        <v>3.16</v>
      </c>
      <c r="H117" s="48">
        <f t="shared" si="5"/>
        <v>0.2658227848101265</v>
      </c>
      <c r="I117" s="48">
        <f t="shared" si="6"/>
        <v>0.20253164556962028</v>
      </c>
      <c r="J117" s="49">
        <f t="shared" si="9"/>
        <v>0</v>
      </c>
      <c r="K117" s="49">
        <f t="shared" si="7"/>
        <v>0</v>
      </c>
      <c r="L117" s="49">
        <f t="shared" si="8"/>
        <v>0</v>
      </c>
    </row>
    <row r="118" spans="1:16" ht="15.75" thickBot="1" x14ac:dyDescent="0.3">
      <c r="A118" s="16" t="s">
        <v>112</v>
      </c>
      <c r="B118" s="52">
        <v>6.44</v>
      </c>
      <c r="C118" s="39">
        <v>6.9200000000000008</v>
      </c>
      <c r="D118" s="39">
        <v>5.48</v>
      </c>
      <c r="E118" s="39">
        <v>5.48</v>
      </c>
      <c r="F118" s="39">
        <v>5.48</v>
      </c>
      <c r="G118" s="40">
        <v>5.48</v>
      </c>
      <c r="H118" s="48">
        <f t="shared" si="5"/>
        <v>0.1751824817518248</v>
      </c>
      <c r="I118" s="48">
        <f t="shared" si="6"/>
        <v>0.26277372262773729</v>
      </c>
      <c r="J118" s="49">
        <f t="shared" si="9"/>
        <v>0</v>
      </c>
      <c r="K118" s="49">
        <f t="shared" si="7"/>
        <v>0</v>
      </c>
      <c r="L118" s="49">
        <f t="shared" si="8"/>
        <v>0</v>
      </c>
    </row>
    <row r="119" spans="1:16" ht="15.75" thickBot="1" x14ac:dyDescent="0.3">
      <c r="A119" s="16" t="s">
        <v>113</v>
      </c>
      <c r="B119" s="52">
        <v>4.8</v>
      </c>
      <c r="C119" s="39">
        <v>4.8000000000000007</v>
      </c>
      <c r="D119" s="39">
        <v>4.8</v>
      </c>
      <c r="E119" s="39">
        <v>4.8</v>
      </c>
      <c r="F119" s="39">
        <v>4.8</v>
      </c>
      <c r="G119" s="40">
        <v>4.8</v>
      </c>
      <c r="H119" s="48">
        <f t="shared" si="5"/>
        <v>0</v>
      </c>
      <c r="I119" s="48">
        <f t="shared" si="6"/>
        <v>1.8503717077085943E-16</v>
      </c>
      <c r="J119" s="49">
        <f t="shared" si="9"/>
        <v>0</v>
      </c>
      <c r="K119" s="49">
        <f t="shared" si="7"/>
        <v>0</v>
      </c>
      <c r="L119" s="49">
        <f t="shared" si="8"/>
        <v>0</v>
      </c>
    </row>
    <row r="120" spans="1:16" ht="15.75" thickBot="1" x14ac:dyDescent="0.3">
      <c r="A120" s="16" t="s">
        <v>114</v>
      </c>
      <c r="B120" s="52">
        <v>5.08</v>
      </c>
      <c r="C120" s="39">
        <v>4.4399999999999995</v>
      </c>
      <c r="D120" s="39">
        <v>3.92</v>
      </c>
      <c r="E120" s="39">
        <v>3.76</v>
      </c>
      <c r="F120" s="39">
        <v>3.76</v>
      </c>
      <c r="G120" s="40">
        <v>3.76</v>
      </c>
      <c r="H120" s="48">
        <f t="shared" si="5"/>
        <v>0.35106382978723416</v>
      </c>
      <c r="I120" s="48">
        <f t="shared" si="6"/>
        <v>0.18085106382978716</v>
      </c>
      <c r="J120" s="49">
        <f t="shared" si="9"/>
        <v>4.2553191489361743E-2</v>
      </c>
      <c r="K120" s="49">
        <f t="shared" si="7"/>
        <v>0</v>
      </c>
      <c r="L120" s="49">
        <f t="shared" si="8"/>
        <v>0</v>
      </c>
    </row>
    <row r="121" spans="1:16" ht="15.75" thickBot="1" x14ac:dyDescent="0.3">
      <c r="A121" s="16" t="s">
        <v>115</v>
      </c>
      <c r="B121" s="52">
        <v>5.4</v>
      </c>
      <c r="C121" s="39">
        <v>5.88</v>
      </c>
      <c r="D121" s="39">
        <v>5.2</v>
      </c>
      <c r="E121" s="39">
        <v>5.24</v>
      </c>
      <c r="F121" s="39">
        <v>5.24</v>
      </c>
      <c r="G121" s="40">
        <v>5.2</v>
      </c>
      <c r="H121" s="48">
        <f t="shared" si="5"/>
        <v>3.8461538461538491E-2</v>
      </c>
      <c r="I121" s="48">
        <f t="shared" si="6"/>
        <v>0.13076923076923072</v>
      </c>
      <c r="J121" s="49">
        <f t="shared" si="9"/>
        <v>0</v>
      </c>
      <c r="K121" s="49">
        <f t="shared" si="7"/>
        <v>7.6923076923076988E-3</v>
      </c>
      <c r="L121" s="49">
        <f t="shared" si="8"/>
        <v>7.6923076923076988E-3</v>
      </c>
    </row>
    <row r="122" spans="1:16" ht="15.75" thickBot="1" x14ac:dyDescent="0.3">
      <c r="A122" s="16" t="s">
        <v>116</v>
      </c>
      <c r="B122" s="52">
        <v>7.16</v>
      </c>
      <c r="C122" s="39">
        <v>7.6400000000000006</v>
      </c>
      <c r="D122" s="39">
        <v>6.16</v>
      </c>
      <c r="E122" s="39">
        <v>6.16</v>
      </c>
      <c r="F122" s="39">
        <v>6.16</v>
      </c>
      <c r="G122" s="40">
        <v>6.16</v>
      </c>
      <c r="H122" s="48">
        <f t="shared" si="5"/>
        <v>0.16233766233766234</v>
      </c>
      <c r="I122" s="48">
        <f t="shared" si="6"/>
        <v>0.24025974025974031</v>
      </c>
      <c r="J122" s="49">
        <f t="shared" si="9"/>
        <v>0</v>
      </c>
      <c r="K122" s="49">
        <f t="shared" si="7"/>
        <v>0</v>
      </c>
      <c r="L122" s="49">
        <f t="shared" si="8"/>
        <v>0</v>
      </c>
      <c r="P122" s="8"/>
    </row>
    <row r="123" spans="1:16" ht="15.75" thickBot="1" x14ac:dyDescent="0.3">
      <c r="A123" s="16" t="s">
        <v>117</v>
      </c>
      <c r="B123" s="52">
        <v>3.64</v>
      </c>
      <c r="C123" s="39">
        <v>3.4800000000000004</v>
      </c>
      <c r="D123" s="39">
        <v>3.28</v>
      </c>
      <c r="E123" s="39">
        <v>3.28</v>
      </c>
      <c r="F123" s="39">
        <v>3.28</v>
      </c>
      <c r="G123" s="40">
        <v>3.28</v>
      </c>
      <c r="H123" s="48">
        <f t="shared" si="5"/>
        <v>0.10975609756097571</v>
      </c>
      <c r="I123" s="48">
        <f t="shared" si="6"/>
        <v>6.0975609756097754E-2</v>
      </c>
      <c r="J123" s="49">
        <f t="shared" si="9"/>
        <v>0</v>
      </c>
      <c r="K123" s="49">
        <f t="shared" si="7"/>
        <v>0</v>
      </c>
      <c r="L123" s="49">
        <f t="shared" si="8"/>
        <v>0</v>
      </c>
    </row>
    <row r="124" spans="1:16" ht="15.75" thickBot="1" x14ac:dyDescent="0.3">
      <c r="A124" s="16" t="s">
        <v>118</v>
      </c>
      <c r="B124" s="52">
        <v>3.4</v>
      </c>
      <c r="C124" s="39">
        <v>3.4000000000000004</v>
      </c>
      <c r="D124" s="39">
        <v>3.24</v>
      </c>
      <c r="E124" s="39">
        <v>3.24</v>
      </c>
      <c r="F124" s="39">
        <v>3.24</v>
      </c>
      <c r="G124" s="40">
        <v>3.24</v>
      </c>
      <c r="H124" s="48">
        <f t="shared" si="5"/>
        <v>4.9382716049382616E-2</v>
      </c>
      <c r="I124" s="48">
        <f t="shared" si="6"/>
        <v>4.9382716049382755E-2</v>
      </c>
      <c r="J124" s="49">
        <f t="shared" si="9"/>
        <v>0</v>
      </c>
      <c r="K124" s="49">
        <f t="shared" si="7"/>
        <v>0</v>
      </c>
      <c r="L124" s="49">
        <f t="shared" si="8"/>
        <v>0</v>
      </c>
    </row>
    <row r="125" spans="1:16" ht="15.75" thickBot="1" x14ac:dyDescent="0.3">
      <c r="A125" s="16" t="s">
        <v>119</v>
      </c>
      <c r="B125" s="52">
        <v>4</v>
      </c>
      <c r="C125" s="39">
        <v>4.4800000000000004</v>
      </c>
      <c r="D125" s="39">
        <v>3.68</v>
      </c>
      <c r="E125" s="39">
        <v>3.68</v>
      </c>
      <c r="F125" s="39">
        <v>3.68</v>
      </c>
      <c r="G125" s="40">
        <v>3.68</v>
      </c>
      <c r="H125" s="48">
        <f t="shared" si="5"/>
        <v>8.6956521739130391E-2</v>
      </c>
      <c r="I125" s="48">
        <f t="shared" si="6"/>
        <v>0.21739130434782614</v>
      </c>
      <c r="J125" s="49">
        <f t="shared" si="9"/>
        <v>0</v>
      </c>
      <c r="K125" s="49">
        <f t="shared" si="7"/>
        <v>0</v>
      </c>
      <c r="L125" s="49">
        <f t="shared" si="8"/>
        <v>0</v>
      </c>
    </row>
    <row r="126" spans="1:16" ht="15.75" thickBot="1" x14ac:dyDescent="0.3">
      <c r="A126" s="16" t="s">
        <v>120</v>
      </c>
      <c r="B126" s="53">
        <v>6.56</v>
      </c>
      <c r="C126" s="43">
        <v>6.68</v>
      </c>
      <c r="D126" s="39">
        <v>5.52</v>
      </c>
      <c r="E126" s="39">
        <v>5.52</v>
      </c>
      <c r="F126" s="39">
        <v>5.52</v>
      </c>
      <c r="G126" s="44">
        <v>5.52</v>
      </c>
      <c r="H126" s="49">
        <f t="shared" si="5"/>
        <v>0.18840579710144931</v>
      </c>
      <c r="I126" s="49">
        <f t="shared" si="6"/>
        <v>0.21014492753623193</v>
      </c>
      <c r="J126" s="49">
        <f t="shared" si="9"/>
        <v>0</v>
      </c>
      <c r="K126" s="49">
        <f t="shared" si="7"/>
        <v>0</v>
      </c>
      <c r="L126" s="49">
        <f t="shared" si="8"/>
        <v>0</v>
      </c>
    </row>
    <row r="127" spans="1:16" x14ac:dyDescent="0.25">
      <c r="D127" s="64"/>
      <c r="E127" s="64"/>
      <c r="F127" s="20"/>
    </row>
    <row r="128" spans="1:16" x14ac:dyDescent="0.25">
      <c r="F128" s="23"/>
    </row>
    <row r="129" spans="6:6" x14ac:dyDescent="0.25">
      <c r="F129" s="23"/>
    </row>
    <row r="130" spans="6:6" x14ac:dyDescent="0.25">
      <c r="F130" s="23"/>
    </row>
    <row r="131" spans="6:6" x14ac:dyDescent="0.25">
      <c r="F131" s="23"/>
    </row>
    <row r="132" spans="6:6" x14ac:dyDescent="0.25">
      <c r="F132" s="23"/>
    </row>
    <row r="133" spans="6:6" x14ac:dyDescent="0.25">
      <c r="F133" s="23"/>
    </row>
    <row r="134" spans="6:6" x14ac:dyDescent="0.25">
      <c r="F134" s="23"/>
    </row>
    <row r="135" spans="6:6" x14ac:dyDescent="0.25">
      <c r="F135" s="23"/>
    </row>
    <row r="136" spans="6:6" x14ac:dyDescent="0.25">
      <c r="F136" s="23"/>
    </row>
    <row r="137" spans="6:6" x14ac:dyDescent="0.25">
      <c r="F137" s="23"/>
    </row>
    <row r="138" spans="6:6" x14ac:dyDescent="0.25">
      <c r="F138" s="23"/>
    </row>
    <row r="139" spans="6:6" x14ac:dyDescent="0.25">
      <c r="F139" s="23"/>
    </row>
    <row r="140" spans="6:6" x14ac:dyDescent="0.25">
      <c r="F140" s="23"/>
    </row>
    <row r="141" spans="6:6" x14ac:dyDescent="0.25">
      <c r="F141" s="23"/>
    </row>
    <row r="142" spans="6:6" x14ac:dyDescent="0.25">
      <c r="F142" s="23"/>
    </row>
    <row r="143" spans="6:6" x14ac:dyDescent="0.25">
      <c r="F143" s="23"/>
    </row>
    <row r="144" spans="6:6" x14ac:dyDescent="0.25">
      <c r="F144" s="23"/>
    </row>
    <row r="145" spans="6:6" x14ac:dyDescent="0.25">
      <c r="F145" s="23"/>
    </row>
    <row r="146" spans="6:6" x14ac:dyDescent="0.25">
      <c r="F146" s="23"/>
    </row>
    <row r="147" spans="6:6" x14ac:dyDescent="0.25">
      <c r="F147" s="23"/>
    </row>
    <row r="148" spans="6:6" x14ac:dyDescent="0.25">
      <c r="F148" s="23"/>
    </row>
    <row r="149" spans="6:6" x14ac:dyDescent="0.25">
      <c r="F149" s="23"/>
    </row>
    <row r="150" spans="6:6" x14ac:dyDescent="0.25">
      <c r="F150" s="23"/>
    </row>
    <row r="151" spans="6:6" x14ac:dyDescent="0.25">
      <c r="F151" s="23"/>
    </row>
    <row r="152" spans="6:6" x14ac:dyDescent="0.25">
      <c r="F152" s="23"/>
    </row>
    <row r="153" spans="6:6" x14ac:dyDescent="0.25">
      <c r="F153" s="23"/>
    </row>
    <row r="154" spans="6:6" x14ac:dyDescent="0.25">
      <c r="F154" s="23"/>
    </row>
    <row r="155" spans="6:6" x14ac:dyDescent="0.25">
      <c r="F155" s="23"/>
    </row>
    <row r="156" spans="6:6" x14ac:dyDescent="0.25">
      <c r="F156" s="23"/>
    </row>
    <row r="157" spans="6:6" x14ac:dyDescent="0.25">
      <c r="F157" s="23"/>
    </row>
    <row r="158" spans="6:6" x14ac:dyDescent="0.25">
      <c r="F158" s="23"/>
    </row>
    <row r="159" spans="6:6" x14ac:dyDescent="0.25">
      <c r="F159" s="23"/>
    </row>
    <row r="160" spans="6:6" x14ac:dyDescent="0.25">
      <c r="F160" s="23"/>
    </row>
    <row r="161" spans="6:6" x14ac:dyDescent="0.25">
      <c r="F161" s="23"/>
    </row>
    <row r="162" spans="6:6" x14ac:dyDescent="0.25">
      <c r="F162" s="23"/>
    </row>
    <row r="163" spans="6:6" x14ac:dyDescent="0.25">
      <c r="F163" s="23"/>
    </row>
    <row r="164" spans="6:6" x14ac:dyDescent="0.25">
      <c r="F164" s="23"/>
    </row>
    <row r="165" spans="6:6" x14ac:dyDescent="0.25">
      <c r="F165" s="23"/>
    </row>
    <row r="166" spans="6:6" x14ac:dyDescent="0.25">
      <c r="F166" s="23"/>
    </row>
    <row r="167" spans="6:6" x14ac:dyDescent="0.25">
      <c r="F167" s="23"/>
    </row>
    <row r="168" spans="6:6" x14ac:dyDescent="0.25">
      <c r="F168" s="23"/>
    </row>
    <row r="169" spans="6:6" x14ac:dyDescent="0.25">
      <c r="F169" s="23"/>
    </row>
    <row r="170" spans="6:6" x14ac:dyDescent="0.25">
      <c r="F170" s="23"/>
    </row>
    <row r="171" spans="6:6" x14ac:dyDescent="0.25">
      <c r="F171" s="23"/>
    </row>
    <row r="172" spans="6:6" x14ac:dyDescent="0.25">
      <c r="F172" s="23"/>
    </row>
    <row r="173" spans="6:6" x14ac:dyDescent="0.25">
      <c r="F173" s="23"/>
    </row>
    <row r="174" spans="6:6" x14ac:dyDescent="0.25">
      <c r="F174" s="23"/>
    </row>
    <row r="175" spans="6:6" x14ac:dyDescent="0.25">
      <c r="F175" s="23"/>
    </row>
    <row r="176" spans="6:6" x14ac:dyDescent="0.25">
      <c r="F176" s="23"/>
    </row>
    <row r="177" spans="6:6" x14ac:dyDescent="0.25">
      <c r="F177" s="23"/>
    </row>
    <row r="178" spans="6:6" x14ac:dyDescent="0.25">
      <c r="F178" s="23"/>
    </row>
    <row r="179" spans="6:6" x14ac:dyDescent="0.25">
      <c r="F179" s="23"/>
    </row>
    <row r="180" spans="6:6" x14ac:dyDescent="0.25">
      <c r="F180" s="23"/>
    </row>
    <row r="181" spans="6:6" x14ac:dyDescent="0.25">
      <c r="F181" s="23"/>
    </row>
    <row r="182" spans="6:6" x14ac:dyDescent="0.25">
      <c r="F182" s="23"/>
    </row>
    <row r="183" spans="6:6" x14ac:dyDescent="0.25">
      <c r="F183" s="23"/>
    </row>
    <row r="184" spans="6:6" x14ac:dyDescent="0.25">
      <c r="F184" s="23"/>
    </row>
    <row r="185" spans="6:6" x14ac:dyDescent="0.25">
      <c r="F185" s="23"/>
    </row>
    <row r="186" spans="6:6" x14ac:dyDescent="0.25">
      <c r="F186" s="23"/>
    </row>
    <row r="187" spans="6:6" x14ac:dyDescent="0.25">
      <c r="F187" s="23"/>
    </row>
    <row r="188" spans="6:6" x14ac:dyDescent="0.25">
      <c r="F188" s="23"/>
    </row>
    <row r="189" spans="6:6" x14ac:dyDescent="0.25">
      <c r="F189" s="23"/>
    </row>
    <row r="190" spans="6:6" x14ac:dyDescent="0.25">
      <c r="F190" s="23"/>
    </row>
    <row r="191" spans="6:6" x14ac:dyDescent="0.25">
      <c r="F191" s="23"/>
    </row>
    <row r="192" spans="6:6" x14ac:dyDescent="0.25">
      <c r="F192" s="23"/>
    </row>
    <row r="193" spans="6:6" x14ac:dyDescent="0.25">
      <c r="F193" s="23"/>
    </row>
    <row r="194" spans="6:6" x14ac:dyDescent="0.25">
      <c r="F194" s="23"/>
    </row>
    <row r="195" spans="6:6" x14ac:dyDescent="0.25">
      <c r="F195" s="23"/>
    </row>
    <row r="196" spans="6:6" x14ac:dyDescent="0.25">
      <c r="F196" s="23"/>
    </row>
    <row r="197" spans="6:6" x14ac:dyDescent="0.25">
      <c r="F197" s="23"/>
    </row>
    <row r="198" spans="6:6" x14ac:dyDescent="0.25">
      <c r="F198" s="23"/>
    </row>
    <row r="199" spans="6:6" x14ac:dyDescent="0.25">
      <c r="F199" s="23"/>
    </row>
    <row r="200" spans="6:6" x14ac:dyDescent="0.25">
      <c r="F200" s="23"/>
    </row>
    <row r="201" spans="6:6" x14ac:dyDescent="0.25">
      <c r="F201" s="23"/>
    </row>
    <row r="202" spans="6:6" x14ac:dyDescent="0.25">
      <c r="F202" s="23"/>
    </row>
    <row r="203" spans="6:6" x14ac:dyDescent="0.25">
      <c r="F203" s="23"/>
    </row>
    <row r="204" spans="6:6" x14ac:dyDescent="0.25">
      <c r="F204" s="23"/>
    </row>
    <row r="205" spans="6:6" x14ac:dyDescent="0.25">
      <c r="F205" s="23"/>
    </row>
    <row r="206" spans="6:6" x14ac:dyDescent="0.25">
      <c r="F206" s="23"/>
    </row>
    <row r="207" spans="6:6" x14ac:dyDescent="0.25">
      <c r="F207" s="23"/>
    </row>
    <row r="208" spans="6:6" x14ac:dyDescent="0.25">
      <c r="F208" s="23"/>
    </row>
    <row r="209" spans="6:6" x14ac:dyDescent="0.25">
      <c r="F209" s="23"/>
    </row>
    <row r="210" spans="6:6" x14ac:dyDescent="0.25">
      <c r="F210" s="23"/>
    </row>
    <row r="211" spans="6:6" x14ac:dyDescent="0.25">
      <c r="F211" s="23"/>
    </row>
    <row r="212" spans="6:6" x14ac:dyDescent="0.25">
      <c r="F212" s="23"/>
    </row>
    <row r="213" spans="6:6" x14ac:dyDescent="0.25">
      <c r="F213" s="23"/>
    </row>
    <row r="214" spans="6:6" x14ac:dyDescent="0.25">
      <c r="F214" s="23"/>
    </row>
    <row r="215" spans="6:6" x14ac:dyDescent="0.25">
      <c r="F215" s="23"/>
    </row>
    <row r="216" spans="6:6" x14ac:dyDescent="0.25">
      <c r="F216" s="23"/>
    </row>
    <row r="217" spans="6:6" x14ac:dyDescent="0.25">
      <c r="F217" s="23"/>
    </row>
    <row r="218" spans="6:6" x14ac:dyDescent="0.25">
      <c r="F218" s="23"/>
    </row>
    <row r="219" spans="6:6" x14ac:dyDescent="0.25">
      <c r="F219" s="23"/>
    </row>
    <row r="220" spans="6:6" x14ac:dyDescent="0.25">
      <c r="F220" s="23"/>
    </row>
    <row r="221" spans="6:6" x14ac:dyDescent="0.25">
      <c r="F221" s="23"/>
    </row>
    <row r="222" spans="6:6" x14ac:dyDescent="0.25">
      <c r="F222" s="23"/>
    </row>
    <row r="223" spans="6:6" x14ac:dyDescent="0.25">
      <c r="F223" s="23"/>
    </row>
    <row r="224" spans="6:6" x14ac:dyDescent="0.25">
      <c r="F224" s="23"/>
    </row>
    <row r="225" spans="6:6" x14ac:dyDescent="0.25">
      <c r="F225" s="23"/>
    </row>
    <row r="226" spans="6:6" x14ac:dyDescent="0.25">
      <c r="F226" s="23"/>
    </row>
    <row r="227" spans="6:6" x14ac:dyDescent="0.25">
      <c r="F227" s="23"/>
    </row>
    <row r="228" spans="6:6" x14ac:dyDescent="0.25">
      <c r="F228" s="23"/>
    </row>
    <row r="229" spans="6:6" x14ac:dyDescent="0.25">
      <c r="F229" s="23"/>
    </row>
    <row r="230" spans="6:6" x14ac:dyDescent="0.25">
      <c r="F230" s="23"/>
    </row>
    <row r="231" spans="6:6" x14ac:dyDescent="0.25">
      <c r="F231" s="23"/>
    </row>
    <row r="232" spans="6:6" x14ac:dyDescent="0.25">
      <c r="F232" s="23"/>
    </row>
    <row r="233" spans="6:6" x14ac:dyDescent="0.25">
      <c r="F233" s="23"/>
    </row>
    <row r="234" spans="6:6" x14ac:dyDescent="0.25">
      <c r="F234" s="23"/>
    </row>
    <row r="235" spans="6:6" x14ac:dyDescent="0.25">
      <c r="F235" s="23"/>
    </row>
    <row r="236" spans="6:6" x14ac:dyDescent="0.25">
      <c r="F236" s="23"/>
    </row>
    <row r="237" spans="6:6" x14ac:dyDescent="0.25">
      <c r="F237" s="23"/>
    </row>
    <row r="238" spans="6:6" x14ac:dyDescent="0.25">
      <c r="F238" s="23"/>
    </row>
    <row r="239" spans="6:6" x14ac:dyDescent="0.25">
      <c r="F239" s="23"/>
    </row>
    <row r="240" spans="6:6" x14ac:dyDescent="0.25">
      <c r="F240" s="23"/>
    </row>
    <row r="241" spans="6:6" x14ac:dyDescent="0.25">
      <c r="F241" s="23"/>
    </row>
    <row r="242" spans="6:6" x14ac:dyDescent="0.25">
      <c r="F242" s="23"/>
    </row>
    <row r="243" spans="6:6" x14ac:dyDescent="0.25">
      <c r="F243" s="23"/>
    </row>
    <row r="244" spans="6:6" x14ac:dyDescent="0.25">
      <c r="F244" s="23"/>
    </row>
    <row r="245" spans="6:6" x14ac:dyDescent="0.25">
      <c r="F245" s="23"/>
    </row>
    <row r="246" spans="6:6" x14ac:dyDescent="0.25">
      <c r="F246" s="23"/>
    </row>
    <row r="247" spans="6:6" x14ac:dyDescent="0.25">
      <c r="F247" s="23"/>
    </row>
    <row r="248" spans="6:6" x14ac:dyDescent="0.25">
      <c r="F248" s="23"/>
    </row>
    <row r="249" spans="6:6" x14ac:dyDescent="0.25">
      <c r="F249" s="23"/>
    </row>
    <row r="250" spans="6:6" x14ac:dyDescent="0.25">
      <c r="F250" s="23"/>
    </row>
    <row r="251" spans="6:6" x14ac:dyDescent="0.25">
      <c r="F251" s="23"/>
    </row>
    <row r="252" spans="6:6" x14ac:dyDescent="0.25">
      <c r="F252" s="23"/>
    </row>
    <row r="253" spans="6:6" x14ac:dyDescent="0.25">
      <c r="F253" s="23"/>
    </row>
    <row r="254" spans="6:6" x14ac:dyDescent="0.25">
      <c r="F254" s="23"/>
    </row>
    <row r="255" spans="6:6" x14ac:dyDescent="0.25">
      <c r="F255" s="23"/>
    </row>
    <row r="256" spans="6:6" x14ac:dyDescent="0.25">
      <c r="F256" s="23"/>
    </row>
    <row r="257" spans="6:6" x14ac:dyDescent="0.25">
      <c r="F257" s="23"/>
    </row>
    <row r="258" spans="6:6" x14ac:dyDescent="0.25">
      <c r="F258" s="23"/>
    </row>
    <row r="259" spans="6:6" x14ac:dyDescent="0.25">
      <c r="F259" s="23"/>
    </row>
    <row r="260" spans="6:6" x14ac:dyDescent="0.25">
      <c r="F260" s="23"/>
    </row>
    <row r="261" spans="6:6" x14ac:dyDescent="0.25">
      <c r="F261" s="23"/>
    </row>
    <row r="262" spans="6:6" x14ac:dyDescent="0.25">
      <c r="F262" s="23"/>
    </row>
    <row r="263" spans="6:6" x14ac:dyDescent="0.25">
      <c r="F263" s="23"/>
    </row>
    <row r="264" spans="6:6" x14ac:dyDescent="0.25">
      <c r="F264" s="23"/>
    </row>
    <row r="265" spans="6:6" x14ac:dyDescent="0.25">
      <c r="F265" s="23"/>
    </row>
    <row r="266" spans="6:6" x14ac:dyDescent="0.25">
      <c r="F266" s="23"/>
    </row>
    <row r="267" spans="6:6" x14ac:dyDescent="0.25">
      <c r="F267" s="23"/>
    </row>
    <row r="268" spans="6:6" x14ac:dyDescent="0.25">
      <c r="F268" s="23"/>
    </row>
    <row r="269" spans="6:6" x14ac:dyDescent="0.25">
      <c r="F269" s="23"/>
    </row>
    <row r="270" spans="6:6" x14ac:dyDescent="0.25">
      <c r="F270" s="23"/>
    </row>
    <row r="271" spans="6:6" x14ac:dyDescent="0.25">
      <c r="F271" s="23"/>
    </row>
    <row r="272" spans="6:6" x14ac:dyDescent="0.25">
      <c r="F272" s="23"/>
    </row>
    <row r="273" spans="6:6" x14ac:dyDescent="0.25">
      <c r="F273" s="23"/>
    </row>
    <row r="274" spans="6:6" x14ac:dyDescent="0.25">
      <c r="F274" s="23"/>
    </row>
    <row r="275" spans="6:6" x14ac:dyDescent="0.25">
      <c r="F275" s="23"/>
    </row>
    <row r="276" spans="6:6" x14ac:dyDescent="0.25">
      <c r="F276" s="23"/>
    </row>
    <row r="277" spans="6:6" x14ac:dyDescent="0.25">
      <c r="F277" s="23"/>
    </row>
    <row r="278" spans="6:6" x14ac:dyDescent="0.25">
      <c r="F278" s="23"/>
    </row>
    <row r="279" spans="6:6" x14ac:dyDescent="0.25">
      <c r="F279" s="23"/>
    </row>
    <row r="280" spans="6:6" x14ac:dyDescent="0.25">
      <c r="F280" s="23"/>
    </row>
    <row r="281" spans="6:6" x14ac:dyDescent="0.25">
      <c r="F281" s="23"/>
    </row>
    <row r="282" spans="6:6" x14ac:dyDescent="0.25">
      <c r="F282" s="23"/>
    </row>
    <row r="283" spans="6:6" x14ac:dyDescent="0.25">
      <c r="F283" s="23"/>
    </row>
    <row r="284" spans="6:6" x14ac:dyDescent="0.25">
      <c r="F284" s="23"/>
    </row>
    <row r="285" spans="6:6" x14ac:dyDescent="0.25">
      <c r="F285" s="23"/>
    </row>
    <row r="286" spans="6:6" x14ac:dyDescent="0.25">
      <c r="F286" s="23"/>
    </row>
    <row r="287" spans="6:6" x14ac:dyDescent="0.25">
      <c r="F287" s="23"/>
    </row>
    <row r="288" spans="6:6" x14ac:dyDescent="0.25">
      <c r="F288" s="23"/>
    </row>
    <row r="289" spans="6:6" x14ac:dyDescent="0.25">
      <c r="F289" s="23"/>
    </row>
    <row r="290" spans="6:6" x14ac:dyDescent="0.25">
      <c r="F290" s="23"/>
    </row>
    <row r="291" spans="6:6" x14ac:dyDescent="0.25">
      <c r="F291" s="23"/>
    </row>
    <row r="292" spans="6:6" x14ac:dyDescent="0.25">
      <c r="F292" s="23"/>
    </row>
    <row r="293" spans="6:6" x14ac:dyDescent="0.25">
      <c r="F293" s="23"/>
    </row>
    <row r="294" spans="6:6" x14ac:dyDescent="0.25">
      <c r="F294" s="23"/>
    </row>
    <row r="295" spans="6:6" x14ac:dyDescent="0.25">
      <c r="F295" s="23"/>
    </row>
    <row r="296" spans="6:6" x14ac:dyDescent="0.25">
      <c r="F296" s="23"/>
    </row>
    <row r="297" spans="6:6" x14ac:dyDescent="0.25">
      <c r="F297" s="23"/>
    </row>
    <row r="298" spans="6:6" x14ac:dyDescent="0.25">
      <c r="F298" s="23"/>
    </row>
    <row r="299" spans="6:6" x14ac:dyDescent="0.25">
      <c r="F299" s="23"/>
    </row>
    <row r="300" spans="6:6" x14ac:dyDescent="0.25">
      <c r="F300" s="23"/>
    </row>
    <row r="301" spans="6:6" x14ac:dyDescent="0.25">
      <c r="F301" s="23"/>
    </row>
    <row r="302" spans="6:6" x14ac:dyDescent="0.25">
      <c r="F302" s="23"/>
    </row>
    <row r="303" spans="6:6" x14ac:dyDescent="0.25">
      <c r="F303" s="23"/>
    </row>
    <row r="304" spans="6:6" x14ac:dyDescent="0.25">
      <c r="F304" s="23"/>
    </row>
    <row r="305" spans="6:6" x14ac:dyDescent="0.25">
      <c r="F305" s="23"/>
    </row>
    <row r="306" spans="6:6" x14ac:dyDescent="0.25">
      <c r="F306" s="23"/>
    </row>
    <row r="307" spans="6:6" x14ac:dyDescent="0.25">
      <c r="F307" s="23"/>
    </row>
    <row r="308" spans="6:6" x14ac:dyDescent="0.25">
      <c r="F308" s="23"/>
    </row>
    <row r="309" spans="6:6" x14ac:dyDescent="0.25">
      <c r="F309" s="23"/>
    </row>
    <row r="310" spans="6:6" x14ac:dyDescent="0.25">
      <c r="F310" s="23"/>
    </row>
    <row r="311" spans="6:6" x14ac:dyDescent="0.25">
      <c r="F311" s="23"/>
    </row>
    <row r="312" spans="6:6" x14ac:dyDescent="0.25">
      <c r="F312" s="23"/>
    </row>
    <row r="313" spans="6:6" x14ac:dyDescent="0.25">
      <c r="F313" s="23"/>
    </row>
    <row r="314" spans="6:6" x14ac:dyDescent="0.25">
      <c r="F314" s="23"/>
    </row>
    <row r="315" spans="6:6" x14ac:dyDescent="0.25">
      <c r="F315" s="23"/>
    </row>
    <row r="316" spans="6:6" x14ac:dyDescent="0.25">
      <c r="F316" s="23"/>
    </row>
    <row r="317" spans="6:6" x14ac:dyDescent="0.25">
      <c r="F317" s="23"/>
    </row>
    <row r="318" spans="6:6" x14ac:dyDescent="0.25">
      <c r="F318" s="23"/>
    </row>
    <row r="319" spans="6:6" x14ac:dyDescent="0.25">
      <c r="F319" s="23"/>
    </row>
    <row r="320" spans="6:6" x14ac:dyDescent="0.25">
      <c r="F320" s="23"/>
    </row>
    <row r="321" spans="6:6" x14ac:dyDescent="0.25">
      <c r="F321" s="23"/>
    </row>
    <row r="322" spans="6:6" x14ac:dyDescent="0.25">
      <c r="F322" s="23"/>
    </row>
    <row r="323" spans="6:6" x14ac:dyDescent="0.25">
      <c r="F323" s="23"/>
    </row>
    <row r="324" spans="6:6" x14ac:dyDescent="0.25">
      <c r="F324" s="23"/>
    </row>
    <row r="325" spans="6:6" x14ac:dyDescent="0.25">
      <c r="F325" s="23"/>
    </row>
    <row r="326" spans="6:6" x14ac:dyDescent="0.25">
      <c r="F326" s="23"/>
    </row>
    <row r="327" spans="6:6" x14ac:dyDescent="0.25">
      <c r="F327" s="23"/>
    </row>
    <row r="328" spans="6:6" x14ac:dyDescent="0.25">
      <c r="F328" s="23"/>
    </row>
    <row r="329" spans="6:6" x14ac:dyDescent="0.25">
      <c r="F329" s="23"/>
    </row>
    <row r="330" spans="6:6" x14ac:dyDescent="0.25">
      <c r="F330" s="23"/>
    </row>
    <row r="331" spans="6:6" x14ac:dyDescent="0.25">
      <c r="F331" s="23"/>
    </row>
    <row r="332" spans="6:6" x14ac:dyDescent="0.25">
      <c r="F332" s="23"/>
    </row>
    <row r="333" spans="6:6" x14ac:dyDescent="0.25">
      <c r="F333" s="23"/>
    </row>
    <row r="334" spans="6:6" x14ac:dyDescent="0.25">
      <c r="F334" s="23"/>
    </row>
    <row r="335" spans="6:6" x14ac:dyDescent="0.25">
      <c r="F335" s="23"/>
    </row>
    <row r="336" spans="6:6" x14ac:dyDescent="0.25">
      <c r="F336" s="23"/>
    </row>
    <row r="337" spans="6:6" x14ac:dyDescent="0.25">
      <c r="F337" s="23"/>
    </row>
    <row r="338" spans="6:6" x14ac:dyDescent="0.25">
      <c r="F338" s="23"/>
    </row>
    <row r="339" spans="6:6" x14ac:dyDescent="0.25">
      <c r="F339" s="23"/>
    </row>
    <row r="340" spans="6:6" x14ac:dyDescent="0.25">
      <c r="F340" s="23"/>
    </row>
    <row r="341" spans="6:6" x14ac:dyDescent="0.25">
      <c r="F341" s="23"/>
    </row>
    <row r="342" spans="6:6" x14ac:dyDescent="0.25">
      <c r="F342" s="23"/>
    </row>
    <row r="343" spans="6:6" x14ac:dyDescent="0.25">
      <c r="F343" s="23"/>
    </row>
    <row r="344" spans="6:6" x14ac:dyDescent="0.25">
      <c r="F344" s="23"/>
    </row>
    <row r="345" spans="6:6" x14ac:dyDescent="0.25">
      <c r="F345" s="23"/>
    </row>
    <row r="346" spans="6:6" x14ac:dyDescent="0.25">
      <c r="F346" s="23"/>
    </row>
    <row r="347" spans="6:6" x14ac:dyDescent="0.25">
      <c r="F347" s="23"/>
    </row>
    <row r="348" spans="6:6" x14ac:dyDescent="0.25">
      <c r="F348" s="23"/>
    </row>
    <row r="349" spans="6:6" x14ac:dyDescent="0.25">
      <c r="F349" s="23"/>
    </row>
    <row r="350" spans="6:6" x14ac:dyDescent="0.25">
      <c r="F350" s="23"/>
    </row>
    <row r="351" spans="6:6" x14ac:dyDescent="0.25">
      <c r="F351" s="23"/>
    </row>
    <row r="352" spans="6:6" x14ac:dyDescent="0.25">
      <c r="F352" s="23"/>
    </row>
    <row r="353" spans="6:6" x14ac:dyDescent="0.25">
      <c r="F353" s="23"/>
    </row>
    <row r="354" spans="6:6" x14ac:dyDescent="0.25">
      <c r="F354" s="23"/>
    </row>
    <row r="355" spans="6:6" x14ac:dyDescent="0.25">
      <c r="F355" s="23"/>
    </row>
    <row r="356" spans="6:6" x14ac:dyDescent="0.25">
      <c r="F356" s="23"/>
    </row>
    <row r="357" spans="6:6" x14ac:dyDescent="0.25">
      <c r="F357" s="23"/>
    </row>
    <row r="358" spans="6:6" x14ac:dyDescent="0.25">
      <c r="F358" s="23"/>
    </row>
    <row r="359" spans="6:6" x14ac:dyDescent="0.25">
      <c r="F359" s="23"/>
    </row>
    <row r="360" spans="6:6" x14ac:dyDescent="0.25">
      <c r="F360" s="23"/>
    </row>
    <row r="361" spans="6:6" x14ac:dyDescent="0.25">
      <c r="F361" s="23"/>
    </row>
    <row r="362" spans="6:6" x14ac:dyDescent="0.25">
      <c r="F362" s="23"/>
    </row>
    <row r="363" spans="6:6" x14ac:dyDescent="0.25">
      <c r="F363" s="23"/>
    </row>
    <row r="364" spans="6:6" x14ac:dyDescent="0.25">
      <c r="F364" s="23"/>
    </row>
    <row r="365" spans="6:6" x14ac:dyDescent="0.25">
      <c r="F365" s="23"/>
    </row>
    <row r="366" spans="6:6" x14ac:dyDescent="0.25">
      <c r="F366" s="23"/>
    </row>
    <row r="367" spans="6:6" x14ac:dyDescent="0.25">
      <c r="F367" s="23"/>
    </row>
    <row r="368" spans="6:6" x14ac:dyDescent="0.25">
      <c r="F368" s="23"/>
    </row>
    <row r="369" spans="6:6" x14ac:dyDescent="0.25">
      <c r="F369" s="23"/>
    </row>
    <row r="370" spans="6:6" x14ac:dyDescent="0.25">
      <c r="F370" s="23"/>
    </row>
    <row r="371" spans="6:6" x14ac:dyDescent="0.25">
      <c r="F371" s="23"/>
    </row>
    <row r="372" spans="6:6" x14ac:dyDescent="0.25">
      <c r="F372" s="23"/>
    </row>
    <row r="373" spans="6:6" x14ac:dyDescent="0.25">
      <c r="F373" s="23"/>
    </row>
    <row r="374" spans="6:6" x14ac:dyDescent="0.25">
      <c r="F374" s="23"/>
    </row>
    <row r="375" spans="6:6" x14ac:dyDescent="0.25">
      <c r="F375" s="23"/>
    </row>
    <row r="376" spans="6:6" x14ac:dyDescent="0.25">
      <c r="F376" s="23"/>
    </row>
    <row r="377" spans="6:6" x14ac:dyDescent="0.25">
      <c r="F377" s="23"/>
    </row>
    <row r="378" spans="6:6" x14ac:dyDescent="0.25">
      <c r="F378" s="23"/>
    </row>
    <row r="379" spans="6:6" x14ac:dyDescent="0.25">
      <c r="F379" s="23"/>
    </row>
    <row r="380" spans="6:6" x14ac:dyDescent="0.25">
      <c r="F380" s="23"/>
    </row>
    <row r="381" spans="6:6" x14ac:dyDescent="0.25">
      <c r="F381" s="23"/>
    </row>
    <row r="382" spans="6:6" x14ac:dyDescent="0.25">
      <c r="F382" s="23"/>
    </row>
    <row r="383" spans="6:6" x14ac:dyDescent="0.25">
      <c r="F383" s="23"/>
    </row>
    <row r="384" spans="6:6" x14ac:dyDescent="0.25">
      <c r="F384" s="23"/>
    </row>
    <row r="385" spans="6:6" x14ac:dyDescent="0.25">
      <c r="F385" s="23"/>
    </row>
    <row r="386" spans="6:6" x14ac:dyDescent="0.25">
      <c r="F386" s="23"/>
    </row>
    <row r="387" spans="6:6" x14ac:dyDescent="0.25">
      <c r="F387" s="23"/>
    </row>
    <row r="388" spans="6:6" x14ac:dyDescent="0.25">
      <c r="F388" s="23"/>
    </row>
    <row r="389" spans="6:6" x14ac:dyDescent="0.25">
      <c r="F389" s="23"/>
    </row>
    <row r="390" spans="6:6" x14ac:dyDescent="0.25">
      <c r="F390" s="23"/>
    </row>
    <row r="391" spans="6:6" x14ac:dyDescent="0.25">
      <c r="F391" s="23"/>
    </row>
    <row r="392" spans="6:6" x14ac:dyDescent="0.25">
      <c r="F392" s="23"/>
    </row>
    <row r="393" spans="6:6" x14ac:dyDescent="0.25">
      <c r="F393" s="23"/>
    </row>
    <row r="394" spans="6:6" x14ac:dyDescent="0.25">
      <c r="F394" s="23"/>
    </row>
    <row r="395" spans="6:6" x14ac:dyDescent="0.25">
      <c r="F395" s="23"/>
    </row>
    <row r="396" spans="6:6" x14ac:dyDescent="0.25">
      <c r="F396" s="23"/>
    </row>
    <row r="397" spans="6:6" x14ac:dyDescent="0.25">
      <c r="F397" s="23"/>
    </row>
    <row r="398" spans="6:6" x14ac:dyDescent="0.25">
      <c r="F398" s="23"/>
    </row>
    <row r="399" spans="6:6" x14ac:dyDescent="0.25">
      <c r="F399" s="23"/>
    </row>
    <row r="400" spans="6:6" x14ac:dyDescent="0.25">
      <c r="F400" s="23"/>
    </row>
    <row r="401" spans="6:6" x14ac:dyDescent="0.25">
      <c r="F401" s="23"/>
    </row>
    <row r="402" spans="6:6" x14ac:dyDescent="0.25">
      <c r="F402" s="23"/>
    </row>
    <row r="403" spans="6:6" x14ac:dyDescent="0.25">
      <c r="F403" s="23"/>
    </row>
    <row r="404" spans="6:6" x14ac:dyDescent="0.25">
      <c r="F404" s="23"/>
    </row>
    <row r="405" spans="6:6" x14ac:dyDescent="0.25">
      <c r="F405" s="23"/>
    </row>
    <row r="406" spans="6:6" x14ac:dyDescent="0.25">
      <c r="F406" s="23"/>
    </row>
    <row r="407" spans="6:6" x14ac:dyDescent="0.25">
      <c r="F407" s="23"/>
    </row>
    <row r="408" spans="6:6" x14ac:dyDescent="0.25">
      <c r="F408" s="23"/>
    </row>
    <row r="409" spans="6:6" x14ac:dyDescent="0.25">
      <c r="F409" s="23"/>
    </row>
    <row r="410" spans="6:6" x14ac:dyDescent="0.25">
      <c r="F410" s="23"/>
    </row>
    <row r="411" spans="6:6" x14ac:dyDescent="0.25">
      <c r="F411" s="23"/>
    </row>
    <row r="412" spans="6:6" x14ac:dyDescent="0.25">
      <c r="F412" s="23"/>
    </row>
    <row r="413" spans="6:6" x14ac:dyDescent="0.25">
      <c r="F413" s="23"/>
    </row>
    <row r="414" spans="6:6" x14ac:dyDescent="0.25">
      <c r="F414" s="23"/>
    </row>
    <row r="415" spans="6:6" x14ac:dyDescent="0.25">
      <c r="F415" s="23"/>
    </row>
    <row r="416" spans="6:6" x14ac:dyDescent="0.25">
      <c r="F416" s="23"/>
    </row>
    <row r="417" spans="6:6" x14ac:dyDescent="0.25">
      <c r="F417" s="23"/>
    </row>
    <row r="418" spans="6:6" x14ac:dyDescent="0.25">
      <c r="F418" s="23"/>
    </row>
    <row r="419" spans="6:6" x14ac:dyDescent="0.25">
      <c r="F419" s="23"/>
    </row>
    <row r="420" spans="6:6" x14ac:dyDescent="0.25">
      <c r="F420" s="23"/>
    </row>
    <row r="421" spans="6:6" x14ac:dyDescent="0.25">
      <c r="F421" s="23"/>
    </row>
    <row r="422" spans="6:6" x14ac:dyDescent="0.25">
      <c r="F422" s="23"/>
    </row>
    <row r="423" spans="6:6" x14ac:dyDescent="0.25">
      <c r="F423" s="23"/>
    </row>
    <row r="424" spans="6:6" x14ac:dyDescent="0.25">
      <c r="F424" s="23"/>
    </row>
    <row r="425" spans="6:6" x14ac:dyDescent="0.25">
      <c r="F425" s="23"/>
    </row>
    <row r="426" spans="6:6" x14ac:dyDescent="0.25">
      <c r="F426" s="23"/>
    </row>
    <row r="427" spans="6:6" x14ac:dyDescent="0.25">
      <c r="F427" s="23"/>
    </row>
    <row r="428" spans="6:6" x14ac:dyDescent="0.25">
      <c r="F428" s="23"/>
    </row>
    <row r="429" spans="6:6" x14ac:dyDescent="0.25">
      <c r="F429" s="23"/>
    </row>
    <row r="430" spans="6:6" x14ac:dyDescent="0.25">
      <c r="F430" s="23"/>
    </row>
    <row r="431" spans="6:6" x14ac:dyDescent="0.25">
      <c r="F431" s="23"/>
    </row>
    <row r="432" spans="6:6" x14ac:dyDescent="0.25">
      <c r="F432" s="23"/>
    </row>
    <row r="433" spans="6:6" x14ac:dyDescent="0.25">
      <c r="F433" s="23"/>
    </row>
    <row r="434" spans="6:6" x14ac:dyDescent="0.25">
      <c r="F434" s="23"/>
    </row>
    <row r="435" spans="6:6" x14ac:dyDescent="0.25">
      <c r="F435" s="23"/>
    </row>
    <row r="436" spans="6:6" x14ac:dyDescent="0.25">
      <c r="F436" s="23"/>
    </row>
    <row r="437" spans="6:6" x14ac:dyDescent="0.25">
      <c r="F437" s="23"/>
    </row>
    <row r="438" spans="6:6" x14ac:dyDescent="0.25">
      <c r="F438" s="23"/>
    </row>
    <row r="439" spans="6:6" x14ac:dyDescent="0.25">
      <c r="F439" s="23"/>
    </row>
    <row r="440" spans="6:6" x14ac:dyDescent="0.25">
      <c r="F440" s="23"/>
    </row>
    <row r="441" spans="6:6" x14ac:dyDescent="0.25">
      <c r="F441" s="23"/>
    </row>
    <row r="442" spans="6:6" x14ac:dyDescent="0.25">
      <c r="F442" s="23"/>
    </row>
    <row r="443" spans="6:6" x14ac:dyDescent="0.25">
      <c r="F443" s="23"/>
    </row>
    <row r="444" spans="6:6" x14ac:dyDescent="0.25">
      <c r="F444" s="23"/>
    </row>
    <row r="445" spans="6:6" x14ac:dyDescent="0.25">
      <c r="F445" s="23"/>
    </row>
    <row r="446" spans="6:6" x14ac:dyDescent="0.25">
      <c r="F446" s="23"/>
    </row>
    <row r="447" spans="6:6" x14ac:dyDescent="0.25">
      <c r="F447" s="23"/>
    </row>
    <row r="448" spans="6:6" x14ac:dyDescent="0.25">
      <c r="F448" s="23"/>
    </row>
    <row r="449" spans="6:6" x14ac:dyDescent="0.25">
      <c r="F449" s="23"/>
    </row>
    <row r="450" spans="6:6" x14ac:dyDescent="0.25">
      <c r="F450" s="23"/>
    </row>
    <row r="451" spans="6:6" x14ac:dyDescent="0.25">
      <c r="F451" s="23"/>
    </row>
    <row r="452" spans="6:6" x14ac:dyDescent="0.25">
      <c r="F452" s="23"/>
    </row>
    <row r="453" spans="6:6" x14ac:dyDescent="0.25">
      <c r="F453" s="23"/>
    </row>
    <row r="454" spans="6:6" x14ac:dyDescent="0.25">
      <c r="F454" s="23"/>
    </row>
    <row r="455" spans="6:6" x14ac:dyDescent="0.25">
      <c r="F455" s="23"/>
    </row>
    <row r="456" spans="6:6" x14ac:dyDescent="0.25">
      <c r="F456" s="23"/>
    </row>
    <row r="457" spans="6:6" x14ac:dyDescent="0.25">
      <c r="F457" s="23"/>
    </row>
    <row r="458" spans="6:6" x14ac:dyDescent="0.25">
      <c r="F458" s="23"/>
    </row>
    <row r="459" spans="6:6" x14ac:dyDescent="0.25">
      <c r="F459" s="23"/>
    </row>
    <row r="460" spans="6:6" x14ac:dyDescent="0.25">
      <c r="F460" s="23"/>
    </row>
    <row r="461" spans="6:6" x14ac:dyDescent="0.25">
      <c r="F461" s="23"/>
    </row>
    <row r="462" spans="6:6" x14ac:dyDescent="0.25">
      <c r="F462" s="23"/>
    </row>
    <row r="463" spans="6:6" x14ac:dyDescent="0.25">
      <c r="F463" s="23"/>
    </row>
    <row r="464" spans="6:6" x14ac:dyDescent="0.25">
      <c r="F464" s="23"/>
    </row>
    <row r="465" spans="6:6" x14ac:dyDescent="0.25">
      <c r="F465" s="23"/>
    </row>
    <row r="466" spans="6:6" x14ac:dyDescent="0.25">
      <c r="F466" s="23"/>
    </row>
    <row r="467" spans="6:6" x14ac:dyDescent="0.25">
      <c r="F467" s="23"/>
    </row>
    <row r="468" spans="6:6" x14ac:dyDescent="0.25">
      <c r="F468" s="23"/>
    </row>
    <row r="469" spans="6:6" x14ac:dyDescent="0.25">
      <c r="F469" s="23"/>
    </row>
    <row r="470" spans="6:6" x14ac:dyDescent="0.25">
      <c r="F470" s="23"/>
    </row>
    <row r="471" spans="6:6" x14ac:dyDescent="0.25">
      <c r="F471" s="23"/>
    </row>
    <row r="472" spans="6:6" x14ac:dyDescent="0.25">
      <c r="F472" s="23"/>
    </row>
    <row r="473" spans="6:6" x14ac:dyDescent="0.25">
      <c r="F473" s="23"/>
    </row>
    <row r="474" spans="6:6" x14ac:dyDescent="0.25">
      <c r="F474" s="23"/>
    </row>
    <row r="475" spans="6:6" x14ac:dyDescent="0.25">
      <c r="F475" s="23"/>
    </row>
    <row r="476" spans="6:6" x14ac:dyDescent="0.25">
      <c r="F476" s="23"/>
    </row>
    <row r="477" spans="6:6" x14ac:dyDescent="0.25">
      <c r="F477" s="23"/>
    </row>
    <row r="478" spans="6:6" x14ac:dyDescent="0.25">
      <c r="F478" s="23"/>
    </row>
    <row r="479" spans="6:6" x14ac:dyDescent="0.25">
      <c r="F479" s="23"/>
    </row>
    <row r="480" spans="6:6" x14ac:dyDescent="0.25">
      <c r="F480" s="23"/>
    </row>
    <row r="481" spans="6:6" x14ac:dyDescent="0.25">
      <c r="F481" s="23"/>
    </row>
    <row r="482" spans="6:6" x14ac:dyDescent="0.25">
      <c r="F482" s="23"/>
    </row>
    <row r="483" spans="6:6" x14ac:dyDescent="0.25">
      <c r="F483" s="23"/>
    </row>
    <row r="484" spans="6:6" x14ac:dyDescent="0.25">
      <c r="F484" s="23"/>
    </row>
    <row r="485" spans="6:6" x14ac:dyDescent="0.25">
      <c r="F485" s="23"/>
    </row>
    <row r="486" spans="6:6" x14ac:dyDescent="0.25">
      <c r="F486" s="23"/>
    </row>
    <row r="487" spans="6:6" x14ac:dyDescent="0.25">
      <c r="F487" s="23"/>
    </row>
    <row r="488" spans="6:6" x14ac:dyDescent="0.25">
      <c r="F488" s="23"/>
    </row>
    <row r="489" spans="6:6" x14ac:dyDescent="0.25">
      <c r="F489" s="23"/>
    </row>
    <row r="490" spans="6:6" x14ac:dyDescent="0.25">
      <c r="F490" s="23"/>
    </row>
    <row r="491" spans="6:6" x14ac:dyDescent="0.25">
      <c r="F491" s="23"/>
    </row>
    <row r="492" spans="6:6" x14ac:dyDescent="0.25">
      <c r="F492" s="23"/>
    </row>
    <row r="493" spans="6:6" x14ac:dyDescent="0.25">
      <c r="F493" s="23"/>
    </row>
    <row r="494" spans="6:6" x14ac:dyDescent="0.25">
      <c r="F494" s="23"/>
    </row>
    <row r="495" spans="6:6" x14ac:dyDescent="0.25">
      <c r="F495" s="23"/>
    </row>
    <row r="496" spans="6:6" x14ac:dyDescent="0.25">
      <c r="F496" s="23"/>
    </row>
    <row r="497" spans="6:6" x14ac:dyDescent="0.25">
      <c r="F497" s="23"/>
    </row>
    <row r="498" spans="6:6" x14ac:dyDescent="0.25">
      <c r="F498" s="23"/>
    </row>
    <row r="499" spans="6:6" x14ac:dyDescent="0.25">
      <c r="F499" s="23"/>
    </row>
    <row r="500" spans="6:6" x14ac:dyDescent="0.25">
      <c r="F500" s="23"/>
    </row>
    <row r="501" spans="6:6" x14ac:dyDescent="0.25">
      <c r="F501" s="23"/>
    </row>
    <row r="502" spans="6:6" x14ac:dyDescent="0.25">
      <c r="F502" s="23"/>
    </row>
    <row r="503" spans="6:6" x14ac:dyDescent="0.25">
      <c r="F503" s="23"/>
    </row>
    <row r="504" spans="6:6" x14ac:dyDescent="0.25">
      <c r="F504" s="23"/>
    </row>
    <row r="505" spans="6:6" x14ac:dyDescent="0.25">
      <c r="F505" s="23"/>
    </row>
    <row r="506" spans="6:6" x14ac:dyDescent="0.25">
      <c r="F506" s="23"/>
    </row>
    <row r="507" spans="6:6" x14ac:dyDescent="0.25">
      <c r="F507" s="23"/>
    </row>
    <row r="508" spans="6:6" x14ac:dyDescent="0.25">
      <c r="F508" s="23"/>
    </row>
    <row r="509" spans="6:6" x14ac:dyDescent="0.25">
      <c r="F509" s="23"/>
    </row>
    <row r="510" spans="6:6" x14ac:dyDescent="0.25">
      <c r="F510" s="23"/>
    </row>
    <row r="511" spans="6:6" x14ac:dyDescent="0.25">
      <c r="F511" s="23"/>
    </row>
    <row r="512" spans="6:6" x14ac:dyDescent="0.25">
      <c r="F512" s="23"/>
    </row>
    <row r="513" spans="6:6" x14ac:dyDescent="0.25">
      <c r="F513" s="23"/>
    </row>
    <row r="514" spans="6:6" x14ac:dyDescent="0.25">
      <c r="F514" s="23"/>
    </row>
    <row r="515" spans="6:6" x14ac:dyDescent="0.25">
      <c r="F515" s="23"/>
    </row>
    <row r="516" spans="6:6" x14ac:dyDescent="0.25">
      <c r="F516" s="23"/>
    </row>
    <row r="517" spans="6:6" x14ac:dyDescent="0.25">
      <c r="F517" s="23"/>
    </row>
    <row r="518" spans="6:6" x14ac:dyDescent="0.25">
      <c r="F518" s="23"/>
    </row>
    <row r="519" spans="6:6" x14ac:dyDescent="0.25">
      <c r="F519" s="23"/>
    </row>
    <row r="520" spans="6:6" x14ac:dyDescent="0.25">
      <c r="F520" s="23"/>
    </row>
    <row r="521" spans="6:6" x14ac:dyDescent="0.25">
      <c r="F521" s="23"/>
    </row>
    <row r="522" spans="6:6" x14ac:dyDescent="0.25">
      <c r="F522" s="23"/>
    </row>
    <row r="523" spans="6:6" x14ac:dyDescent="0.25">
      <c r="F523" s="23"/>
    </row>
    <row r="524" spans="6:6" x14ac:dyDescent="0.25">
      <c r="F524" s="23"/>
    </row>
    <row r="525" spans="6:6" x14ac:dyDescent="0.25">
      <c r="F525" s="23"/>
    </row>
    <row r="526" spans="6:6" x14ac:dyDescent="0.25">
      <c r="F526" s="23"/>
    </row>
    <row r="527" spans="6:6" x14ac:dyDescent="0.25">
      <c r="F527" s="23"/>
    </row>
    <row r="528" spans="6:6" x14ac:dyDescent="0.25">
      <c r="F528" s="23"/>
    </row>
    <row r="529" spans="5:6" x14ac:dyDescent="0.25">
      <c r="F529" s="23"/>
    </row>
    <row r="530" spans="5:6" x14ac:dyDescent="0.25">
      <c r="F530" s="23"/>
    </row>
    <row r="531" spans="5:6" x14ac:dyDescent="0.25">
      <c r="F531" s="23"/>
    </row>
    <row r="532" spans="5:6" x14ac:dyDescent="0.25">
      <c r="F532" s="23"/>
    </row>
    <row r="533" spans="5:6" x14ac:dyDescent="0.25">
      <c r="F533" s="23"/>
    </row>
    <row r="534" spans="5:6" x14ac:dyDescent="0.25">
      <c r="F534" s="23"/>
    </row>
    <row r="535" spans="5:6" x14ac:dyDescent="0.25">
      <c r="F535" s="23"/>
    </row>
    <row r="536" spans="5:6" x14ac:dyDescent="0.25">
      <c r="F536" s="23"/>
    </row>
    <row r="537" spans="5:6" x14ac:dyDescent="0.25">
      <c r="F537" s="23"/>
    </row>
    <row r="538" spans="5:6" x14ac:dyDescent="0.25">
      <c r="F538" s="23"/>
    </row>
    <row r="539" spans="5:6" x14ac:dyDescent="0.25">
      <c r="E539" s="23"/>
    </row>
  </sheetData>
  <mergeCells count="7">
    <mergeCell ref="AB6:AD6"/>
    <mergeCell ref="AE6:AG6"/>
    <mergeCell ref="AH6:AJ6"/>
    <mergeCell ref="N5:P5"/>
    <mergeCell ref="Q5:S5"/>
    <mergeCell ref="V6:X6"/>
    <mergeCell ref="Y6:AA6"/>
  </mergeCells>
  <conditionalFormatting sqref="H7:H126">
    <cfRule type="expression" dxfId="6" priority="1">
      <formula>$B7 &gt; $C7</formula>
    </cfRule>
    <cfRule type="expression" dxfId="5" priority="2">
      <formula>$B7 = $C7</formula>
    </cfRule>
    <cfRule type="expression" dxfId="4" priority="3">
      <formula>$B7 &lt; $C7</formula>
    </cfRule>
  </conditionalFormatting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796E4-B773-48C0-9147-F7DCC6ED8D20}">
  <dimension ref="A1:U421"/>
  <sheetViews>
    <sheetView tabSelected="1" topLeftCell="A9" workbookViewId="0">
      <selection activeCell="L41" sqref="L41:M41"/>
    </sheetView>
  </sheetViews>
  <sheetFormatPr defaultRowHeight="15" x14ac:dyDescent="0.25"/>
  <cols>
    <col min="1" max="1" width="24.28515625" bestFit="1" customWidth="1"/>
    <col min="2" max="2" width="15.28515625" bestFit="1" customWidth="1"/>
    <col min="3" max="4" width="6.5703125" bestFit="1" customWidth="1"/>
    <col min="5" max="5" width="9.28515625" bestFit="1" customWidth="1"/>
    <col min="8" max="8" width="13.28515625" bestFit="1" customWidth="1"/>
    <col min="10" max="10" width="16.140625" bestFit="1" customWidth="1"/>
    <col min="11" max="11" width="9.85546875" customWidth="1"/>
    <col min="12" max="12" width="9.5703125" bestFit="1" customWidth="1"/>
    <col min="13" max="14" width="10" bestFit="1" customWidth="1"/>
    <col min="16" max="16" width="12.85546875" bestFit="1" customWidth="1"/>
    <col min="20" max="20" width="10" bestFit="1" customWidth="1"/>
  </cols>
  <sheetData>
    <row r="1" spans="1:21" ht="15.75" thickBot="1" x14ac:dyDescent="0.3">
      <c r="A1" s="3" t="s">
        <v>549</v>
      </c>
    </row>
    <row r="2" spans="1:21" x14ac:dyDescent="0.25">
      <c r="A2" s="2" t="s">
        <v>550</v>
      </c>
    </row>
    <row r="3" spans="1:21" ht="15.75" thickBot="1" x14ac:dyDescent="0.3">
      <c r="A3" s="1" t="s">
        <v>551</v>
      </c>
    </row>
    <row r="4" spans="1:21" ht="15.75" thickBot="1" x14ac:dyDescent="0.3">
      <c r="A4" s="1" t="s">
        <v>552</v>
      </c>
      <c r="J4" s="103" t="s">
        <v>710</v>
      </c>
      <c r="K4" s="104"/>
      <c r="L4" s="104"/>
      <c r="M4" s="104"/>
      <c r="N4" s="105"/>
      <c r="P4" s="103" t="s">
        <v>712</v>
      </c>
      <c r="Q4" s="104"/>
      <c r="R4" s="104"/>
      <c r="S4" s="104"/>
      <c r="T4" s="105"/>
    </row>
    <row r="5" spans="1:21" ht="15.75" thickBot="1" x14ac:dyDescent="0.3">
      <c r="A5" s="1" t="s">
        <v>553</v>
      </c>
      <c r="J5" s="98" t="s">
        <v>697</v>
      </c>
      <c r="K5" s="101"/>
      <c r="L5" s="101"/>
      <c r="M5" s="101"/>
      <c r="N5" s="102"/>
      <c r="P5" s="98" t="s">
        <v>697</v>
      </c>
      <c r="Q5" s="101"/>
      <c r="R5" s="101"/>
      <c r="S5" s="101"/>
      <c r="T5" s="102"/>
    </row>
    <row r="6" spans="1:21" ht="15.75" thickBot="1" x14ac:dyDescent="0.3">
      <c r="A6" s="11" t="s">
        <v>0</v>
      </c>
      <c r="B6" s="11" t="s">
        <v>693</v>
      </c>
      <c r="C6" s="46" t="s">
        <v>699</v>
      </c>
      <c r="D6" s="46" t="s">
        <v>696</v>
      </c>
      <c r="E6" s="11" t="s">
        <v>694</v>
      </c>
      <c r="F6" s="46" t="s">
        <v>707</v>
      </c>
      <c r="G6" s="74" t="s">
        <v>708</v>
      </c>
      <c r="H6" s="46" t="s">
        <v>709</v>
      </c>
      <c r="J6" s="74" t="s">
        <v>714</v>
      </c>
      <c r="K6" s="75" t="s">
        <v>711</v>
      </c>
      <c r="L6" s="75" t="s">
        <v>699</v>
      </c>
      <c r="M6" s="75" t="s">
        <v>696</v>
      </c>
      <c r="N6" s="75" t="s">
        <v>702</v>
      </c>
      <c r="P6" s="73" t="s">
        <v>714</v>
      </c>
      <c r="Q6" s="75" t="s">
        <v>711</v>
      </c>
      <c r="R6" s="75" t="s">
        <v>699</v>
      </c>
      <c r="S6" s="75" t="s">
        <v>696</v>
      </c>
      <c r="T6" s="46" t="s">
        <v>702</v>
      </c>
      <c r="U6" s="41"/>
    </row>
    <row r="7" spans="1:21" x14ac:dyDescent="0.25">
      <c r="A7" s="57" t="s">
        <v>121</v>
      </c>
      <c r="B7" s="48">
        <v>2.96</v>
      </c>
      <c r="C7" s="51">
        <v>2.8</v>
      </c>
      <c r="D7" s="37">
        <v>2.8</v>
      </c>
      <c r="E7" s="48">
        <v>2.8</v>
      </c>
      <c r="F7" s="37">
        <f>(C7-B7)/B7</f>
        <v>-5.4054054054054106E-2</v>
      </c>
      <c r="G7" s="37">
        <f>(D7-B7)/B7</f>
        <v>-5.4054054054054106E-2</v>
      </c>
      <c r="H7" s="38">
        <f>(E7-B7)/B7</f>
        <v>-5.4054054054054106E-2</v>
      </c>
      <c r="J7" s="82">
        <v>20</v>
      </c>
      <c r="K7" s="20">
        <v>1</v>
      </c>
      <c r="L7" s="76">
        <f>AVERAGE(F7)*100</f>
        <v>-5.4054054054054106</v>
      </c>
      <c r="M7" s="76">
        <f>AVERAGE(G7)*100</f>
        <v>-5.4054054054054106</v>
      </c>
      <c r="N7" s="77">
        <f>AVERAGE(H7)*100</f>
        <v>-5.4054054054054106</v>
      </c>
      <c r="P7" s="82">
        <v>50</v>
      </c>
      <c r="Q7" s="20">
        <v>120</v>
      </c>
      <c r="R7" s="37">
        <f>AVERAGE(F300:F419)*100</f>
        <v>-5.0496235912081314E-2</v>
      </c>
      <c r="S7" s="37">
        <f t="shared" ref="S7:T7" si="0">AVERAGE(G300:G419)*100</f>
        <v>-4.409254822936882</v>
      </c>
      <c r="T7" s="76">
        <f t="shared" si="0"/>
        <v>-4.70317061296931</v>
      </c>
      <c r="U7" s="41"/>
    </row>
    <row r="8" spans="1:21" x14ac:dyDescent="0.25">
      <c r="A8" s="58" t="s">
        <v>122</v>
      </c>
      <c r="B8" s="70">
        <v>5.76</v>
      </c>
      <c r="C8" s="52">
        <v>5.92</v>
      </c>
      <c r="D8" s="39">
        <v>4.96</v>
      </c>
      <c r="E8" s="70">
        <v>4.96</v>
      </c>
      <c r="F8" s="39">
        <f t="shared" ref="F8:F71" si="1">(C8-B8)/B8</f>
        <v>2.7777777777777804E-2</v>
      </c>
      <c r="G8" s="39">
        <f t="shared" ref="G8:G58" si="2">(D8-B8)/B8</f>
        <v>-0.13888888888888887</v>
      </c>
      <c r="H8" s="40">
        <f t="shared" ref="H8:H71" si="3">(E8-B8)/B8</f>
        <v>-0.13888888888888887</v>
      </c>
      <c r="J8" s="83">
        <v>40</v>
      </c>
      <c r="K8" s="23">
        <v>3</v>
      </c>
      <c r="L8" s="39">
        <f>AVERAGE(F8:F10)*100</f>
        <v>3.7105964525319348</v>
      </c>
      <c r="M8" s="39">
        <f>AVERAGE(G8:G10)*100</f>
        <v>-4.6296296296296289</v>
      </c>
      <c r="N8" s="78">
        <f t="shared" ref="N8" si="4">AVERAGE(H8:H10)*100</f>
        <v>-5.4843304843304841</v>
      </c>
      <c r="O8" s="41"/>
      <c r="P8" s="85">
        <v>100</v>
      </c>
      <c r="Q8" s="23">
        <v>120</v>
      </c>
      <c r="R8" s="39">
        <f>AVERAGE(F60:F179)*100</f>
        <v>3.8333161998448411</v>
      </c>
      <c r="S8" s="39">
        <f t="shared" ref="S8:T8" si="5">AVERAGE(G60:G179)*100</f>
        <v>-3.8401799537242027</v>
      </c>
      <c r="T8" s="78">
        <f t="shared" si="5"/>
        <v>-4.2746190160076951</v>
      </c>
      <c r="U8" s="41"/>
    </row>
    <row r="9" spans="1:21" ht="15.75" thickBot="1" x14ac:dyDescent="0.3">
      <c r="A9" s="58" t="s">
        <v>123</v>
      </c>
      <c r="B9" s="70">
        <v>4.96</v>
      </c>
      <c r="C9" s="52">
        <v>5.12</v>
      </c>
      <c r="D9" s="39">
        <v>4.96</v>
      </c>
      <c r="E9" s="70">
        <v>4.96</v>
      </c>
      <c r="F9" s="39">
        <f t="shared" si="1"/>
        <v>3.2258064516129059E-2</v>
      </c>
      <c r="G9" s="39">
        <f t="shared" si="2"/>
        <v>0</v>
      </c>
      <c r="H9" s="40">
        <f t="shared" si="3"/>
        <v>0</v>
      </c>
      <c r="J9" s="83">
        <v>60</v>
      </c>
      <c r="K9" s="23">
        <v>9</v>
      </c>
      <c r="L9" s="39">
        <f>AVERAGE(F11:F19)*100</f>
        <v>6.6951391441230914</v>
      </c>
      <c r="M9" s="39">
        <f>AVERAGE(G11:G19)*100</f>
        <v>-4.4709609436486435</v>
      </c>
      <c r="N9" s="78">
        <f t="shared" ref="N9" si="6">AVERAGE(H11:H19)*100</f>
        <v>-4.9290556859703516</v>
      </c>
      <c r="O9" s="41"/>
      <c r="P9" s="84">
        <v>200</v>
      </c>
      <c r="Q9" s="26">
        <v>120</v>
      </c>
      <c r="R9" s="43">
        <f>AVERAGE(F180:F299)*100</f>
        <v>7.5315732707272955</v>
      </c>
      <c r="S9" s="43">
        <f t="shared" ref="S9:T9" si="7">AVERAGE(G180:G299)*100</f>
        <v>-1.7635824720328031</v>
      </c>
      <c r="T9" s="81">
        <f t="shared" si="7"/>
        <v>-2.4552013117433735</v>
      </c>
      <c r="U9" s="41"/>
    </row>
    <row r="10" spans="1:21" x14ac:dyDescent="0.25">
      <c r="A10" s="58" t="s">
        <v>124</v>
      </c>
      <c r="B10" s="70">
        <v>6.24</v>
      </c>
      <c r="C10" s="52">
        <v>6.56</v>
      </c>
      <c r="D10" s="39">
        <v>6.24</v>
      </c>
      <c r="E10" s="70">
        <v>6.08</v>
      </c>
      <c r="F10" s="39">
        <f t="shared" si="1"/>
        <v>5.1282051282051183E-2</v>
      </c>
      <c r="G10" s="39">
        <f t="shared" si="2"/>
        <v>0</v>
      </c>
      <c r="H10" s="40">
        <f t="shared" si="3"/>
        <v>-2.5641025641025664E-2</v>
      </c>
      <c r="J10" s="83">
        <v>80</v>
      </c>
      <c r="K10" s="23">
        <v>3</v>
      </c>
      <c r="L10" s="39">
        <f>AVERAGE(F20:F22)*100</f>
        <v>2.3213026360692539</v>
      </c>
      <c r="M10" s="78">
        <f>AVERAGE(G20:G22)*100</f>
        <v>-5.8380921842372775</v>
      </c>
      <c r="N10" s="78">
        <f t="shared" ref="N10" si="8">AVERAGE(H20:H22)*100</f>
        <v>-5.8380921842372775</v>
      </c>
      <c r="O10" s="41"/>
    </row>
    <row r="11" spans="1:21" x14ac:dyDescent="0.25">
      <c r="A11" s="58" t="s">
        <v>125</v>
      </c>
      <c r="B11" s="70">
        <v>6.44</v>
      </c>
      <c r="C11" s="52">
        <v>7.44</v>
      </c>
      <c r="D11" s="39">
        <v>5.96</v>
      </c>
      <c r="E11" s="70">
        <v>5.96</v>
      </c>
      <c r="F11" s="39">
        <f t="shared" si="1"/>
        <v>0.15527950310559005</v>
      </c>
      <c r="G11" s="39">
        <f t="shared" si="2"/>
        <v>-7.4534161490683287E-2</v>
      </c>
      <c r="H11" s="40">
        <f t="shared" si="3"/>
        <v>-7.4534161490683287E-2</v>
      </c>
      <c r="J11" s="83">
        <v>100</v>
      </c>
      <c r="K11" s="23">
        <v>4</v>
      </c>
      <c r="L11" s="39">
        <f>AVERAGE(F23:F26)*100</f>
        <v>12.843301941281771</v>
      </c>
      <c r="M11" s="39">
        <f>AVERAGE(G23:G26)*100</f>
        <v>-1.7093510954545317</v>
      </c>
      <c r="N11" s="78">
        <f t="shared" ref="N11" si="9">AVERAGE(H23:H26)*100</f>
        <v>-4.1804703127919636</v>
      </c>
      <c r="O11" s="41"/>
    </row>
    <row r="12" spans="1:21" x14ac:dyDescent="0.25">
      <c r="A12" s="58" t="s">
        <v>126</v>
      </c>
      <c r="B12" s="70">
        <v>8.44</v>
      </c>
      <c r="C12" s="52">
        <v>8.8000000000000007</v>
      </c>
      <c r="D12" s="39">
        <v>7.8</v>
      </c>
      <c r="E12" s="70">
        <v>7.8</v>
      </c>
      <c r="F12" s="39">
        <f t="shared" si="1"/>
        <v>4.2654028436019106E-2</v>
      </c>
      <c r="G12" s="39">
        <f t="shared" si="2"/>
        <v>-7.5829383886255888E-2</v>
      </c>
      <c r="H12" s="40">
        <f t="shared" si="3"/>
        <v>-7.5829383886255888E-2</v>
      </c>
      <c r="J12" s="83">
        <v>120</v>
      </c>
      <c r="K12" s="23">
        <v>10</v>
      </c>
      <c r="L12" s="39">
        <f>AVERAGE(F27:F36)*100</f>
        <v>15.886972731264034</v>
      </c>
      <c r="M12" s="39">
        <f t="shared" ref="M12:N12" si="10">AVERAGE(G27:G36)*100</f>
        <v>-1.2406770605759523</v>
      </c>
      <c r="N12" s="78">
        <f t="shared" si="10"/>
        <v>-3.0413205863644248</v>
      </c>
      <c r="O12" s="41"/>
    </row>
    <row r="13" spans="1:21" x14ac:dyDescent="0.25">
      <c r="A13" s="58" t="s">
        <v>127</v>
      </c>
      <c r="B13" s="70">
        <v>7.96</v>
      </c>
      <c r="C13" s="52">
        <v>7.72</v>
      </c>
      <c r="D13" s="39">
        <v>7.64</v>
      </c>
      <c r="E13" s="70">
        <v>7.64</v>
      </c>
      <c r="F13" s="39">
        <f t="shared" si="1"/>
        <v>-3.0150753768844248E-2</v>
      </c>
      <c r="G13" s="39">
        <f t="shared" si="2"/>
        <v>-4.0201005025125663E-2</v>
      </c>
      <c r="H13" s="40">
        <f t="shared" si="3"/>
        <v>-4.0201005025125663E-2</v>
      </c>
      <c r="J13" s="83">
        <v>140</v>
      </c>
      <c r="K13" s="23">
        <v>3</v>
      </c>
      <c r="L13" s="39">
        <f>AVERAGE(F37:F39)*100</f>
        <v>14.911974734924675</v>
      </c>
      <c r="M13" s="39">
        <f t="shared" ref="M13:N13" si="11">AVERAGE(G37:G39)*100</f>
        <v>-0.4060932362316868</v>
      </c>
      <c r="N13" s="79">
        <f t="shared" si="11"/>
        <v>-1.6272191205631104</v>
      </c>
    </row>
    <row r="14" spans="1:21" x14ac:dyDescent="0.25">
      <c r="A14" s="58" t="s">
        <v>128</v>
      </c>
      <c r="B14" s="70">
        <v>5.68</v>
      </c>
      <c r="C14" s="52">
        <v>6.36</v>
      </c>
      <c r="D14" s="39">
        <v>5.52</v>
      </c>
      <c r="E14" s="70">
        <v>5.52</v>
      </c>
      <c r="F14" s="39">
        <f t="shared" si="1"/>
        <v>0.11971830985915505</v>
      </c>
      <c r="G14" s="39">
        <f t="shared" si="2"/>
        <v>-2.8169014084507067E-2</v>
      </c>
      <c r="H14" s="40">
        <f t="shared" si="3"/>
        <v>-2.8169014084507067E-2</v>
      </c>
      <c r="J14" s="83">
        <v>160</v>
      </c>
      <c r="K14" s="23">
        <v>7</v>
      </c>
      <c r="L14" s="39">
        <f>AVERAGE(F40:F46)*100</f>
        <v>9.6438160488690432</v>
      </c>
      <c r="M14" s="39">
        <f t="shared" ref="M14:N14" si="12">AVERAGE(G40:G46)*100</f>
        <v>-0.67044867910276396</v>
      </c>
      <c r="N14" s="78">
        <f t="shared" si="12"/>
        <v>-4.8204852132776361</v>
      </c>
      <c r="O14" s="41"/>
    </row>
    <row r="15" spans="1:21" x14ac:dyDescent="0.25">
      <c r="A15" s="58" t="s">
        <v>129</v>
      </c>
      <c r="B15" s="70">
        <v>7.52</v>
      </c>
      <c r="C15" s="52">
        <v>7.4</v>
      </c>
      <c r="D15" s="39">
        <v>7.36</v>
      </c>
      <c r="E15" s="70">
        <v>7.36</v>
      </c>
      <c r="F15" s="39">
        <f t="shared" si="1"/>
        <v>-1.5957446808510536E-2</v>
      </c>
      <c r="G15" s="39">
        <f t="shared" si="2"/>
        <v>-2.1276595744680753E-2</v>
      </c>
      <c r="H15" s="40">
        <f t="shared" si="3"/>
        <v>-2.1276595744680753E-2</v>
      </c>
      <c r="J15" s="83">
        <v>180</v>
      </c>
      <c r="K15" s="23">
        <v>5</v>
      </c>
      <c r="L15" s="39">
        <f>AVERAGE(F47:F51)*100</f>
        <v>7.9818007776042279</v>
      </c>
      <c r="M15" s="39">
        <f>AVERAGE(G47:G51)*100</f>
        <v>7.39120471995761E-2</v>
      </c>
      <c r="N15" s="78">
        <f t="shared" ref="N15" si="13">AVERAGE(H47:H51)*100</f>
        <v>-5.2608829122374008</v>
      </c>
      <c r="O15" s="41"/>
    </row>
    <row r="16" spans="1:21" ht="15.75" thickBot="1" x14ac:dyDescent="0.3">
      <c r="A16" s="58" t="s">
        <v>130</v>
      </c>
      <c r="B16" s="70">
        <v>6.8</v>
      </c>
      <c r="C16" s="52">
        <v>7.8</v>
      </c>
      <c r="D16" s="39">
        <v>6.44</v>
      </c>
      <c r="E16" s="70">
        <v>6.28</v>
      </c>
      <c r="F16" s="39">
        <f t="shared" si="1"/>
        <v>0.14705882352941177</v>
      </c>
      <c r="G16" s="39">
        <f t="shared" si="2"/>
        <v>-5.2941176470588151E-2</v>
      </c>
      <c r="H16" s="40">
        <f t="shared" si="3"/>
        <v>-7.6470588235294054E-2</v>
      </c>
      <c r="J16" s="84">
        <v>200</v>
      </c>
      <c r="K16" s="26">
        <v>8</v>
      </c>
      <c r="L16" s="43">
        <f>AVERAGE(F52:F59)*100</f>
        <v>12.860746193538924</v>
      </c>
      <c r="M16" s="43">
        <f t="shared" ref="M16:N16" si="14">AVERAGE(G52:G59)*100</f>
        <v>9.4808436488414888E-2</v>
      </c>
      <c r="N16" s="80">
        <f t="shared" si="14"/>
        <v>-6.2694870674056533</v>
      </c>
    </row>
    <row r="17" spans="1:19" ht="15.75" thickBot="1" x14ac:dyDescent="0.3">
      <c r="A17" s="58" t="s">
        <v>131</v>
      </c>
      <c r="B17" s="70">
        <v>10.68</v>
      </c>
      <c r="C17" s="52">
        <v>10.6</v>
      </c>
      <c r="D17" s="39">
        <v>10.08</v>
      </c>
      <c r="E17" s="70">
        <v>10.08</v>
      </c>
      <c r="F17" s="39">
        <f t="shared" si="1"/>
        <v>-7.4906367041198572E-3</v>
      </c>
      <c r="G17" s="39">
        <f t="shared" si="2"/>
        <v>-5.6179775280898847E-2</v>
      </c>
      <c r="H17" s="40">
        <f t="shared" si="3"/>
        <v>-5.6179775280898847E-2</v>
      </c>
    </row>
    <row r="18" spans="1:19" ht="15.75" thickBot="1" x14ac:dyDescent="0.3">
      <c r="A18" s="58" t="s">
        <v>132</v>
      </c>
      <c r="B18" s="70">
        <v>9.0399999999999991</v>
      </c>
      <c r="C18" s="52">
        <v>9.56</v>
      </c>
      <c r="D18" s="39">
        <v>8.7200000000000006</v>
      </c>
      <c r="E18" s="70">
        <v>8.56</v>
      </c>
      <c r="F18" s="39">
        <f t="shared" si="1"/>
        <v>5.7522123893805462E-2</v>
      </c>
      <c r="G18" s="39">
        <f t="shared" si="2"/>
        <v>-3.5398230088495415E-2</v>
      </c>
      <c r="H18" s="40">
        <f t="shared" si="3"/>
        <v>-5.3097345132743216E-2</v>
      </c>
      <c r="K18" s="103" t="s">
        <v>710</v>
      </c>
      <c r="L18" s="104"/>
      <c r="M18" s="104"/>
      <c r="N18" s="104"/>
      <c r="O18" s="104"/>
      <c r="P18" s="104"/>
      <c r="Q18" s="104"/>
      <c r="R18" s="104"/>
      <c r="S18" s="105"/>
    </row>
    <row r="19" spans="1:19" ht="15.75" thickBot="1" x14ac:dyDescent="0.3">
      <c r="A19" s="58" t="s">
        <v>133</v>
      </c>
      <c r="B19" s="70">
        <v>8.9600000000000009</v>
      </c>
      <c r="C19" s="52">
        <v>10.16</v>
      </c>
      <c r="D19" s="39">
        <v>8.8000000000000007</v>
      </c>
      <c r="E19" s="70">
        <v>8.8000000000000007</v>
      </c>
      <c r="F19" s="39">
        <f t="shared" si="1"/>
        <v>0.13392857142857134</v>
      </c>
      <c r="G19" s="39">
        <f t="shared" si="2"/>
        <v>-1.785714285714287E-2</v>
      </c>
      <c r="H19" s="40">
        <f t="shared" si="3"/>
        <v>-1.785714285714287E-2</v>
      </c>
      <c r="K19" s="65" t="s">
        <v>704</v>
      </c>
      <c r="L19" s="66" t="s">
        <v>706</v>
      </c>
      <c r="M19" s="67" t="s">
        <v>705</v>
      </c>
      <c r="N19" s="65" t="s">
        <v>704</v>
      </c>
      <c r="O19" s="66" t="s">
        <v>706</v>
      </c>
      <c r="P19" s="67" t="s">
        <v>705</v>
      </c>
      <c r="Q19" s="65" t="s">
        <v>704</v>
      </c>
      <c r="R19" s="66" t="s">
        <v>706</v>
      </c>
      <c r="S19" s="67" t="s">
        <v>705</v>
      </c>
    </row>
    <row r="20" spans="1:19" ht="15.75" thickBot="1" x14ac:dyDescent="0.3">
      <c r="A20" s="58" t="s">
        <v>134</v>
      </c>
      <c r="B20" s="70">
        <v>10.72</v>
      </c>
      <c r="C20" s="52">
        <v>10.8</v>
      </c>
      <c r="D20" s="39">
        <v>10.08</v>
      </c>
      <c r="E20" s="70">
        <v>10.08</v>
      </c>
      <c r="F20" s="39">
        <f t="shared" si="1"/>
        <v>7.462686567164185E-3</v>
      </c>
      <c r="G20" s="39">
        <f t="shared" si="2"/>
        <v>-5.970149253731348E-2</v>
      </c>
      <c r="H20" s="40">
        <f t="shared" si="3"/>
        <v>-5.970149253731348E-2</v>
      </c>
      <c r="J20" s="46" t="s">
        <v>713</v>
      </c>
      <c r="K20" s="95" t="s">
        <v>699</v>
      </c>
      <c r="L20" s="96"/>
      <c r="M20" s="97"/>
      <c r="N20" s="95" t="s">
        <v>696</v>
      </c>
      <c r="O20" s="96"/>
      <c r="P20" s="97"/>
      <c r="Q20" s="95" t="s">
        <v>702</v>
      </c>
      <c r="R20" s="96"/>
      <c r="S20" s="97"/>
    </row>
    <row r="21" spans="1:19" x14ac:dyDescent="0.25">
      <c r="A21" s="58" t="s">
        <v>135</v>
      </c>
      <c r="B21" s="70">
        <v>10.84</v>
      </c>
      <c r="C21" s="52">
        <v>10.4</v>
      </c>
      <c r="D21" s="39">
        <v>9.76</v>
      </c>
      <c r="E21" s="70">
        <v>9.76</v>
      </c>
      <c r="F21" s="39">
        <f t="shared" si="1"/>
        <v>-4.0590405904058997E-2</v>
      </c>
      <c r="G21" s="39">
        <f t="shared" si="2"/>
        <v>-9.963099630996311E-2</v>
      </c>
      <c r="H21" s="40">
        <f t="shared" si="3"/>
        <v>-9.963099630996311E-2</v>
      </c>
      <c r="J21" s="82">
        <v>20</v>
      </c>
      <c r="K21" s="19">
        <f>COUNTIF(F7, "&lt;0")</f>
        <v>1</v>
      </c>
      <c r="L21" s="20">
        <f>COUNTIF(G7, "=0")</f>
        <v>0</v>
      </c>
      <c r="M21" s="21">
        <f>COUNTIF(H7, "&gt;0")</f>
        <v>0</v>
      </c>
      <c r="N21" s="19">
        <f>COUNTIF(G7, "&lt;0")</f>
        <v>1</v>
      </c>
      <c r="O21" s="20">
        <f>COUNTIF(G7, "=0")</f>
        <v>0</v>
      </c>
      <c r="P21" s="21">
        <f>COUNTIF(G7, "&gt;0")</f>
        <v>0</v>
      </c>
      <c r="Q21" s="19">
        <f>COUNTIF(H7, "&lt;0")</f>
        <v>1</v>
      </c>
      <c r="R21" s="20">
        <f>COUNTIF(H7, "=0")</f>
        <v>0</v>
      </c>
      <c r="S21" s="21">
        <f>COUNTIF(H7, "&gt;0")</f>
        <v>0</v>
      </c>
    </row>
    <row r="22" spans="1:19" x14ac:dyDescent="0.25">
      <c r="A22" s="58" t="s">
        <v>136</v>
      </c>
      <c r="B22" s="70">
        <v>10.119999999999999</v>
      </c>
      <c r="C22" s="52">
        <v>11.16</v>
      </c>
      <c r="D22" s="39">
        <v>9.9600000000000009</v>
      </c>
      <c r="E22" s="70">
        <v>9.9600000000000009</v>
      </c>
      <c r="F22" s="39">
        <f t="shared" si="1"/>
        <v>0.10276679841897243</v>
      </c>
      <c r="G22" s="39">
        <f t="shared" si="2"/>
        <v>-1.5810276679841737E-2</v>
      </c>
      <c r="H22" s="40">
        <f t="shared" si="3"/>
        <v>-1.5810276679841737E-2</v>
      </c>
      <c r="J22" s="83">
        <v>40</v>
      </c>
      <c r="K22" s="22">
        <f>COUNTIF(F8:F10, "&lt;0")</f>
        <v>0</v>
      </c>
      <c r="L22" s="23">
        <f>COUNTIF(F8:F10, "=0")</f>
        <v>0</v>
      </c>
      <c r="M22" s="24">
        <f>COUNTIF(F8:F10, "&gt;0")</f>
        <v>3</v>
      </c>
      <c r="N22" s="22">
        <f>COUNTIF(G8:G10, "&lt;0")</f>
        <v>1</v>
      </c>
      <c r="O22" s="23">
        <f>COUNTIF(G8:G10, "=0")</f>
        <v>2</v>
      </c>
      <c r="P22" s="24">
        <f>COUNTIF(G8:G10, "&gt;0")</f>
        <v>0</v>
      </c>
      <c r="Q22" s="22">
        <f>COUNTIF(H8:H10, "&lt;0")</f>
        <v>2</v>
      </c>
      <c r="R22" s="23">
        <f>COUNTIF(H8:H10, "=0")</f>
        <v>1</v>
      </c>
      <c r="S22" s="24">
        <f>COUNTIF(H8:H10, "&gt;0")</f>
        <v>0</v>
      </c>
    </row>
    <row r="23" spans="1:19" x14ac:dyDescent="0.25">
      <c r="A23" s="58" t="s">
        <v>137</v>
      </c>
      <c r="B23" s="70">
        <v>11.92</v>
      </c>
      <c r="C23" s="52">
        <v>13.44</v>
      </c>
      <c r="D23" s="39">
        <v>11.6</v>
      </c>
      <c r="E23" s="70">
        <v>11.28</v>
      </c>
      <c r="F23" s="39">
        <f t="shared" si="1"/>
        <v>0.12751677852348989</v>
      </c>
      <c r="G23" s="39">
        <f t="shared" si="2"/>
        <v>-2.6845637583892641E-2</v>
      </c>
      <c r="H23" s="40">
        <f t="shared" si="3"/>
        <v>-5.3691275167785282E-2</v>
      </c>
      <c r="J23" s="83">
        <v>60</v>
      </c>
      <c r="K23" s="22">
        <f>COUNTIF(F11:F19, "&lt;0")</f>
        <v>3</v>
      </c>
      <c r="L23" s="23">
        <f>COUNTIF(F11:F19, "=0")</f>
        <v>0</v>
      </c>
      <c r="M23" s="24">
        <f>COUNTIF(F11:F19, "&gt;0")</f>
        <v>6</v>
      </c>
      <c r="N23" s="22">
        <f>COUNTIF(G11:G19, "&lt;0")</f>
        <v>9</v>
      </c>
      <c r="O23" s="23">
        <f>COUNTIF(G11:G19, "=0")</f>
        <v>0</v>
      </c>
      <c r="P23" s="24">
        <f>COUNTIF(G11:G19, "&gt;0")</f>
        <v>0</v>
      </c>
      <c r="Q23" s="22">
        <f>COUNTIF(H11:H19, "&lt;0")</f>
        <v>9</v>
      </c>
      <c r="R23" s="23">
        <f>COUNTIF(H11:H19, "=0")</f>
        <v>0</v>
      </c>
      <c r="S23" s="24">
        <f>COUNTIF(H11:H19, "&gt;0")</f>
        <v>0</v>
      </c>
    </row>
    <row r="24" spans="1:19" x14ac:dyDescent="0.25">
      <c r="A24" s="58" t="s">
        <v>138</v>
      </c>
      <c r="B24" s="70">
        <v>10.4</v>
      </c>
      <c r="C24" s="52">
        <v>11.44</v>
      </c>
      <c r="D24" s="39">
        <v>10.24</v>
      </c>
      <c r="E24" s="70">
        <v>10.08</v>
      </c>
      <c r="F24" s="39">
        <f t="shared" si="1"/>
        <v>9.9999999999999908E-2</v>
      </c>
      <c r="G24" s="39">
        <f t="shared" si="2"/>
        <v>-1.5384615384615398E-2</v>
      </c>
      <c r="H24" s="40">
        <f t="shared" si="3"/>
        <v>-3.0769230769230795E-2</v>
      </c>
      <c r="J24" s="83">
        <v>80</v>
      </c>
      <c r="K24" s="22">
        <f>COUNTIF(F20:F22, "&lt;0")</f>
        <v>1</v>
      </c>
      <c r="L24" s="23">
        <f>COUNTIF(F20:F22, "=0")</f>
        <v>0</v>
      </c>
      <c r="M24" s="24">
        <f>COUNTIF(F20:F22, "&gt;0")</f>
        <v>2</v>
      </c>
      <c r="N24" s="22">
        <f>COUNTIF(G20:G22, "&lt;0")</f>
        <v>3</v>
      </c>
      <c r="O24" s="23">
        <f>COUNTIF(G20:G22, "=0")</f>
        <v>0</v>
      </c>
      <c r="P24" s="24">
        <f>COUNTIF(G20:G22, "&gt;0")</f>
        <v>0</v>
      </c>
      <c r="Q24" s="22">
        <f>COUNTIF(H20:H22, "&lt;0")</f>
        <v>3</v>
      </c>
      <c r="R24" s="23">
        <f>COUNTIF(H20:H22, "=0")</f>
        <v>0</v>
      </c>
      <c r="S24" s="24">
        <f>COUNTIF(H20:H22, "&gt;0")</f>
        <v>0</v>
      </c>
    </row>
    <row r="25" spans="1:19" x14ac:dyDescent="0.25">
      <c r="A25" s="58" t="s">
        <v>139</v>
      </c>
      <c r="B25" s="70">
        <v>11.48</v>
      </c>
      <c r="C25" s="52">
        <v>13.04</v>
      </c>
      <c r="D25" s="39">
        <v>11.48</v>
      </c>
      <c r="E25" s="70">
        <v>10.68</v>
      </c>
      <c r="F25" s="39">
        <f t="shared" si="1"/>
        <v>0.13588850174216016</v>
      </c>
      <c r="G25" s="39">
        <f t="shared" si="2"/>
        <v>0</v>
      </c>
      <c r="H25" s="40">
        <f t="shared" si="3"/>
        <v>-6.968641114982585E-2</v>
      </c>
      <c r="J25" s="83">
        <v>100</v>
      </c>
      <c r="K25" s="22">
        <f>COUNTIF(F23:F26, "&lt;0")</f>
        <v>0</v>
      </c>
      <c r="L25" s="23">
        <f>COUNTIF(F23:F26, "=0")</f>
        <v>0</v>
      </c>
      <c r="M25" s="24">
        <f>COUNTIF(F23:F26, "&gt;0")</f>
        <v>4</v>
      </c>
      <c r="N25" s="22">
        <f>COUNTIF(G23:G26, "&lt;0")</f>
        <v>3</v>
      </c>
      <c r="O25" s="23">
        <f>COUNTIF(G23:G26, "=0")</f>
        <v>1</v>
      </c>
      <c r="P25" s="24">
        <f>COUNTIF(G23:G26, "&gt;0")</f>
        <v>0</v>
      </c>
      <c r="Q25" s="22">
        <f>COUNTIF(H23:H26, "&lt;0")</f>
        <v>4</v>
      </c>
      <c r="R25" s="23">
        <f>COUNTIF(H23:H26, "=0")</f>
        <v>0</v>
      </c>
      <c r="S25" s="24">
        <f>COUNTIF(H23:H26, "&gt;0")</f>
        <v>0</v>
      </c>
    </row>
    <row r="26" spans="1:19" x14ac:dyDescent="0.25">
      <c r="A26" s="58" t="s">
        <v>140</v>
      </c>
      <c r="B26" s="70">
        <v>12.24</v>
      </c>
      <c r="C26" s="52">
        <v>14.08</v>
      </c>
      <c r="D26" s="39">
        <v>11.92</v>
      </c>
      <c r="E26" s="70">
        <v>12.08</v>
      </c>
      <c r="F26" s="39">
        <f t="shared" si="1"/>
        <v>0.15032679738562091</v>
      </c>
      <c r="G26" s="39">
        <f t="shared" si="2"/>
        <v>-2.6143790849673224E-2</v>
      </c>
      <c r="H26" s="40">
        <f t="shared" si="3"/>
        <v>-1.3071895424836612E-2</v>
      </c>
      <c r="J26" s="83">
        <v>120</v>
      </c>
      <c r="K26" s="22">
        <f>COUNTIF(F27:F36, "&lt;0")</f>
        <v>0</v>
      </c>
      <c r="L26" s="23">
        <f>COUNTIF(F27:F36, "=0")</f>
        <v>0</v>
      </c>
      <c r="M26" s="24">
        <f>COUNTIF(F27:F36, "&gt;0")</f>
        <v>10</v>
      </c>
      <c r="N26" s="22">
        <f>COUNTIF(G27:G36, "&lt;0")</f>
        <v>7</v>
      </c>
      <c r="O26" s="23">
        <f>COUNTIF(G27:G36, "=0")</f>
        <v>3</v>
      </c>
      <c r="P26" s="24">
        <f>COUNTIF(G27:G36, "&gt;0")</f>
        <v>0</v>
      </c>
      <c r="Q26" s="22">
        <f>COUNTIF(H27:H36, "&lt;0")</f>
        <v>9</v>
      </c>
      <c r="R26" s="23">
        <f>COUNTIF(H27:H36, "=0")</f>
        <v>1</v>
      </c>
      <c r="S26" s="24">
        <f>COUNTIF(H27:H36, "&gt;0")</f>
        <v>0</v>
      </c>
    </row>
    <row r="27" spans="1:19" x14ac:dyDescent="0.25">
      <c r="A27" s="58" t="s">
        <v>141</v>
      </c>
      <c r="B27" s="70">
        <v>14.2</v>
      </c>
      <c r="C27" s="52">
        <v>15.88</v>
      </c>
      <c r="D27" s="39">
        <v>14.2</v>
      </c>
      <c r="E27" s="70">
        <v>13.88</v>
      </c>
      <c r="F27" s="39">
        <f t="shared" si="1"/>
        <v>0.11830985915492968</v>
      </c>
      <c r="G27" s="39">
        <f t="shared" si="2"/>
        <v>0</v>
      </c>
      <c r="H27" s="40">
        <f t="shared" si="3"/>
        <v>-2.2535211267605531E-2</v>
      </c>
      <c r="J27" s="83">
        <v>140</v>
      </c>
      <c r="K27" s="22">
        <f>COUNTIF(F37:F39, "&lt;0")</f>
        <v>0</v>
      </c>
      <c r="L27" s="23">
        <f>COUNTIF(F37:F39, "=0")</f>
        <v>0</v>
      </c>
      <c r="M27" s="24">
        <f>COUNTIF(F37:F39, "&gt;0")</f>
        <v>3</v>
      </c>
      <c r="N27" s="22">
        <f>COUNTIF(G37:G39, "&lt;0")</f>
        <v>2</v>
      </c>
      <c r="O27" s="23">
        <f>COUNTIF(G37:G39, "=0")</f>
        <v>0</v>
      </c>
      <c r="P27" s="24">
        <f>COUNTIF(G37:G39, "&gt;0")</f>
        <v>1</v>
      </c>
      <c r="Q27" s="22">
        <f>COUNTIF(H37:H39, "&lt;0")</f>
        <v>2</v>
      </c>
      <c r="R27" s="23">
        <f>COUNTIF(H37:H39, "=0")</f>
        <v>0</v>
      </c>
      <c r="S27" s="24">
        <f>COUNTIF(H37:H39, "&gt;0")</f>
        <v>1</v>
      </c>
    </row>
    <row r="28" spans="1:19" x14ac:dyDescent="0.25">
      <c r="A28" s="58" t="s">
        <v>142</v>
      </c>
      <c r="B28" s="70">
        <v>10.76</v>
      </c>
      <c r="C28" s="52">
        <v>12.96</v>
      </c>
      <c r="D28" s="39">
        <v>10.28</v>
      </c>
      <c r="E28" s="70">
        <v>10.119999999999999</v>
      </c>
      <c r="F28" s="39">
        <f t="shared" si="1"/>
        <v>0.20446096654275103</v>
      </c>
      <c r="G28" s="39">
        <f t="shared" si="2"/>
        <v>-4.4609665427509333E-2</v>
      </c>
      <c r="H28" s="40">
        <f t="shared" si="3"/>
        <v>-5.9479553903345778E-2</v>
      </c>
      <c r="J28" s="83">
        <v>160</v>
      </c>
      <c r="K28" s="22">
        <f>COUNTIF(F40:F46, "&lt;0")</f>
        <v>0</v>
      </c>
      <c r="L28" s="23">
        <f>COUNTIF(F40:F46, "=0")</f>
        <v>0</v>
      </c>
      <c r="M28" s="24">
        <f>COUNTIF(F40:F46, "&gt;0")</f>
        <v>7</v>
      </c>
      <c r="N28" s="22">
        <f>COUNTIF(G40:G46, "&lt;0")</f>
        <v>4</v>
      </c>
      <c r="O28" s="23">
        <f>COUNTIF(G40:G46, "=0")</f>
        <v>0</v>
      </c>
      <c r="P28" s="24">
        <f>COUNTIF(G40:G46, "&gt;0")</f>
        <v>3</v>
      </c>
      <c r="Q28" s="22">
        <f>COUNTIF(H40:H46, "&lt;0")</f>
        <v>7</v>
      </c>
      <c r="R28" s="23">
        <f>COUNTIF(H40:H46, "=0")</f>
        <v>0</v>
      </c>
      <c r="S28" s="24">
        <f>COUNTIF(H40:H46, "&gt;0")</f>
        <v>0</v>
      </c>
    </row>
    <row r="29" spans="1:19" x14ac:dyDescent="0.25">
      <c r="A29" s="58" t="s">
        <v>143</v>
      </c>
      <c r="B29" s="70">
        <v>14.36</v>
      </c>
      <c r="C29" s="52">
        <v>16.36</v>
      </c>
      <c r="D29" s="39">
        <v>14.2</v>
      </c>
      <c r="E29" s="70">
        <v>13.36</v>
      </c>
      <c r="F29" s="39">
        <f t="shared" si="1"/>
        <v>0.1392757660167131</v>
      </c>
      <c r="G29" s="39">
        <f t="shared" si="2"/>
        <v>-1.1142061281337058E-2</v>
      </c>
      <c r="H29" s="40">
        <f t="shared" si="3"/>
        <v>-6.9637883008356549E-2</v>
      </c>
      <c r="J29" s="83">
        <v>180</v>
      </c>
      <c r="K29" s="22">
        <f>COUNTIF(F47:F51, "&lt;0")</f>
        <v>0</v>
      </c>
      <c r="L29" s="23">
        <f>COUNTIF(F47:F51, "=0")</f>
        <v>0</v>
      </c>
      <c r="M29" s="24">
        <f>COUNTIF(F47:F51, "&gt;0")</f>
        <v>5</v>
      </c>
      <c r="N29" s="22">
        <f>COUNTIF(G47:G51, "&lt;0")</f>
        <v>2</v>
      </c>
      <c r="O29" s="23">
        <f>COUNTIF(G47:G51, "=0")</f>
        <v>1</v>
      </c>
      <c r="P29" s="24">
        <f>COUNTIF(G47:G51, "&gt;0")</f>
        <v>2</v>
      </c>
      <c r="Q29" s="22">
        <f>COUNTIF(H47:H51, "&lt;0")</f>
        <v>5</v>
      </c>
      <c r="R29" s="23">
        <f>COUNTIF(H47:H51, "=0")</f>
        <v>0</v>
      </c>
      <c r="S29" s="24">
        <f>COUNTIF(H47:H51, "&gt;0")</f>
        <v>0</v>
      </c>
    </row>
    <row r="30" spans="1:19" ht="15.75" thickBot="1" x14ac:dyDescent="0.3">
      <c r="A30" s="58" t="s">
        <v>144</v>
      </c>
      <c r="B30" s="70">
        <v>15.6</v>
      </c>
      <c r="C30" s="52">
        <v>18.440000000000001</v>
      </c>
      <c r="D30" s="39">
        <v>15.44</v>
      </c>
      <c r="E30" s="70">
        <v>15.44</v>
      </c>
      <c r="F30" s="39">
        <f t="shared" si="1"/>
        <v>0.18205128205128215</v>
      </c>
      <c r="G30" s="39">
        <f t="shared" si="2"/>
        <v>-1.0256410256410265E-2</v>
      </c>
      <c r="H30" s="40">
        <f t="shared" si="3"/>
        <v>-1.0256410256410265E-2</v>
      </c>
      <c r="J30" s="84">
        <v>200</v>
      </c>
      <c r="K30" s="25">
        <f>COUNTIF(F52:F59, "&lt;0")</f>
        <v>0</v>
      </c>
      <c r="L30" s="26">
        <f>COUNTIF(F52:F59, "=0")</f>
        <v>0</v>
      </c>
      <c r="M30" s="27">
        <f>COUNTIF(F52:F59, "&gt;0")</f>
        <v>8</v>
      </c>
      <c r="N30" s="25">
        <f>COUNTIF(G52:G59, "&lt;0")</f>
        <v>4</v>
      </c>
      <c r="O30" s="26">
        <f>COUNTIF(G52:G59, "=0")</f>
        <v>0</v>
      </c>
      <c r="P30" s="27">
        <f>COUNTIF(G52:G59, "&gt;0")</f>
        <v>4</v>
      </c>
      <c r="Q30" s="25">
        <f>COUNTIF(H52:H59, "&lt;0")</f>
        <v>8</v>
      </c>
      <c r="R30" s="26">
        <f>COUNTIF(H52:H59, "=0")</f>
        <v>0</v>
      </c>
      <c r="S30" s="27">
        <f>COUNTIF(H52:H59, "&gt;0")</f>
        <v>0</v>
      </c>
    </row>
    <row r="31" spans="1:19" ht="15.75" thickBot="1" x14ac:dyDescent="0.3">
      <c r="A31" s="58" t="s">
        <v>145</v>
      </c>
      <c r="B31" s="70">
        <v>13.32</v>
      </c>
      <c r="C31" s="52">
        <v>16</v>
      </c>
      <c r="D31" s="39">
        <v>13.16</v>
      </c>
      <c r="E31" s="70">
        <v>12.32</v>
      </c>
      <c r="F31" s="39">
        <f t="shared" si="1"/>
        <v>0.20120120120120116</v>
      </c>
      <c r="G31" s="39">
        <f t="shared" si="2"/>
        <v>-1.2012012012012022E-2</v>
      </c>
      <c r="H31" s="40">
        <f t="shared" si="3"/>
        <v>-7.5075075075075076E-2</v>
      </c>
    </row>
    <row r="32" spans="1:19" ht="15.75" thickBot="1" x14ac:dyDescent="0.3">
      <c r="A32" s="58" t="s">
        <v>146</v>
      </c>
      <c r="B32" s="70">
        <v>12.84</v>
      </c>
      <c r="C32" s="52">
        <v>15.04</v>
      </c>
      <c r="D32" s="39">
        <v>12.68</v>
      </c>
      <c r="E32" s="70">
        <v>12.52</v>
      </c>
      <c r="F32" s="39">
        <f t="shared" si="1"/>
        <v>0.17133956386292828</v>
      </c>
      <c r="G32" s="39">
        <f t="shared" si="2"/>
        <v>-1.2461059190031164E-2</v>
      </c>
      <c r="H32" s="40">
        <f t="shared" si="3"/>
        <v>-2.4922118380062329E-2</v>
      </c>
      <c r="K32" s="103" t="s">
        <v>712</v>
      </c>
      <c r="L32" s="104"/>
      <c r="M32" s="104"/>
      <c r="N32" s="104"/>
      <c r="O32" s="104"/>
      <c r="P32" s="104"/>
      <c r="Q32" s="104"/>
      <c r="R32" s="104"/>
      <c r="S32" s="105"/>
    </row>
    <row r="33" spans="1:19" ht="15.75" thickBot="1" x14ac:dyDescent="0.3">
      <c r="A33" s="58" t="s">
        <v>147</v>
      </c>
      <c r="B33" s="70">
        <v>12</v>
      </c>
      <c r="C33" s="52">
        <v>13.56</v>
      </c>
      <c r="D33" s="39">
        <v>11.84</v>
      </c>
      <c r="E33" s="70">
        <v>11.84</v>
      </c>
      <c r="F33" s="39">
        <f t="shared" si="1"/>
        <v>0.13000000000000003</v>
      </c>
      <c r="G33" s="39">
        <f t="shared" si="2"/>
        <v>-1.3333333333333345E-2</v>
      </c>
      <c r="H33" s="40">
        <f t="shared" si="3"/>
        <v>-1.3333333333333345E-2</v>
      </c>
      <c r="K33" s="65" t="s">
        <v>704</v>
      </c>
      <c r="L33" s="66" t="s">
        <v>706</v>
      </c>
      <c r="M33" s="67" t="s">
        <v>705</v>
      </c>
      <c r="N33" s="65" t="s">
        <v>704</v>
      </c>
      <c r="O33" s="66" t="s">
        <v>706</v>
      </c>
      <c r="P33" s="67" t="s">
        <v>705</v>
      </c>
      <c r="Q33" s="65" t="s">
        <v>704</v>
      </c>
      <c r="R33" s="66" t="s">
        <v>706</v>
      </c>
      <c r="S33" s="67" t="s">
        <v>705</v>
      </c>
    </row>
    <row r="34" spans="1:19" ht="15.75" thickBot="1" x14ac:dyDescent="0.3">
      <c r="A34" s="58" t="s">
        <v>148</v>
      </c>
      <c r="B34" s="70">
        <v>15.8</v>
      </c>
      <c r="C34" s="52">
        <v>18.559999999999999</v>
      </c>
      <c r="D34" s="39">
        <v>15.48</v>
      </c>
      <c r="E34" s="70">
        <v>15.48</v>
      </c>
      <c r="F34" s="39">
        <f t="shared" si="1"/>
        <v>0.17468354430379734</v>
      </c>
      <c r="G34" s="39">
        <f t="shared" si="2"/>
        <v>-2.0253164556962043E-2</v>
      </c>
      <c r="H34" s="40">
        <f t="shared" si="3"/>
        <v>-2.0253164556962043E-2</v>
      </c>
      <c r="J34" s="46" t="s">
        <v>713</v>
      </c>
      <c r="K34" s="95" t="s">
        <v>699</v>
      </c>
      <c r="L34" s="96"/>
      <c r="M34" s="97"/>
      <c r="N34" s="95" t="s">
        <v>696</v>
      </c>
      <c r="O34" s="96"/>
      <c r="P34" s="97"/>
      <c r="Q34" s="95" t="s">
        <v>702</v>
      </c>
      <c r="R34" s="96"/>
      <c r="S34" s="97"/>
    </row>
    <row r="35" spans="1:19" x14ac:dyDescent="0.25">
      <c r="A35" s="58" t="s">
        <v>149</v>
      </c>
      <c r="B35" s="70">
        <v>15</v>
      </c>
      <c r="C35" s="52">
        <v>16.84</v>
      </c>
      <c r="D35" s="39">
        <v>15</v>
      </c>
      <c r="E35" s="70">
        <v>15</v>
      </c>
      <c r="F35" s="39">
        <f t="shared" si="1"/>
        <v>0.12266666666666666</v>
      </c>
      <c r="G35" s="39">
        <f t="shared" si="2"/>
        <v>0</v>
      </c>
      <c r="H35" s="40">
        <f t="shared" si="3"/>
        <v>0</v>
      </c>
      <c r="J35" s="82">
        <v>50</v>
      </c>
      <c r="K35" s="19">
        <f>COUNTIF(F300:F419, "&lt;0")</f>
        <v>48</v>
      </c>
      <c r="L35" s="20">
        <f>COUNTIF(F300:F419, "=0")</f>
        <v>17</v>
      </c>
      <c r="M35" s="21">
        <f>COUNTIF(F300:F419, "&gt;0")</f>
        <v>55</v>
      </c>
      <c r="N35" s="19">
        <f>COUNTIF(G300:G419, "&lt;0")</f>
        <v>94</v>
      </c>
      <c r="O35" s="20">
        <f>COUNTIF(G300:G419, "=0")</f>
        <v>24</v>
      </c>
      <c r="P35" s="21">
        <f>COUNTIF(G300:G419, "&gt;0")</f>
        <v>2</v>
      </c>
      <c r="Q35" s="19">
        <f>COUNTIF(H300:H419, "&lt;0")</f>
        <v>99</v>
      </c>
      <c r="R35" s="20">
        <f>COUNTIF(H300:H419, "=0")</f>
        <v>20</v>
      </c>
      <c r="S35" s="21">
        <f>COUNTIF(H300:H419, "&gt;0")</f>
        <v>1</v>
      </c>
    </row>
    <row r="36" spans="1:19" x14ac:dyDescent="0.25">
      <c r="A36" s="58" t="s">
        <v>150</v>
      </c>
      <c r="B36" s="70">
        <v>18.52</v>
      </c>
      <c r="C36" s="52">
        <v>21.2</v>
      </c>
      <c r="D36" s="39">
        <v>18.52</v>
      </c>
      <c r="E36" s="70">
        <v>18.36</v>
      </c>
      <c r="F36" s="39">
        <f t="shared" si="1"/>
        <v>0.1447084233261339</v>
      </c>
      <c r="G36" s="39">
        <f t="shared" si="2"/>
        <v>0</v>
      </c>
      <c r="H36" s="40">
        <f t="shared" si="3"/>
        <v>-8.6393088552915841E-3</v>
      </c>
      <c r="J36" s="83">
        <v>100</v>
      </c>
      <c r="K36" s="22">
        <f>COUNTIF(F60:F179, "&lt;0")</f>
        <v>30</v>
      </c>
      <c r="L36" s="23">
        <f>COUNTIF(F60:F179, "=0")</f>
        <v>1</v>
      </c>
      <c r="M36" s="24">
        <f>COUNTIF(F60:F179, "&gt;0")</f>
        <v>89</v>
      </c>
      <c r="N36" s="22">
        <f>COUNTIF(G60:G179, "&lt;0")</f>
        <v>105</v>
      </c>
      <c r="O36" s="23">
        <f>COUNTIF(G60:G179, "=0")</f>
        <v>15</v>
      </c>
      <c r="P36" s="24">
        <f>COUNTIF(G60:G179, "&gt;0")</f>
        <v>0</v>
      </c>
      <c r="Q36" s="22">
        <f>COUNTIF(G60:G179, "&lt;0")</f>
        <v>105</v>
      </c>
      <c r="R36" s="23">
        <f>COUNTIF(G60:G179, "=0")</f>
        <v>15</v>
      </c>
      <c r="S36" s="24">
        <f>COUNTIF(G60:G179, "&gt;0")</f>
        <v>0</v>
      </c>
    </row>
    <row r="37" spans="1:19" ht="15.75" thickBot="1" x14ac:dyDescent="0.3">
      <c r="A37" s="58" t="s">
        <v>151</v>
      </c>
      <c r="B37" s="70">
        <v>25.04</v>
      </c>
      <c r="C37" s="52">
        <v>26.6</v>
      </c>
      <c r="D37" s="39">
        <v>24.56</v>
      </c>
      <c r="E37" s="70">
        <v>24.04</v>
      </c>
      <c r="F37" s="39">
        <f t="shared" si="1"/>
        <v>6.2300319488817986E-2</v>
      </c>
      <c r="G37" s="39">
        <f t="shared" si="2"/>
        <v>-1.9169329073482445E-2</v>
      </c>
      <c r="H37" s="40">
        <f t="shared" si="3"/>
        <v>-3.9936102236421724E-2</v>
      </c>
      <c r="J37" s="84">
        <v>200</v>
      </c>
      <c r="K37" s="25">
        <f>COUNTIF(F180:F299, "&lt;0")</f>
        <v>2</v>
      </c>
      <c r="L37" s="26">
        <f>COUNTIF(F180:F299, "=0")</f>
        <v>0</v>
      </c>
      <c r="M37" s="27">
        <f>COUNTIF(F180:F299, "&gt;0")</f>
        <v>118</v>
      </c>
      <c r="N37" s="25">
        <f>COUNTIF(G180:G299, "&lt;0")</f>
        <v>104</v>
      </c>
      <c r="O37" s="26">
        <f>COUNTIF(G180:G299, "=0")</f>
        <v>12</v>
      </c>
      <c r="P37" s="27">
        <f>COUNTIF(G180:G299, "&gt;0")</f>
        <v>4</v>
      </c>
      <c r="Q37" s="25">
        <f>COUNTIF(H180:H299, "&lt;0")</f>
        <v>108</v>
      </c>
      <c r="R37" s="26">
        <f>COUNTIF(H180:H299, "=0")</f>
        <v>12</v>
      </c>
      <c r="S37" s="27">
        <f>COUNTIF(H180:H299, "&gt;0")</f>
        <v>0</v>
      </c>
    </row>
    <row r="38" spans="1:19" ht="15.75" thickBot="1" x14ac:dyDescent="0.3">
      <c r="A38" s="58" t="s">
        <v>152</v>
      </c>
      <c r="B38" s="70">
        <v>17.28</v>
      </c>
      <c r="C38" s="52">
        <v>20.36</v>
      </c>
      <c r="D38" s="39">
        <v>17.440000000000001</v>
      </c>
      <c r="E38" s="70">
        <v>17.48</v>
      </c>
      <c r="F38" s="39">
        <f t="shared" si="1"/>
        <v>0.17824074074074064</v>
      </c>
      <c r="G38" s="39">
        <f t="shared" si="2"/>
        <v>9.2592592592592674E-3</v>
      </c>
      <c r="H38" s="40">
        <f t="shared" si="3"/>
        <v>1.1574074074074032E-2</v>
      </c>
    </row>
    <row r="39" spans="1:19" ht="15.75" thickBot="1" x14ac:dyDescent="0.3">
      <c r="A39" s="58" t="s">
        <v>153</v>
      </c>
      <c r="B39" s="70">
        <v>17.600000000000001</v>
      </c>
      <c r="C39" s="52">
        <v>21.24</v>
      </c>
      <c r="D39" s="39">
        <v>17.559999999999999</v>
      </c>
      <c r="E39" s="70">
        <v>17.239999999999998</v>
      </c>
      <c r="F39" s="39">
        <f t="shared" si="1"/>
        <v>0.20681818181818162</v>
      </c>
      <c r="G39" s="39">
        <f t="shared" si="2"/>
        <v>-2.2727272727274261E-3</v>
      </c>
      <c r="H39" s="40">
        <f t="shared" si="3"/>
        <v>-2.0454545454545621E-2</v>
      </c>
      <c r="K39" s="103" t="s">
        <v>715</v>
      </c>
      <c r="L39" s="104"/>
      <c r="M39" s="104"/>
      <c r="N39" s="41"/>
    </row>
    <row r="40" spans="1:19" ht="15.75" thickBot="1" x14ac:dyDescent="0.3">
      <c r="A40" s="58" t="s">
        <v>154</v>
      </c>
      <c r="B40" s="70">
        <v>23.8</v>
      </c>
      <c r="C40" s="52">
        <v>26.04</v>
      </c>
      <c r="D40" s="39">
        <v>23.96</v>
      </c>
      <c r="E40" s="70">
        <v>22.68</v>
      </c>
      <c r="F40" s="39">
        <f t="shared" si="1"/>
        <v>9.4117647058823459E-2</v>
      </c>
      <c r="G40" s="39">
        <f t="shared" si="2"/>
        <v>6.7226890756302577E-3</v>
      </c>
      <c r="H40" s="40">
        <f t="shared" si="3"/>
        <v>-4.7058823529411806E-2</v>
      </c>
      <c r="J40" s="46" t="s">
        <v>713</v>
      </c>
      <c r="K40" s="46" t="s">
        <v>699</v>
      </c>
      <c r="L40" s="46" t="s">
        <v>696</v>
      </c>
      <c r="M40" s="46" t="s">
        <v>702</v>
      </c>
    </row>
    <row r="41" spans="1:19" x14ac:dyDescent="0.25">
      <c r="A41" s="58" t="s">
        <v>155</v>
      </c>
      <c r="B41" s="70">
        <v>24.28</v>
      </c>
      <c r="C41" s="52">
        <v>26.32</v>
      </c>
      <c r="D41" s="39">
        <v>23.64</v>
      </c>
      <c r="E41" s="70">
        <v>22.84</v>
      </c>
      <c r="F41" s="39">
        <f t="shared" si="1"/>
        <v>8.4019769357495847E-2</v>
      </c>
      <c r="G41" s="39">
        <f t="shared" si="2"/>
        <v>-2.6359143327841866E-2</v>
      </c>
      <c r="H41" s="40">
        <f t="shared" si="3"/>
        <v>-5.9308072487644199E-2</v>
      </c>
      <c r="J41" s="82">
        <v>20</v>
      </c>
      <c r="K41" s="51">
        <f>AVERAGE(LNS!O127)</f>
        <v>9.1999999999999998E-3</v>
      </c>
      <c r="L41" s="37">
        <f>AVERAGE(SVC!O127)</f>
        <v>3.8899999999999997E-2</v>
      </c>
      <c r="M41" s="38">
        <f>AVERAGE('SVC VND'!O127)</f>
        <v>3.85E-2</v>
      </c>
    </row>
    <row r="42" spans="1:19" x14ac:dyDescent="0.25">
      <c r="A42" s="58" t="s">
        <v>156</v>
      </c>
      <c r="B42" s="70">
        <v>30.44</v>
      </c>
      <c r="C42" s="52">
        <v>31.76</v>
      </c>
      <c r="D42" s="39">
        <v>30.12</v>
      </c>
      <c r="E42" s="70">
        <v>28.36</v>
      </c>
      <c r="F42" s="39">
        <f t="shared" si="1"/>
        <v>4.3363994743758218E-2</v>
      </c>
      <c r="G42" s="39">
        <f t="shared" si="2"/>
        <v>-1.0512483574244424E-2</v>
      </c>
      <c r="H42" s="40">
        <f t="shared" si="3"/>
        <v>-6.8331143232588751E-2</v>
      </c>
      <c r="J42" s="83">
        <v>40</v>
      </c>
      <c r="K42" s="52">
        <f>AVERAGE(LNS!O128:O130)</f>
        <v>3.8800000000000001E-2</v>
      </c>
      <c r="L42" s="39">
        <f>AVERAGE(SVC!O128:O130)</f>
        <v>0.12766666666666668</v>
      </c>
      <c r="M42" s="40">
        <f>AVERAGE('SVC VND'!O128:O130)</f>
        <v>0.1275</v>
      </c>
    </row>
    <row r="43" spans="1:19" x14ac:dyDescent="0.25">
      <c r="A43" s="58" t="s">
        <v>157</v>
      </c>
      <c r="B43" s="70">
        <v>26.56</v>
      </c>
      <c r="C43" s="52">
        <v>28.96</v>
      </c>
      <c r="D43" s="39">
        <v>26.72</v>
      </c>
      <c r="E43" s="70">
        <v>25.6</v>
      </c>
      <c r="F43" s="39">
        <f t="shared" si="1"/>
        <v>9.0361445783132613E-2</v>
      </c>
      <c r="G43" s="39">
        <f t="shared" si="2"/>
        <v>6.0240963855421742E-3</v>
      </c>
      <c r="H43" s="40">
        <f t="shared" si="3"/>
        <v>-3.6144578313252913E-2</v>
      </c>
      <c r="J43" s="83">
        <v>60</v>
      </c>
      <c r="K43" s="52">
        <f>AVERAGE(LNS!O131:O139)</f>
        <v>9.0444444444444452E-2</v>
      </c>
      <c r="L43" s="39">
        <f>AVERAGE(SVC!O131:O139)</f>
        <v>0.3060222222222222</v>
      </c>
      <c r="M43" s="40">
        <f>AVERAGE('SVC VND'!O131:O139)</f>
        <v>0.2911555555555555</v>
      </c>
    </row>
    <row r="44" spans="1:19" x14ac:dyDescent="0.25">
      <c r="A44" s="58" t="s">
        <v>158</v>
      </c>
      <c r="B44" s="70">
        <v>25.6</v>
      </c>
      <c r="C44" s="52">
        <v>28.44</v>
      </c>
      <c r="D44" s="39">
        <v>25.28</v>
      </c>
      <c r="E44" s="70">
        <v>24.32</v>
      </c>
      <c r="F44" s="39">
        <f t="shared" si="1"/>
        <v>0.11093749999999999</v>
      </c>
      <c r="G44" s="39">
        <f t="shared" si="2"/>
        <v>-1.2500000000000011E-2</v>
      </c>
      <c r="H44" s="40">
        <f t="shared" si="3"/>
        <v>-5.0000000000000044E-2</v>
      </c>
      <c r="J44" s="83">
        <v>80</v>
      </c>
      <c r="K44" s="52">
        <f>AVERAGE(LNS!O140:O142)</f>
        <v>0.15839999999999999</v>
      </c>
      <c r="L44" s="39">
        <f>AVERAGE(SVC!O140:O142)</f>
        <v>0.46600000000000003</v>
      </c>
      <c r="M44" s="40">
        <f>AVERAGE('SVC VND'!O140:O142)</f>
        <v>0.4855666666666667</v>
      </c>
    </row>
    <row r="45" spans="1:19" x14ac:dyDescent="0.25">
      <c r="A45" s="58" t="s">
        <v>159</v>
      </c>
      <c r="B45" s="70">
        <v>21.72</v>
      </c>
      <c r="C45" s="52">
        <v>25.12</v>
      </c>
      <c r="D45" s="39">
        <v>21.88</v>
      </c>
      <c r="E45" s="70">
        <v>21.24</v>
      </c>
      <c r="F45" s="39">
        <f t="shared" si="1"/>
        <v>0.1565377532228362</v>
      </c>
      <c r="G45" s="39">
        <f t="shared" si="2"/>
        <v>7.3664825046040588E-3</v>
      </c>
      <c r="H45" s="40">
        <f t="shared" si="3"/>
        <v>-2.2099447513812175E-2</v>
      </c>
      <c r="J45" s="83">
        <v>100</v>
      </c>
      <c r="K45" s="52">
        <f>AVERAGE(LNS!O143:O146)</f>
        <v>0.2923</v>
      </c>
      <c r="L45" s="39">
        <f>AVERAGE(SVC!O143:O146)</f>
        <v>0.72435000000000005</v>
      </c>
      <c r="M45" s="40">
        <f>AVERAGE('SVC VND'!O143:O146)</f>
        <v>0.73387500000000017</v>
      </c>
    </row>
    <row r="46" spans="1:19" x14ac:dyDescent="0.25">
      <c r="A46" s="58" t="s">
        <v>160</v>
      </c>
      <c r="B46" s="70">
        <v>27.16</v>
      </c>
      <c r="C46" s="52">
        <v>29.76</v>
      </c>
      <c r="D46" s="39">
        <v>26.68</v>
      </c>
      <c r="E46" s="70">
        <v>25.68</v>
      </c>
      <c r="F46" s="39">
        <f t="shared" si="1"/>
        <v>9.5729013254786499E-2</v>
      </c>
      <c r="G46" s="39">
        <f t="shared" si="2"/>
        <v>-1.7673048600883669E-2</v>
      </c>
      <c r="H46" s="40">
        <f t="shared" si="3"/>
        <v>-5.449189985272461E-2</v>
      </c>
      <c r="J46" s="83">
        <v>120</v>
      </c>
      <c r="K46" s="52">
        <f>AVERAGE(LNS!O147:O156)</f>
        <v>0.49363999999999997</v>
      </c>
      <c r="L46" s="39">
        <f>AVERAGE(SVC!O147:O156)</f>
        <v>1.2500699999999998</v>
      </c>
      <c r="M46" s="40">
        <f>AVERAGE('SVC VND'!O147:O156)</f>
        <v>1.2318900000000002</v>
      </c>
    </row>
    <row r="47" spans="1:19" x14ac:dyDescent="0.25">
      <c r="A47" s="58" t="s">
        <v>161</v>
      </c>
      <c r="B47" s="70">
        <v>22.92</v>
      </c>
      <c r="C47" s="52">
        <v>25.48</v>
      </c>
      <c r="D47" s="39">
        <v>22.92</v>
      </c>
      <c r="E47" s="70">
        <v>21.96</v>
      </c>
      <c r="F47" s="39">
        <f t="shared" si="1"/>
        <v>0.1116928446771378</v>
      </c>
      <c r="G47" s="39">
        <f t="shared" si="2"/>
        <v>0</v>
      </c>
      <c r="H47" s="40">
        <f t="shared" si="3"/>
        <v>-4.1884816753926739E-2</v>
      </c>
      <c r="J47" s="83">
        <v>140</v>
      </c>
      <c r="K47" s="52">
        <f>AVERAGE(LNS!O157:O159)</f>
        <v>0.79303333333333337</v>
      </c>
      <c r="L47" s="39">
        <f>AVERAGE(SVC!O157:O159)</f>
        <v>1.7302999999999999</v>
      </c>
      <c r="M47" s="40">
        <f>AVERAGE('SVC VND'!O157:O159)</f>
        <v>2.4495666666666662</v>
      </c>
    </row>
    <row r="48" spans="1:19" x14ac:dyDescent="0.25">
      <c r="A48" s="58" t="s">
        <v>162</v>
      </c>
      <c r="B48" s="70">
        <v>24.12</v>
      </c>
      <c r="C48" s="52">
        <v>25.24</v>
      </c>
      <c r="D48" s="39">
        <v>24.28</v>
      </c>
      <c r="E48" s="70">
        <v>21.56</v>
      </c>
      <c r="F48" s="39">
        <f t="shared" si="1"/>
        <v>4.6434494195688118E-2</v>
      </c>
      <c r="G48" s="39">
        <f t="shared" si="2"/>
        <v>6.633499170812609E-3</v>
      </c>
      <c r="H48" s="40">
        <f t="shared" si="3"/>
        <v>-0.10613598673300174</v>
      </c>
      <c r="J48" s="83">
        <v>160</v>
      </c>
      <c r="K48" s="52">
        <f>AVERAGE(LNS!O160:O166)</f>
        <v>1.1321000000000001</v>
      </c>
      <c r="L48" s="39">
        <f>AVERAGE(SVC!O160:O166)</f>
        <v>2.4327857142857141</v>
      </c>
      <c r="M48" s="40">
        <f>AVERAGE('SVC VND'!O160:O166)</f>
        <v>2.3831714285714289</v>
      </c>
      <c r="P48" s="86"/>
    </row>
    <row r="49" spans="1:14" x14ac:dyDescent="0.25">
      <c r="A49" s="58" t="s">
        <v>163</v>
      </c>
      <c r="B49" s="70">
        <v>25.72</v>
      </c>
      <c r="C49" s="52">
        <v>26.64</v>
      </c>
      <c r="D49" s="39">
        <v>25.36</v>
      </c>
      <c r="E49" s="70">
        <v>23.6</v>
      </c>
      <c r="F49" s="39">
        <f t="shared" si="1"/>
        <v>3.5769828926905202E-2</v>
      </c>
      <c r="G49" s="39">
        <f t="shared" si="2"/>
        <v>-1.3996889580093291E-2</v>
      </c>
      <c r="H49" s="40">
        <f t="shared" si="3"/>
        <v>-8.2426127527216078E-2</v>
      </c>
      <c r="J49" s="83">
        <v>180</v>
      </c>
      <c r="K49" s="52">
        <f>AVERAGE(LNS!O167:O171)</f>
        <v>1.56524</v>
      </c>
      <c r="L49" s="39">
        <f>AVERAGE(SVC!O167:O171)</f>
        <v>3.6065200000000006</v>
      </c>
      <c r="M49" s="40">
        <f>AVERAGE('SVC VND'!O167:O171)</f>
        <v>3.7151200000000002</v>
      </c>
    </row>
    <row r="50" spans="1:14" ht="15.75" thickBot="1" x14ac:dyDescent="0.3">
      <c r="A50" s="58" t="s">
        <v>164</v>
      </c>
      <c r="B50" s="70">
        <v>30.12</v>
      </c>
      <c r="C50" s="52">
        <v>32.520000000000003</v>
      </c>
      <c r="D50" s="39">
        <v>29.96</v>
      </c>
      <c r="E50" s="70">
        <v>29.96</v>
      </c>
      <c r="F50" s="39">
        <f t="shared" si="1"/>
        <v>7.9681274900398474E-2</v>
      </c>
      <c r="G50" s="39">
        <f t="shared" si="2"/>
        <v>-5.3120849933598986E-3</v>
      </c>
      <c r="H50" s="40">
        <f t="shared" si="3"/>
        <v>-5.3120849933598986E-3</v>
      </c>
      <c r="J50" s="84">
        <v>200</v>
      </c>
      <c r="K50" s="53">
        <f>AVERAGE(LNS!O172:O179)</f>
        <v>1.9521750000000002</v>
      </c>
      <c r="L50" s="43">
        <f>AVERAGE(SVC!O172:O179)</f>
        <v>5.079275</v>
      </c>
      <c r="M50" s="44">
        <f>AVERAGE('SVC VND'!O172:O179)</f>
        <v>5.0856125000000008</v>
      </c>
    </row>
    <row r="51" spans="1:14" x14ac:dyDescent="0.25">
      <c r="A51" s="58" t="s">
        <v>165</v>
      </c>
      <c r="B51" s="70">
        <v>29.32</v>
      </c>
      <c r="C51" s="52">
        <v>33</v>
      </c>
      <c r="D51" s="39">
        <v>29.8</v>
      </c>
      <c r="E51" s="70">
        <v>28.52</v>
      </c>
      <c r="F51" s="39">
        <f t="shared" si="1"/>
        <v>0.12551159618008184</v>
      </c>
      <c r="G51" s="39">
        <f t="shared" si="2"/>
        <v>1.6371077762619386E-2</v>
      </c>
      <c r="H51" s="40">
        <f t="shared" si="3"/>
        <v>-2.7285129604365646E-2</v>
      </c>
    </row>
    <row r="52" spans="1:14" ht="15.75" thickBot="1" x14ac:dyDescent="0.3">
      <c r="A52" s="58" t="s">
        <v>166</v>
      </c>
      <c r="B52" s="70">
        <v>18.8</v>
      </c>
      <c r="C52" s="52">
        <v>22.68</v>
      </c>
      <c r="D52" s="39">
        <v>19.12</v>
      </c>
      <c r="E52" s="70">
        <v>17.36</v>
      </c>
      <c r="F52" s="39">
        <f t="shared" si="1"/>
        <v>0.20638297872340419</v>
      </c>
      <c r="G52" s="39">
        <f t="shared" si="2"/>
        <v>1.7021276595744695E-2</v>
      </c>
      <c r="H52" s="40">
        <f t="shared" si="3"/>
        <v>-7.6595744680851133E-2</v>
      </c>
    </row>
    <row r="53" spans="1:14" ht="15.75" thickBot="1" x14ac:dyDescent="0.3">
      <c r="A53" s="58" t="s">
        <v>167</v>
      </c>
      <c r="B53" s="70">
        <v>26.04</v>
      </c>
      <c r="C53" s="52">
        <v>28.84</v>
      </c>
      <c r="D53" s="39">
        <v>25.72</v>
      </c>
      <c r="E53" s="70">
        <v>23.96</v>
      </c>
      <c r="F53" s="39">
        <f t="shared" si="1"/>
        <v>0.10752688172043014</v>
      </c>
      <c r="G53" s="39">
        <f t="shared" si="2"/>
        <v>-1.2288786482334882E-2</v>
      </c>
      <c r="H53" s="40">
        <f t="shared" si="3"/>
        <v>-7.9877112135176592E-2</v>
      </c>
      <c r="K53" s="103" t="s">
        <v>716</v>
      </c>
      <c r="L53" s="104"/>
      <c r="M53" s="104"/>
      <c r="N53" s="41"/>
    </row>
    <row r="54" spans="1:14" ht="15.75" thickBot="1" x14ac:dyDescent="0.3">
      <c r="A54" s="58" t="s">
        <v>168</v>
      </c>
      <c r="B54" s="70">
        <v>28.64</v>
      </c>
      <c r="C54" s="52">
        <v>32.6</v>
      </c>
      <c r="D54" s="39">
        <v>29.28</v>
      </c>
      <c r="E54" s="70">
        <v>26.4</v>
      </c>
      <c r="F54" s="39">
        <f t="shared" si="1"/>
        <v>0.13826815642458104</v>
      </c>
      <c r="G54" s="39">
        <f t="shared" si="2"/>
        <v>2.2346368715083817E-2</v>
      </c>
      <c r="H54" s="40">
        <f t="shared" si="3"/>
        <v>-7.8212290502793366E-2</v>
      </c>
      <c r="J54" s="46" t="s">
        <v>713</v>
      </c>
      <c r="K54" s="46" t="s">
        <v>699</v>
      </c>
      <c r="L54" s="46" t="s">
        <v>696</v>
      </c>
      <c r="M54" s="46" t="s">
        <v>702</v>
      </c>
    </row>
    <row r="55" spans="1:14" x14ac:dyDescent="0.25">
      <c r="A55" s="58" t="s">
        <v>169</v>
      </c>
      <c r="B55" s="70">
        <v>25.12</v>
      </c>
      <c r="C55" s="52">
        <v>28.68</v>
      </c>
      <c r="D55" s="39">
        <v>24.64</v>
      </c>
      <c r="E55" s="70">
        <v>23.52</v>
      </c>
      <c r="F55" s="39">
        <f t="shared" si="1"/>
        <v>0.14171974522292988</v>
      </c>
      <c r="G55" s="39">
        <f t="shared" si="2"/>
        <v>-1.9108280254777087E-2</v>
      </c>
      <c r="H55" s="40">
        <f t="shared" si="3"/>
        <v>-6.3694267515923622E-2</v>
      </c>
      <c r="J55" s="82">
        <v>50</v>
      </c>
      <c r="K55" s="51">
        <f>AVERAGE(LNS!O420:O539)</f>
        <v>6.8803333333333341E-2</v>
      </c>
      <c r="L55" s="37">
        <f>AVERAGE(SVC!O420:O539)</f>
        <v>7.2429166666666628E-2</v>
      </c>
      <c r="M55" s="38">
        <f>AVERAGE('SVC VND'!O420:O539)</f>
        <v>7.2425833333333356E-2</v>
      </c>
    </row>
    <row r="56" spans="1:14" x14ac:dyDescent="0.25">
      <c r="A56" s="58" t="s">
        <v>170</v>
      </c>
      <c r="B56" s="70">
        <v>28.2</v>
      </c>
      <c r="C56" s="52">
        <v>32.159999999999997</v>
      </c>
      <c r="D56" s="39">
        <v>28.48</v>
      </c>
      <c r="E56" s="70">
        <v>26.08</v>
      </c>
      <c r="F56" s="39">
        <f t="shared" si="1"/>
        <v>0.14042553191489351</v>
      </c>
      <c r="G56" s="39">
        <f t="shared" si="2"/>
        <v>9.9290780141844375E-3</v>
      </c>
      <c r="H56" s="40">
        <f t="shared" si="3"/>
        <v>-7.5177304964539046E-2</v>
      </c>
      <c r="J56" s="83">
        <v>100</v>
      </c>
      <c r="K56" s="52">
        <f>AVERAGE(LNS!O180:O299)</f>
        <v>0.33718666666666658</v>
      </c>
      <c r="L56" s="39">
        <f>AVERAGE(SVC!O180:O299)</f>
        <v>0.28671083333333336</v>
      </c>
      <c r="M56" s="40">
        <f>AVERAGE('SVC VND'!O180:O299)</f>
        <v>0.2843783333333334</v>
      </c>
    </row>
    <row r="57" spans="1:14" ht="15.75" thickBot="1" x14ac:dyDescent="0.3">
      <c r="A57" s="58" t="s">
        <v>171</v>
      </c>
      <c r="B57" s="70">
        <v>29.04</v>
      </c>
      <c r="C57" s="52">
        <v>31.16</v>
      </c>
      <c r="D57" s="39">
        <v>28.68</v>
      </c>
      <c r="E57" s="70">
        <v>27.12</v>
      </c>
      <c r="F57" s="39">
        <f t="shared" si="1"/>
        <v>7.3002754820936669E-2</v>
      </c>
      <c r="G57" s="39">
        <f t="shared" si="2"/>
        <v>-1.2396694214876014E-2</v>
      </c>
      <c r="H57" s="40">
        <f t="shared" si="3"/>
        <v>-6.6115702479338775E-2</v>
      </c>
      <c r="J57" s="84">
        <v>200</v>
      </c>
      <c r="K57" s="53">
        <f>AVERAGE(LNS!O300:O419)</f>
        <v>2.0619133333333322</v>
      </c>
      <c r="L57" s="43">
        <f>AVERAGE(SVC!O300:O419)</f>
        <v>1.2348833333333338</v>
      </c>
      <c r="M57" s="44">
        <f>AVERAGE('SVC VND'!O300:O419)</f>
        <v>1.2808783333333327</v>
      </c>
    </row>
    <row r="58" spans="1:14" x14ac:dyDescent="0.25">
      <c r="A58" s="58" t="s">
        <v>172</v>
      </c>
      <c r="B58" s="70">
        <v>24.72</v>
      </c>
      <c r="C58" s="52">
        <v>27.32</v>
      </c>
      <c r="D58" s="40">
        <v>24.88</v>
      </c>
      <c r="E58" s="70">
        <v>23.76</v>
      </c>
      <c r="F58" s="52">
        <f t="shared" si="1"/>
        <v>0.10517799352750816</v>
      </c>
      <c r="G58" s="39">
        <f t="shared" si="2"/>
        <v>6.4724919093851196E-3</v>
      </c>
      <c r="H58" s="40">
        <f t="shared" si="3"/>
        <v>-3.8834951456310572E-2</v>
      </c>
    </row>
    <row r="59" spans="1:14" ht="15.75" thickBot="1" x14ac:dyDescent="0.3">
      <c r="A59" s="59" t="s">
        <v>173</v>
      </c>
      <c r="B59" s="71">
        <v>36.44</v>
      </c>
      <c r="C59" s="53">
        <v>40.68</v>
      </c>
      <c r="D59" s="72">
        <v>36.28</v>
      </c>
      <c r="E59" s="71">
        <v>35.6</v>
      </c>
      <c r="F59" s="43">
        <f t="shared" si="1"/>
        <v>0.11635565312843035</v>
      </c>
      <c r="G59" s="43">
        <f>(D59-B59)/B59</f>
        <v>-4.3907793633368988E-3</v>
      </c>
      <c r="H59" s="44">
        <f t="shared" si="3"/>
        <v>-2.3051591657519108E-2</v>
      </c>
    </row>
    <row r="60" spans="1:14" x14ac:dyDescent="0.25">
      <c r="A60" s="60" t="s">
        <v>174</v>
      </c>
      <c r="B60" s="48">
        <v>10.039999999999999</v>
      </c>
      <c r="C60" s="51">
        <v>10.16</v>
      </c>
      <c r="D60" s="37">
        <v>9.84</v>
      </c>
      <c r="E60" s="48">
        <v>9.84</v>
      </c>
      <c r="F60" s="37">
        <f t="shared" si="1"/>
        <v>1.1952191235059861E-2</v>
      </c>
      <c r="G60" s="39">
        <f>(D60-B60)/B60</f>
        <v>-1.9920318725099532E-2</v>
      </c>
      <c r="H60" s="38">
        <f t="shared" si="3"/>
        <v>-1.9920318725099532E-2</v>
      </c>
    </row>
    <row r="61" spans="1:14" x14ac:dyDescent="0.25">
      <c r="A61" s="61" t="s">
        <v>175</v>
      </c>
      <c r="B61" s="70">
        <v>9.56</v>
      </c>
      <c r="C61" s="52">
        <v>11.04</v>
      </c>
      <c r="D61" s="39">
        <v>9.4</v>
      </c>
      <c r="E61" s="70">
        <v>9.4</v>
      </c>
      <c r="F61" s="39">
        <f t="shared" si="1"/>
        <v>0.1548117154811714</v>
      </c>
      <c r="G61" s="39">
        <f t="shared" ref="G61:G124" si="15">(D61-B61)/B61</f>
        <v>-1.673640167364018E-2</v>
      </c>
      <c r="H61" s="40">
        <f t="shared" si="3"/>
        <v>-1.673640167364018E-2</v>
      </c>
    </row>
    <row r="62" spans="1:14" x14ac:dyDescent="0.25">
      <c r="A62" s="61" t="s">
        <v>176</v>
      </c>
      <c r="B62" s="70">
        <v>10.28</v>
      </c>
      <c r="C62" s="52">
        <v>12.16</v>
      </c>
      <c r="D62" s="39">
        <v>10.119999999999999</v>
      </c>
      <c r="E62" s="70">
        <v>10.119999999999999</v>
      </c>
      <c r="F62" s="39">
        <f t="shared" si="1"/>
        <v>0.18287937743190671</v>
      </c>
      <c r="G62" s="39">
        <f t="shared" si="15"/>
        <v>-1.5564202334630364E-2</v>
      </c>
      <c r="H62" s="40">
        <f t="shared" si="3"/>
        <v>-1.5564202334630364E-2</v>
      </c>
    </row>
    <row r="63" spans="1:14" x14ac:dyDescent="0.25">
      <c r="A63" s="61" t="s">
        <v>177</v>
      </c>
      <c r="B63" s="70">
        <v>9.9600000000000009</v>
      </c>
      <c r="C63" s="52">
        <v>10.36</v>
      </c>
      <c r="D63" s="39">
        <v>9.8000000000000007</v>
      </c>
      <c r="E63" s="70">
        <v>9.8000000000000007</v>
      </c>
      <c r="F63" s="39">
        <f t="shared" si="1"/>
        <v>4.0160642570280979E-2</v>
      </c>
      <c r="G63" s="39">
        <f t="shared" si="15"/>
        <v>-1.6064257028112462E-2</v>
      </c>
      <c r="H63" s="40">
        <f t="shared" si="3"/>
        <v>-1.6064257028112462E-2</v>
      </c>
    </row>
    <row r="64" spans="1:14" x14ac:dyDescent="0.25">
      <c r="A64" s="61" t="s">
        <v>178</v>
      </c>
      <c r="B64" s="70">
        <v>9.8000000000000007</v>
      </c>
      <c r="C64" s="52">
        <v>10.52</v>
      </c>
      <c r="D64" s="39">
        <v>9.8000000000000007</v>
      </c>
      <c r="E64" s="70">
        <v>9.8000000000000007</v>
      </c>
      <c r="F64" s="39">
        <f t="shared" si="1"/>
        <v>7.3469387755101923E-2</v>
      </c>
      <c r="G64" s="39">
        <f t="shared" si="15"/>
        <v>0</v>
      </c>
      <c r="H64" s="40">
        <f t="shared" si="3"/>
        <v>0</v>
      </c>
    </row>
    <row r="65" spans="1:8" x14ac:dyDescent="0.25">
      <c r="A65" s="61" t="s">
        <v>179</v>
      </c>
      <c r="B65" s="70">
        <v>13.6</v>
      </c>
      <c r="C65" s="52">
        <v>14</v>
      </c>
      <c r="D65" s="39">
        <v>12.64</v>
      </c>
      <c r="E65" s="70">
        <v>12.6</v>
      </c>
      <c r="F65" s="39">
        <f t="shared" si="1"/>
        <v>2.941176470588238E-2</v>
      </c>
      <c r="G65" s="39">
        <f t="shared" si="15"/>
        <v>-7.0588235294117577E-2</v>
      </c>
      <c r="H65" s="40">
        <f t="shared" si="3"/>
        <v>-7.3529411764705885E-2</v>
      </c>
    </row>
    <row r="66" spans="1:8" x14ac:dyDescent="0.25">
      <c r="A66" s="61" t="s">
        <v>180</v>
      </c>
      <c r="B66" s="70">
        <v>11.88</v>
      </c>
      <c r="C66" s="52">
        <v>12.2</v>
      </c>
      <c r="D66" s="39">
        <v>11.72</v>
      </c>
      <c r="E66" s="70">
        <v>11.72</v>
      </c>
      <c r="F66" s="39">
        <f t="shared" si="1"/>
        <v>2.693602693602681E-2</v>
      </c>
      <c r="G66" s="39">
        <f t="shared" si="15"/>
        <v>-1.346801346801348E-2</v>
      </c>
      <c r="H66" s="40">
        <f t="shared" si="3"/>
        <v>-1.346801346801348E-2</v>
      </c>
    </row>
    <row r="67" spans="1:8" x14ac:dyDescent="0.25">
      <c r="A67" s="61" t="s">
        <v>181</v>
      </c>
      <c r="B67" s="70">
        <v>11.64</v>
      </c>
      <c r="C67" s="52">
        <v>11.56</v>
      </c>
      <c r="D67" s="39">
        <v>10.8</v>
      </c>
      <c r="E67" s="70">
        <v>10.68</v>
      </c>
      <c r="F67" s="39">
        <f t="shared" si="1"/>
        <v>-6.8728522336769819E-3</v>
      </c>
      <c r="G67" s="39">
        <f t="shared" si="15"/>
        <v>-7.2164948453608227E-2</v>
      </c>
      <c r="H67" s="40">
        <f t="shared" si="3"/>
        <v>-8.2474226804123779E-2</v>
      </c>
    </row>
    <row r="68" spans="1:8" x14ac:dyDescent="0.25">
      <c r="A68" s="61" t="s">
        <v>182</v>
      </c>
      <c r="B68" s="70">
        <v>11.32</v>
      </c>
      <c r="C68" s="52">
        <v>11.92</v>
      </c>
      <c r="D68" s="39">
        <v>11.32</v>
      </c>
      <c r="E68" s="70">
        <v>11.32</v>
      </c>
      <c r="F68" s="39">
        <f t="shared" si="1"/>
        <v>5.3003533568904561E-2</v>
      </c>
      <c r="G68" s="39">
        <f t="shared" si="15"/>
        <v>0</v>
      </c>
      <c r="H68" s="40">
        <f t="shared" si="3"/>
        <v>0</v>
      </c>
    </row>
    <row r="69" spans="1:8" x14ac:dyDescent="0.25">
      <c r="A69" s="61" t="s">
        <v>183</v>
      </c>
      <c r="B69" s="70">
        <v>11.56</v>
      </c>
      <c r="C69" s="52">
        <v>11.48</v>
      </c>
      <c r="D69" s="39">
        <v>10.88</v>
      </c>
      <c r="E69" s="70">
        <v>10.88</v>
      </c>
      <c r="F69" s="39">
        <f t="shared" si="1"/>
        <v>-6.9204152249135011E-3</v>
      </c>
      <c r="G69" s="39">
        <f t="shared" si="15"/>
        <v>-5.8823529411764677E-2</v>
      </c>
      <c r="H69" s="40">
        <f t="shared" si="3"/>
        <v>-5.8823529411764677E-2</v>
      </c>
    </row>
    <row r="70" spans="1:8" x14ac:dyDescent="0.25">
      <c r="A70" s="61" t="s">
        <v>184</v>
      </c>
      <c r="B70" s="70">
        <v>13.44</v>
      </c>
      <c r="C70" s="52">
        <v>13.4</v>
      </c>
      <c r="D70" s="39">
        <v>12.8</v>
      </c>
      <c r="E70" s="70">
        <v>12.16</v>
      </c>
      <c r="F70" s="39">
        <f t="shared" si="1"/>
        <v>-2.9761904761904127E-3</v>
      </c>
      <c r="G70" s="39">
        <f t="shared" si="15"/>
        <v>-4.7619047619047533E-2</v>
      </c>
      <c r="H70" s="40">
        <f t="shared" si="3"/>
        <v>-9.5238095238095191E-2</v>
      </c>
    </row>
    <row r="71" spans="1:8" x14ac:dyDescent="0.25">
      <c r="A71" s="61" t="s">
        <v>185</v>
      </c>
      <c r="B71" s="70">
        <v>11.4</v>
      </c>
      <c r="C71" s="52">
        <v>11.48</v>
      </c>
      <c r="D71" s="39">
        <v>11.24</v>
      </c>
      <c r="E71" s="70">
        <v>11.08</v>
      </c>
      <c r="F71" s="39">
        <f t="shared" si="1"/>
        <v>7.017543859649129E-3</v>
      </c>
      <c r="G71" s="39">
        <f t="shared" si="15"/>
        <v>-1.4035087719298258E-2</v>
      </c>
      <c r="H71" s="40">
        <f t="shared" si="3"/>
        <v>-2.8070175438596516E-2</v>
      </c>
    </row>
    <row r="72" spans="1:8" x14ac:dyDescent="0.25">
      <c r="A72" s="61" t="s">
        <v>186</v>
      </c>
      <c r="B72" s="70">
        <v>11.32</v>
      </c>
      <c r="C72" s="52">
        <v>11.08</v>
      </c>
      <c r="D72" s="39">
        <v>10.68</v>
      </c>
      <c r="E72" s="70">
        <v>10.68</v>
      </c>
      <c r="F72" s="39">
        <f t="shared" ref="F72:F135" si="16">(C72-B72)/B72</f>
        <v>-2.1201413427561856E-2</v>
      </c>
      <c r="G72" s="39">
        <f t="shared" si="15"/>
        <v>-5.6537102473498281E-2</v>
      </c>
      <c r="H72" s="40">
        <f t="shared" ref="H72:H135" si="17">(E72-B72)/B72</f>
        <v>-5.6537102473498281E-2</v>
      </c>
    </row>
    <row r="73" spans="1:8" x14ac:dyDescent="0.25">
      <c r="A73" s="61" t="s">
        <v>187</v>
      </c>
      <c r="B73" s="70">
        <v>12.04</v>
      </c>
      <c r="C73" s="52">
        <v>13.44</v>
      </c>
      <c r="D73" s="39">
        <v>12.04</v>
      </c>
      <c r="E73" s="70">
        <v>11.84</v>
      </c>
      <c r="F73" s="39">
        <f t="shared" si="16"/>
        <v>0.1162790697674419</v>
      </c>
      <c r="G73" s="39">
        <f t="shared" si="15"/>
        <v>0</v>
      </c>
      <c r="H73" s="40">
        <f t="shared" si="17"/>
        <v>-1.6611295681063065E-2</v>
      </c>
    </row>
    <row r="74" spans="1:8" x14ac:dyDescent="0.25">
      <c r="A74" s="61" t="s">
        <v>188</v>
      </c>
      <c r="B74" s="70">
        <v>13.56</v>
      </c>
      <c r="C74" s="52">
        <v>12.28</v>
      </c>
      <c r="D74" s="39">
        <v>12.24</v>
      </c>
      <c r="E74" s="70">
        <v>12.24</v>
      </c>
      <c r="F74" s="39">
        <f t="shared" si="16"/>
        <v>-9.4395280235988283E-2</v>
      </c>
      <c r="G74" s="39">
        <f t="shared" si="15"/>
        <v>-9.7345132743362844E-2</v>
      </c>
      <c r="H74" s="40">
        <f t="shared" si="17"/>
        <v>-9.7345132743362844E-2</v>
      </c>
    </row>
    <row r="75" spans="1:8" x14ac:dyDescent="0.25">
      <c r="A75" s="61" t="s">
        <v>189</v>
      </c>
      <c r="B75" s="70">
        <v>12.6</v>
      </c>
      <c r="C75" s="52">
        <v>12.08</v>
      </c>
      <c r="D75" s="39">
        <v>11.64</v>
      </c>
      <c r="E75" s="70">
        <v>11.64</v>
      </c>
      <c r="F75" s="39">
        <f t="shared" si="16"/>
        <v>-4.1269841269841234E-2</v>
      </c>
      <c r="G75" s="39">
        <f t="shared" si="15"/>
        <v>-7.6190476190476114E-2</v>
      </c>
      <c r="H75" s="40">
        <f t="shared" si="17"/>
        <v>-7.6190476190476114E-2</v>
      </c>
    </row>
    <row r="76" spans="1:8" x14ac:dyDescent="0.25">
      <c r="A76" s="61" t="s">
        <v>190</v>
      </c>
      <c r="B76" s="70">
        <v>10.039999999999999</v>
      </c>
      <c r="C76" s="52">
        <v>10.76</v>
      </c>
      <c r="D76" s="39">
        <v>9.56</v>
      </c>
      <c r="E76" s="70">
        <v>9.56</v>
      </c>
      <c r="F76" s="39">
        <f t="shared" si="16"/>
        <v>7.1713147410358641E-2</v>
      </c>
      <c r="G76" s="39">
        <f t="shared" si="15"/>
        <v>-4.7808764940238911E-2</v>
      </c>
      <c r="H76" s="40">
        <f t="shared" si="17"/>
        <v>-4.7808764940238911E-2</v>
      </c>
    </row>
    <row r="77" spans="1:8" x14ac:dyDescent="0.25">
      <c r="A77" s="61" t="s">
        <v>191</v>
      </c>
      <c r="B77" s="70">
        <v>10.119999999999999</v>
      </c>
      <c r="C77" s="52">
        <v>10.56</v>
      </c>
      <c r="D77" s="39">
        <v>9.6</v>
      </c>
      <c r="E77" s="70">
        <v>9.76</v>
      </c>
      <c r="F77" s="39">
        <f t="shared" si="16"/>
        <v>4.3478260869565348E-2</v>
      </c>
      <c r="G77" s="39">
        <f t="shared" si="15"/>
        <v>-5.1383399209486126E-2</v>
      </c>
      <c r="H77" s="40">
        <f t="shared" si="17"/>
        <v>-3.5573122529644216E-2</v>
      </c>
    </row>
    <row r="78" spans="1:8" x14ac:dyDescent="0.25">
      <c r="A78" s="61" t="s">
        <v>192</v>
      </c>
      <c r="B78" s="70">
        <v>9.4</v>
      </c>
      <c r="C78" s="52">
        <v>10.24</v>
      </c>
      <c r="D78" s="39">
        <v>9.1999999999999993</v>
      </c>
      <c r="E78" s="70">
        <v>9.1999999999999993</v>
      </c>
      <c r="F78" s="39">
        <f t="shared" si="16"/>
        <v>8.9361702127659551E-2</v>
      </c>
      <c r="G78" s="39">
        <f t="shared" si="15"/>
        <v>-2.1276595744680965E-2</v>
      </c>
      <c r="H78" s="40">
        <f t="shared" si="17"/>
        <v>-2.1276595744680965E-2</v>
      </c>
    </row>
    <row r="79" spans="1:8" x14ac:dyDescent="0.25">
      <c r="A79" s="61" t="s">
        <v>193</v>
      </c>
      <c r="B79" s="70">
        <v>10.119999999999999</v>
      </c>
      <c r="C79" s="52">
        <v>10.84</v>
      </c>
      <c r="D79" s="39">
        <v>9.6</v>
      </c>
      <c r="E79" s="70">
        <v>9.6</v>
      </c>
      <c r="F79" s="39">
        <f t="shared" si="16"/>
        <v>7.1146245059288613E-2</v>
      </c>
      <c r="G79" s="39">
        <f t="shared" si="15"/>
        <v>-5.1383399209486126E-2</v>
      </c>
      <c r="H79" s="40">
        <f t="shared" si="17"/>
        <v>-5.1383399209486126E-2</v>
      </c>
    </row>
    <row r="80" spans="1:8" x14ac:dyDescent="0.25">
      <c r="A80" s="61" t="s">
        <v>194</v>
      </c>
      <c r="B80" s="70">
        <v>12.84</v>
      </c>
      <c r="C80" s="52">
        <v>13.6</v>
      </c>
      <c r="D80" s="39">
        <v>12.48</v>
      </c>
      <c r="E80" s="70">
        <v>12.32</v>
      </c>
      <c r="F80" s="39">
        <f t="shared" si="16"/>
        <v>5.9190031152647961E-2</v>
      </c>
      <c r="G80" s="39">
        <f t="shared" si="15"/>
        <v>-2.8037383177570048E-2</v>
      </c>
      <c r="H80" s="40">
        <f t="shared" si="17"/>
        <v>-4.0498442367601216E-2</v>
      </c>
    </row>
    <row r="81" spans="1:8" x14ac:dyDescent="0.25">
      <c r="A81" s="61" t="s">
        <v>195</v>
      </c>
      <c r="B81" s="70">
        <v>13.88</v>
      </c>
      <c r="C81" s="52">
        <v>15.56</v>
      </c>
      <c r="D81" s="39">
        <v>13.56</v>
      </c>
      <c r="E81" s="70">
        <v>13.56</v>
      </c>
      <c r="F81" s="39">
        <f t="shared" si="16"/>
        <v>0.12103746397694522</v>
      </c>
      <c r="G81" s="39">
        <f t="shared" si="15"/>
        <v>-2.3054755043227685E-2</v>
      </c>
      <c r="H81" s="40">
        <f t="shared" si="17"/>
        <v>-2.3054755043227685E-2</v>
      </c>
    </row>
    <row r="82" spans="1:8" x14ac:dyDescent="0.25">
      <c r="A82" s="61" t="s">
        <v>196</v>
      </c>
      <c r="B82" s="70">
        <v>10.039999999999999</v>
      </c>
      <c r="C82" s="52">
        <v>11.28</v>
      </c>
      <c r="D82" s="39">
        <v>9.7200000000000006</v>
      </c>
      <c r="E82" s="70">
        <v>9.68</v>
      </c>
      <c r="F82" s="39">
        <f t="shared" si="16"/>
        <v>0.12350597609561756</v>
      </c>
      <c r="G82" s="39">
        <f t="shared" si="15"/>
        <v>-3.1872509960159216E-2</v>
      </c>
      <c r="H82" s="40">
        <f t="shared" si="17"/>
        <v>-3.585657370517923E-2</v>
      </c>
    </row>
    <row r="83" spans="1:8" x14ac:dyDescent="0.25">
      <c r="A83" s="61" t="s">
        <v>197</v>
      </c>
      <c r="B83" s="70">
        <v>10.4</v>
      </c>
      <c r="C83" s="52">
        <v>11</v>
      </c>
      <c r="D83" s="39">
        <v>10.199999999999999</v>
      </c>
      <c r="E83" s="70">
        <v>10.199999999999999</v>
      </c>
      <c r="F83" s="39">
        <f t="shared" si="16"/>
        <v>5.7692307692307654E-2</v>
      </c>
      <c r="G83" s="39">
        <f t="shared" si="15"/>
        <v>-1.9230769230769332E-2</v>
      </c>
      <c r="H83" s="40">
        <f t="shared" si="17"/>
        <v>-1.9230769230769332E-2</v>
      </c>
    </row>
    <row r="84" spans="1:8" x14ac:dyDescent="0.25">
      <c r="A84" s="61" t="s">
        <v>198</v>
      </c>
      <c r="B84" s="70">
        <v>10.44</v>
      </c>
      <c r="C84" s="52">
        <v>11</v>
      </c>
      <c r="D84" s="39">
        <v>9.9600000000000009</v>
      </c>
      <c r="E84" s="70">
        <v>9.9600000000000009</v>
      </c>
      <c r="F84" s="39">
        <f t="shared" si="16"/>
        <v>5.3639846743295069E-2</v>
      </c>
      <c r="G84" s="39">
        <f t="shared" si="15"/>
        <v>-4.5977011494252748E-2</v>
      </c>
      <c r="H84" s="40">
        <f t="shared" si="17"/>
        <v>-4.5977011494252748E-2</v>
      </c>
    </row>
    <row r="85" spans="1:8" x14ac:dyDescent="0.25">
      <c r="A85" s="61" t="s">
        <v>199</v>
      </c>
      <c r="B85" s="70">
        <v>10.24</v>
      </c>
      <c r="C85" s="52">
        <v>12.6</v>
      </c>
      <c r="D85" s="39">
        <v>9.9600000000000009</v>
      </c>
      <c r="E85" s="70">
        <v>9.9600000000000009</v>
      </c>
      <c r="F85" s="39">
        <f t="shared" si="16"/>
        <v>0.23046874999999994</v>
      </c>
      <c r="G85" s="39">
        <f t="shared" si="15"/>
        <v>-2.7343749999999938E-2</v>
      </c>
      <c r="H85" s="40">
        <f t="shared" si="17"/>
        <v>-2.7343749999999938E-2</v>
      </c>
    </row>
    <row r="86" spans="1:8" x14ac:dyDescent="0.25">
      <c r="A86" s="61" t="s">
        <v>200</v>
      </c>
      <c r="B86" s="70">
        <v>12.4</v>
      </c>
      <c r="C86" s="52">
        <v>14.44</v>
      </c>
      <c r="D86" s="39">
        <v>11.92</v>
      </c>
      <c r="E86" s="70">
        <v>11.96</v>
      </c>
      <c r="F86" s="39">
        <f t="shared" si="16"/>
        <v>0.16451612903225799</v>
      </c>
      <c r="G86" s="39">
        <f t="shared" si="15"/>
        <v>-3.8709677419354875E-2</v>
      </c>
      <c r="H86" s="40">
        <f t="shared" si="17"/>
        <v>-3.5483870967741894E-2</v>
      </c>
    </row>
    <row r="87" spans="1:8" x14ac:dyDescent="0.25">
      <c r="A87" s="61" t="s">
        <v>201</v>
      </c>
      <c r="B87" s="70">
        <v>13.68</v>
      </c>
      <c r="C87" s="52">
        <v>13.48</v>
      </c>
      <c r="D87" s="39">
        <v>12.56</v>
      </c>
      <c r="E87" s="70">
        <v>12.56</v>
      </c>
      <c r="F87" s="39">
        <f t="shared" si="16"/>
        <v>-1.4619883040935621E-2</v>
      </c>
      <c r="G87" s="39">
        <f t="shared" si="15"/>
        <v>-8.1871345029239706E-2</v>
      </c>
      <c r="H87" s="40">
        <f t="shared" si="17"/>
        <v>-8.1871345029239706E-2</v>
      </c>
    </row>
    <row r="88" spans="1:8" x14ac:dyDescent="0.25">
      <c r="A88" s="61" t="s">
        <v>202</v>
      </c>
      <c r="B88" s="70">
        <v>12.24</v>
      </c>
      <c r="C88" s="52">
        <v>11.88</v>
      </c>
      <c r="D88" s="39">
        <v>11.28</v>
      </c>
      <c r="E88" s="70">
        <v>11.28</v>
      </c>
      <c r="F88" s="39">
        <f t="shared" si="16"/>
        <v>-2.9411764705882307E-2</v>
      </c>
      <c r="G88" s="39">
        <f t="shared" si="15"/>
        <v>-7.8431372549019676E-2</v>
      </c>
      <c r="H88" s="40">
        <f t="shared" si="17"/>
        <v>-7.8431372549019676E-2</v>
      </c>
    </row>
    <row r="89" spans="1:8" x14ac:dyDescent="0.25">
      <c r="A89" s="61" t="s">
        <v>203</v>
      </c>
      <c r="B89" s="70">
        <v>11.12</v>
      </c>
      <c r="C89" s="52">
        <v>10.72</v>
      </c>
      <c r="D89" s="39">
        <v>10.28</v>
      </c>
      <c r="E89" s="70">
        <v>10.28</v>
      </c>
      <c r="F89" s="39">
        <f t="shared" si="16"/>
        <v>-3.5971223021582607E-2</v>
      </c>
      <c r="G89" s="39">
        <f t="shared" si="15"/>
        <v>-7.5539568345323729E-2</v>
      </c>
      <c r="H89" s="40">
        <f t="shared" si="17"/>
        <v>-7.5539568345323729E-2</v>
      </c>
    </row>
    <row r="90" spans="1:8" x14ac:dyDescent="0.25">
      <c r="A90" s="61" t="s">
        <v>204</v>
      </c>
      <c r="B90" s="70">
        <v>16.36</v>
      </c>
      <c r="C90" s="52">
        <v>17.12</v>
      </c>
      <c r="D90" s="39">
        <v>15.68</v>
      </c>
      <c r="E90" s="70">
        <v>15.52</v>
      </c>
      <c r="F90" s="39">
        <f t="shared" si="16"/>
        <v>4.6454767726161465E-2</v>
      </c>
      <c r="G90" s="39">
        <f t="shared" si="15"/>
        <v>-4.1564792176039103E-2</v>
      </c>
      <c r="H90" s="40">
        <f t="shared" si="17"/>
        <v>-5.1344743276283612E-2</v>
      </c>
    </row>
    <row r="91" spans="1:8" x14ac:dyDescent="0.25">
      <c r="A91" s="61" t="s">
        <v>205</v>
      </c>
      <c r="B91" s="70">
        <v>17.64</v>
      </c>
      <c r="C91" s="52">
        <v>18.88</v>
      </c>
      <c r="D91" s="39">
        <v>16.8</v>
      </c>
      <c r="E91" s="70">
        <v>16.8</v>
      </c>
      <c r="F91" s="39">
        <f t="shared" si="16"/>
        <v>7.0294784580498773E-2</v>
      </c>
      <c r="G91" s="39">
        <f t="shared" si="15"/>
        <v>-4.7619047619047609E-2</v>
      </c>
      <c r="H91" s="40">
        <f t="shared" si="17"/>
        <v>-4.7619047619047609E-2</v>
      </c>
    </row>
    <row r="92" spans="1:8" x14ac:dyDescent="0.25">
      <c r="A92" s="61" t="s">
        <v>206</v>
      </c>
      <c r="B92" s="70">
        <v>10.52</v>
      </c>
      <c r="C92" s="52">
        <v>11.32</v>
      </c>
      <c r="D92" s="39">
        <v>10.36</v>
      </c>
      <c r="E92" s="70">
        <v>10.36</v>
      </c>
      <c r="F92" s="39">
        <f t="shared" si="16"/>
        <v>7.6045627376425923E-2</v>
      </c>
      <c r="G92" s="39">
        <f t="shared" si="15"/>
        <v>-1.5209125475285185E-2</v>
      </c>
      <c r="H92" s="40">
        <f t="shared" si="17"/>
        <v>-1.5209125475285185E-2</v>
      </c>
    </row>
    <row r="93" spans="1:8" x14ac:dyDescent="0.25">
      <c r="A93" s="61" t="s">
        <v>207</v>
      </c>
      <c r="B93" s="70">
        <v>9.8000000000000007</v>
      </c>
      <c r="C93" s="52">
        <v>9.8800000000000008</v>
      </c>
      <c r="D93" s="39">
        <v>9.32</v>
      </c>
      <c r="E93" s="70">
        <v>9.32</v>
      </c>
      <c r="F93" s="39">
        <f t="shared" si="16"/>
        <v>8.1632653061224549E-3</v>
      </c>
      <c r="G93" s="39">
        <f t="shared" si="15"/>
        <v>-4.8979591836734733E-2</v>
      </c>
      <c r="H93" s="40">
        <f t="shared" si="17"/>
        <v>-4.8979591836734733E-2</v>
      </c>
    </row>
    <row r="94" spans="1:8" x14ac:dyDescent="0.25">
      <c r="A94" s="61" t="s">
        <v>208</v>
      </c>
      <c r="B94" s="70">
        <v>13.8</v>
      </c>
      <c r="C94" s="52">
        <v>13.6</v>
      </c>
      <c r="D94" s="39">
        <v>12.96</v>
      </c>
      <c r="E94" s="70">
        <v>12.96</v>
      </c>
      <c r="F94" s="39">
        <f t="shared" si="16"/>
        <v>-1.4492753623188482E-2</v>
      </c>
      <c r="G94" s="39">
        <f t="shared" si="15"/>
        <v>-6.0869565217391293E-2</v>
      </c>
      <c r="H94" s="40">
        <f t="shared" si="17"/>
        <v>-6.0869565217391293E-2</v>
      </c>
    </row>
    <row r="95" spans="1:8" x14ac:dyDescent="0.25">
      <c r="A95" s="61" t="s">
        <v>209</v>
      </c>
      <c r="B95" s="70">
        <v>12.6</v>
      </c>
      <c r="C95" s="52">
        <v>12.64</v>
      </c>
      <c r="D95" s="39">
        <v>11.76</v>
      </c>
      <c r="E95" s="70">
        <v>11.76</v>
      </c>
      <c r="F95" s="39">
        <f t="shared" si="16"/>
        <v>3.1746031746032479E-3</v>
      </c>
      <c r="G95" s="39">
        <f t="shared" si="15"/>
        <v>-6.6666666666666652E-2</v>
      </c>
      <c r="H95" s="40">
        <f t="shared" si="17"/>
        <v>-6.6666666666666652E-2</v>
      </c>
    </row>
    <row r="96" spans="1:8" x14ac:dyDescent="0.25">
      <c r="A96" s="61" t="s">
        <v>210</v>
      </c>
      <c r="B96" s="70">
        <v>12.68</v>
      </c>
      <c r="C96" s="52">
        <v>13.24</v>
      </c>
      <c r="D96" s="39">
        <v>11.8</v>
      </c>
      <c r="E96" s="70">
        <v>11.96</v>
      </c>
      <c r="F96" s="39">
        <f t="shared" si="16"/>
        <v>4.4164037854889628E-2</v>
      </c>
      <c r="G96" s="39">
        <f t="shared" si="15"/>
        <v>-6.9400630914826428E-2</v>
      </c>
      <c r="H96" s="40">
        <f t="shared" si="17"/>
        <v>-5.6782334384857955E-2</v>
      </c>
    </row>
    <row r="97" spans="1:8" x14ac:dyDescent="0.25">
      <c r="A97" s="61" t="s">
        <v>211</v>
      </c>
      <c r="B97" s="70">
        <v>16.88</v>
      </c>
      <c r="C97" s="52">
        <v>15.84</v>
      </c>
      <c r="D97" s="39">
        <v>15.44</v>
      </c>
      <c r="E97" s="70">
        <v>15.44</v>
      </c>
      <c r="F97" s="39">
        <f t="shared" si="16"/>
        <v>-6.1611374407582895E-2</v>
      </c>
      <c r="G97" s="39">
        <f t="shared" si="15"/>
        <v>-8.5308056872037893E-2</v>
      </c>
      <c r="H97" s="40">
        <f t="shared" si="17"/>
        <v>-8.5308056872037893E-2</v>
      </c>
    </row>
    <row r="98" spans="1:8" x14ac:dyDescent="0.25">
      <c r="A98" s="61" t="s">
        <v>212</v>
      </c>
      <c r="B98" s="70">
        <v>10.56</v>
      </c>
      <c r="C98" s="52">
        <v>11.6</v>
      </c>
      <c r="D98" s="39">
        <v>10.52</v>
      </c>
      <c r="E98" s="70">
        <v>10.56</v>
      </c>
      <c r="F98" s="39">
        <f t="shared" si="16"/>
        <v>9.8484848484848397E-2</v>
      </c>
      <c r="G98" s="39">
        <f t="shared" si="15"/>
        <v>-3.7878787878788752E-3</v>
      </c>
      <c r="H98" s="40">
        <f t="shared" si="17"/>
        <v>0</v>
      </c>
    </row>
    <row r="99" spans="1:8" x14ac:dyDescent="0.25">
      <c r="A99" s="61" t="s">
        <v>213</v>
      </c>
      <c r="B99" s="70">
        <v>11.52</v>
      </c>
      <c r="C99" s="52">
        <v>11.88</v>
      </c>
      <c r="D99" s="39">
        <v>11.36</v>
      </c>
      <c r="E99" s="70">
        <v>11.36</v>
      </c>
      <c r="F99" s="39">
        <f t="shared" si="16"/>
        <v>3.1250000000000104E-2</v>
      </c>
      <c r="G99" s="39">
        <f t="shared" si="15"/>
        <v>-1.3888888888888902E-2</v>
      </c>
      <c r="H99" s="40">
        <f t="shared" si="17"/>
        <v>-1.3888888888888902E-2</v>
      </c>
    </row>
    <row r="100" spans="1:8" x14ac:dyDescent="0.25">
      <c r="A100" s="61" t="s">
        <v>214</v>
      </c>
      <c r="B100" s="70">
        <v>14.44</v>
      </c>
      <c r="C100" s="52">
        <v>13.8</v>
      </c>
      <c r="D100" s="39">
        <v>13.8</v>
      </c>
      <c r="E100" s="70">
        <v>13.8</v>
      </c>
      <c r="F100" s="39">
        <f t="shared" si="16"/>
        <v>-4.4321329639889114E-2</v>
      </c>
      <c r="G100" s="39">
        <f t="shared" si="15"/>
        <v>-4.4321329639889114E-2</v>
      </c>
      <c r="H100" s="40">
        <f t="shared" si="17"/>
        <v>-4.4321329639889114E-2</v>
      </c>
    </row>
    <row r="101" spans="1:8" x14ac:dyDescent="0.25">
      <c r="A101" s="61" t="s">
        <v>215</v>
      </c>
      <c r="B101" s="70">
        <v>12.68</v>
      </c>
      <c r="C101" s="52">
        <v>13.24</v>
      </c>
      <c r="D101" s="39">
        <v>11.96</v>
      </c>
      <c r="E101" s="70">
        <v>11.8</v>
      </c>
      <c r="F101" s="39">
        <f t="shared" si="16"/>
        <v>4.4164037854889628E-2</v>
      </c>
      <c r="G101" s="39">
        <f t="shared" si="15"/>
        <v>-5.6782334384857955E-2</v>
      </c>
      <c r="H101" s="40">
        <f t="shared" si="17"/>
        <v>-6.9400630914826428E-2</v>
      </c>
    </row>
    <row r="102" spans="1:8" x14ac:dyDescent="0.25">
      <c r="A102" s="61" t="s">
        <v>216</v>
      </c>
      <c r="B102" s="70">
        <v>13.36</v>
      </c>
      <c r="C102" s="52">
        <v>13.24</v>
      </c>
      <c r="D102" s="39">
        <v>12.2</v>
      </c>
      <c r="E102" s="70">
        <v>12.2</v>
      </c>
      <c r="F102" s="39">
        <f t="shared" si="16"/>
        <v>-8.982035928143655E-3</v>
      </c>
      <c r="G102" s="39">
        <f t="shared" si="15"/>
        <v>-8.682634730538924E-2</v>
      </c>
      <c r="H102" s="40">
        <f t="shared" si="17"/>
        <v>-8.682634730538924E-2</v>
      </c>
    </row>
    <row r="103" spans="1:8" x14ac:dyDescent="0.25">
      <c r="A103" s="61" t="s">
        <v>217</v>
      </c>
      <c r="B103" s="70">
        <v>10.28</v>
      </c>
      <c r="C103" s="52">
        <v>11.64</v>
      </c>
      <c r="D103" s="39">
        <v>10.28</v>
      </c>
      <c r="E103" s="70">
        <v>10.28</v>
      </c>
      <c r="F103" s="39">
        <f t="shared" si="16"/>
        <v>0.13229571984435809</v>
      </c>
      <c r="G103" s="39">
        <f t="shared" si="15"/>
        <v>0</v>
      </c>
      <c r="H103" s="40">
        <f t="shared" si="17"/>
        <v>0</v>
      </c>
    </row>
    <row r="104" spans="1:8" x14ac:dyDescent="0.25">
      <c r="A104" s="61" t="s">
        <v>218</v>
      </c>
      <c r="B104" s="70">
        <v>11.48</v>
      </c>
      <c r="C104" s="52">
        <v>12.52</v>
      </c>
      <c r="D104" s="39">
        <v>11.48</v>
      </c>
      <c r="E104" s="70">
        <v>11.48</v>
      </c>
      <c r="F104" s="39">
        <f t="shared" si="16"/>
        <v>9.0592334494773441E-2</v>
      </c>
      <c r="G104" s="39">
        <f t="shared" si="15"/>
        <v>0</v>
      </c>
      <c r="H104" s="40">
        <f t="shared" si="17"/>
        <v>0</v>
      </c>
    </row>
    <row r="105" spans="1:8" x14ac:dyDescent="0.25">
      <c r="A105" s="61" t="s">
        <v>219</v>
      </c>
      <c r="B105" s="70">
        <v>13.16</v>
      </c>
      <c r="C105" s="52">
        <v>12.16</v>
      </c>
      <c r="D105" s="39">
        <v>12.8</v>
      </c>
      <c r="E105" s="70">
        <v>12.48</v>
      </c>
      <c r="F105" s="39">
        <f t="shared" si="16"/>
        <v>-7.598784194528875E-2</v>
      </c>
      <c r="G105" s="39">
        <f t="shared" si="15"/>
        <v>-2.7355623100303907E-2</v>
      </c>
      <c r="H105" s="40">
        <f t="shared" si="17"/>
        <v>-5.1671732522796332E-2</v>
      </c>
    </row>
    <row r="106" spans="1:8" x14ac:dyDescent="0.25">
      <c r="A106" s="61" t="s">
        <v>220</v>
      </c>
      <c r="B106" s="70">
        <v>9.8800000000000008</v>
      </c>
      <c r="C106" s="52">
        <v>11.08</v>
      </c>
      <c r="D106" s="39">
        <v>9.52</v>
      </c>
      <c r="E106" s="70">
        <v>9.52</v>
      </c>
      <c r="F106" s="39">
        <f t="shared" si="16"/>
        <v>0.12145748987854244</v>
      </c>
      <c r="G106" s="39">
        <f t="shared" si="15"/>
        <v>-3.6437246963562875E-2</v>
      </c>
      <c r="H106" s="40">
        <f t="shared" si="17"/>
        <v>-3.6437246963562875E-2</v>
      </c>
    </row>
    <row r="107" spans="1:8" x14ac:dyDescent="0.25">
      <c r="A107" s="61" t="s">
        <v>221</v>
      </c>
      <c r="B107" s="70">
        <v>10.88</v>
      </c>
      <c r="C107" s="52">
        <v>10.96</v>
      </c>
      <c r="D107" s="39">
        <v>10.52</v>
      </c>
      <c r="E107" s="70">
        <v>10.56</v>
      </c>
      <c r="F107" s="39">
        <f t="shared" si="16"/>
        <v>7.3529411764705942E-3</v>
      </c>
      <c r="G107" s="39">
        <f t="shared" si="15"/>
        <v>-3.3088235294117758E-2</v>
      </c>
      <c r="H107" s="40">
        <f t="shared" si="17"/>
        <v>-2.9411764705882377E-2</v>
      </c>
    </row>
    <row r="108" spans="1:8" x14ac:dyDescent="0.25">
      <c r="A108" s="61" t="s">
        <v>222</v>
      </c>
      <c r="B108" s="70">
        <v>11.08</v>
      </c>
      <c r="C108" s="52">
        <v>11.32</v>
      </c>
      <c r="D108" s="39">
        <v>10.56</v>
      </c>
      <c r="E108" s="70">
        <v>10.56</v>
      </c>
      <c r="F108" s="39">
        <f t="shared" si="16"/>
        <v>2.1660649819494605E-2</v>
      </c>
      <c r="G108" s="39">
        <f t="shared" si="15"/>
        <v>-4.6931407942238226E-2</v>
      </c>
      <c r="H108" s="40">
        <f t="shared" si="17"/>
        <v>-4.6931407942238226E-2</v>
      </c>
    </row>
    <row r="109" spans="1:8" x14ac:dyDescent="0.25">
      <c r="A109" s="61" t="s">
        <v>223</v>
      </c>
      <c r="B109" s="70">
        <v>9.68</v>
      </c>
      <c r="C109" s="52">
        <v>11.24</v>
      </c>
      <c r="D109" s="39">
        <v>9.36</v>
      </c>
      <c r="E109" s="70">
        <v>9.36</v>
      </c>
      <c r="F109" s="39">
        <f t="shared" si="16"/>
        <v>0.16115702479338848</v>
      </c>
      <c r="G109" s="39">
        <f t="shared" si="15"/>
        <v>-3.305785123966945E-2</v>
      </c>
      <c r="H109" s="40">
        <f t="shared" si="17"/>
        <v>-3.305785123966945E-2</v>
      </c>
    </row>
    <row r="110" spans="1:8" x14ac:dyDescent="0.25">
      <c r="A110" s="61" t="s">
        <v>224</v>
      </c>
      <c r="B110" s="70">
        <v>12.76</v>
      </c>
      <c r="C110" s="52">
        <v>13.2</v>
      </c>
      <c r="D110" s="39">
        <v>12.44</v>
      </c>
      <c r="E110" s="70">
        <v>12.44</v>
      </c>
      <c r="F110" s="39">
        <f t="shared" si="16"/>
        <v>3.448275862068962E-2</v>
      </c>
      <c r="G110" s="39">
        <f t="shared" si="15"/>
        <v>-2.5078369905956136E-2</v>
      </c>
      <c r="H110" s="40">
        <f t="shared" si="17"/>
        <v>-2.5078369905956136E-2</v>
      </c>
    </row>
    <row r="111" spans="1:8" x14ac:dyDescent="0.25">
      <c r="A111" s="61" t="s">
        <v>225</v>
      </c>
      <c r="B111" s="70">
        <v>14</v>
      </c>
      <c r="C111" s="52">
        <v>14.8</v>
      </c>
      <c r="D111" s="39">
        <v>14</v>
      </c>
      <c r="E111" s="70">
        <v>13.2</v>
      </c>
      <c r="F111" s="39">
        <f t="shared" si="16"/>
        <v>5.7142857142857197E-2</v>
      </c>
      <c r="G111" s="39">
        <f t="shared" si="15"/>
        <v>0</v>
      </c>
      <c r="H111" s="40">
        <f t="shared" si="17"/>
        <v>-5.7142857142857197E-2</v>
      </c>
    </row>
    <row r="112" spans="1:8" x14ac:dyDescent="0.25">
      <c r="A112" s="61" t="s">
        <v>226</v>
      </c>
      <c r="B112" s="70">
        <v>12.04</v>
      </c>
      <c r="C112" s="52">
        <v>11.76</v>
      </c>
      <c r="D112" s="39">
        <v>11</v>
      </c>
      <c r="E112" s="70">
        <v>10.96</v>
      </c>
      <c r="F112" s="39">
        <f t="shared" si="16"/>
        <v>-2.325581395348832E-2</v>
      </c>
      <c r="G112" s="39">
        <f t="shared" si="15"/>
        <v>-8.6378737541528181E-2</v>
      </c>
      <c r="H112" s="40">
        <f t="shared" si="17"/>
        <v>-8.970099667774073E-2</v>
      </c>
    </row>
    <row r="113" spans="1:8" x14ac:dyDescent="0.25">
      <c r="A113" s="61" t="s">
        <v>227</v>
      </c>
      <c r="B113" s="70">
        <v>11.12</v>
      </c>
      <c r="C113" s="52">
        <v>12.04</v>
      </c>
      <c r="D113" s="39">
        <v>10.76</v>
      </c>
      <c r="E113" s="70">
        <v>10.76</v>
      </c>
      <c r="F113" s="39">
        <f t="shared" si="16"/>
        <v>8.2733812949640287E-2</v>
      </c>
      <c r="G113" s="39">
        <f t="shared" si="15"/>
        <v>-3.2374100719424412E-2</v>
      </c>
      <c r="H113" s="40">
        <f t="shared" si="17"/>
        <v>-3.2374100719424412E-2</v>
      </c>
    </row>
    <row r="114" spans="1:8" x14ac:dyDescent="0.25">
      <c r="A114" s="61" t="s">
        <v>228</v>
      </c>
      <c r="B114" s="70">
        <v>11.84</v>
      </c>
      <c r="C114" s="52">
        <v>11.84</v>
      </c>
      <c r="D114" s="39">
        <v>11.04</v>
      </c>
      <c r="E114" s="70">
        <v>11.04</v>
      </c>
      <c r="F114" s="39">
        <f t="shared" si="16"/>
        <v>0</v>
      </c>
      <c r="G114" s="39">
        <f t="shared" si="15"/>
        <v>-6.7567567567567627E-2</v>
      </c>
      <c r="H114" s="40">
        <f t="shared" si="17"/>
        <v>-6.7567567567567627E-2</v>
      </c>
    </row>
    <row r="115" spans="1:8" x14ac:dyDescent="0.25">
      <c r="A115" s="61" t="s">
        <v>229</v>
      </c>
      <c r="B115" s="70">
        <v>16.72</v>
      </c>
      <c r="C115" s="52">
        <v>15.88</v>
      </c>
      <c r="D115" s="39">
        <v>15.16</v>
      </c>
      <c r="E115" s="70">
        <v>15.16</v>
      </c>
      <c r="F115" s="39">
        <f t="shared" si="16"/>
        <v>-5.0239234449760653E-2</v>
      </c>
      <c r="G115" s="39">
        <f t="shared" si="15"/>
        <v>-9.3301435406698496E-2</v>
      </c>
      <c r="H115" s="40">
        <f t="shared" si="17"/>
        <v>-9.3301435406698496E-2</v>
      </c>
    </row>
    <row r="116" spans="1:8" x14ac:dyDescent="0.25">
      <c r="A116" s="61" t="s">
        <v>230</v>
      </c>
      <c r="B116" s="70">
        <v>13.12</v>
      </c>
      <c r="C116" s="52">
        <v>13.88</v>
      </c>
      <c r="D116" s="39">
        <v>13.12</v>
      </c>
      <c r="E116" s="70">
        <v>12.96</v>
      </c>
      <c r="F116" s="39">
        <f t="shared" si="16"/>
        <v>5.7926829268292804E-2</v>
      </c>
      <c r="G116" s="39">
        <f t="shared" si="15"/>
        <v>0</v>
      </c>
      <c r="H116" s="40">
        <f t="shared" si="17"/>
        <v>-1.2195121951219388E-2</v>
      </c>
    </row>
    <row r="117" spans="1:8" x14ac:dyDescent="0.25">
      <c r="A117" s="61" t="s">
        <v>231</v>
      </c>
      <c r="B117" s="70">
        <v>14.36</v>
      </c>
      <c r="C117" s="52">
        <v>13.8</v>
      </c>
      <c r="D117" s="39">
        <v>13.44</v>
      </c>
      <c r="E117" s="70">
        <v>13.4</v>
      </c>
      <c r="F117" s="39">
        <f t="shared" si="16"/>
        <v>-3.8997214484679577E-2</v>
      </c>
      <c r="G117" s="39">
        <f t="shared" si="15"/>
        <v>-6.4066852367688026E-2</v>
      </c>
      <c r="H117" s="40">
        <f t="shared" si="17"/>
        <v>-6.6852367688022218E-2</v>
      </c>
    </row>
    <row r="118" spans="1:8" x14ac:dyDescent="0.25">
      <c r="A118" s="61" t="s">
        <v>232</v>
      </c>
      <c r="B118" s="70">
        <v>13.36</v>
      </c>
      <c r="C118" s="52">
        <v>13.44</v>
      </c>
      <c r="D118" s="39">
        <v>12.64</v>
      </c>
      <c r="E118" s="70">
        <v>12.84</v>
      </c>
      <c r="F118" s="39">
        <f t="shared" si="16"/>
        <v>5.988023952095814E-3</v>
      </c>
      <c r="G118" s="39">
        <f t="shared" si="15"/>
        <v>-5.3892215568862194E-2</v>
      </c>
      <c r="H118" s="40">
        <f t="shared" si="17"/>
        <v>-3.8922155688622721E-2</v>
      </c>
    </row>
    <row r="119" spans="1:8" x14ac:dyDescent="0.25">
      <c r="A119" s="61" t="s">
        <v>233</v>
      </c>
      <c r="B119" s="70">
        <v>15.6</v>
      </c>
      <c r="C119" s="52">
        <v>14.92</v>
      </c>
      <c r="D119" s="39">
        <v>15.28</v>
      </c>
      <c r="E119" s="70">
        <v>14.64</v>
      </c>
      <c r="F119" s="39">
        <f t="shared" si="16"/>
        <v>-4.3589743589743574E-2</v>
      </c>
      <c r="G119" s="39">
        <f t="shared" si="15"/>
        <v>-2.051282051282053E-2</v>
      </c>
      <c r="H119" s="40">
        <f t="shared" si="17"/>
        <v>-6.1538461538461479E-2</v>
      </c>
    </row>
    <row r="120" spans="1:8" x14ac:dyDescent="0.25">
      <c r="A120" s="61" t="s">
        <v>234</v>
      </c>
      <c r="B120" s="70">
        <v>11.44</v>
      </c>
      <c r="C120" s="52">
        <v>11.72</v>
      </c>
      <c r="D120" s="39">
        <v>10.96</v>
      </c>
      <c r="E120" s="70">
        <v>10.96</v>
      </c>
      <c r="F120" s="39">
        <f t="shared" si="16"/>
        <v>2.4475524475524577E-2</v>
      </c>
      <c r="G120" s="39">
        <f t="shared" si="15"/>
        <v>-4.1958041958041842E-2</v>
      </c>
      <c r="H120" s="40">
        <f t="shared" si="17"/>
        <v>-4.1958041958041842E-2</v>
      </c>
    </row>
    <row r="121" spans="1:8" x14ac:dyDescent="0.25">
      <c r="A121" s="61" t="s">
        <v>235</v>
      </c>
      <c r="B121" s="70">
        <v>11.24</v>
      </c>
      <c r="C121" s="52">
        <v>12.08</v>
      </c>
      <c r="D121" s="39">
        <v>10.56</v>
      </c>
      <c r="E121" s="70">
        <v>10.56</v>
      </c>
      <c r="F121" s="39">
        <f t="shared" si="16"/>
        <v>7.4733096085409234E-2</v>
      </c>
      <c r="G121" s="39">
        <f t="shared" si="15"/>
        <v>-6.0498220640569367E-2</v>
      </c>
      <c r="H121" s="40">
        <f t="shared" si="17"/>
        <v>-6.0498220640569367E-2</v>
      </c>
    </row>
    <row r="122" spans="1:8" x14ac:dyDescent="0.25">
      <c r="A122" s="61" t="s">
        <v>236</v>
      </c>
      <c r="B122" s="70">
        <v>15.2</v>
      </c>
      <c r="C122" s="52">
        <v>15.32</v>
      </c>
      <c r="D122" s="39">
        <v>14.24</v>
      </c>
      <c r="E122" s="70">
        <v>13.92</v>
      </c>
      <c r="F122" s="39">
        <f t="shared" si="16"/>
        <v>7.8947368421053293E-3</v>
      </c>
      <c r="G122" s="39">
        <f t="shared" si="15"/>
        <v>-6.3157894736842052E-2</v>
      </c>
      <c r="H122" s="40">
        <f t="shared" si="17"/>
        <v>-8.421052631578943E-2</v>
      </c>
    </row>
    <row r="123" spans="1:8" x14ac:dyDescent="0.25">
      <c r="A123" s="61" t="s">
        <v>237</v>
      </c>
      <c r="B123" s="70">
        <v>18.68</v>
      </c>
      <c r="C123" s="52">
        <v>16.48</v>
      </c>
      <c r="D123" s="39">
        <v>16.16</v>
      </c>
      <c r="E123" s="70">
        <v>16.16</v>
      </c>
      <c r="F123" s="39">
        <f t="shared" si="16"/>
        <v>-0.11777301927194857</v>
      </c>
      <c r="G123" s="39">
        <f t="shared" si="15"/>
        <v>-0.13490364025695931</v>
      </c>
      <c r="H123" s="40">
        <f t="shared" si="17"/>
        <v>-0.13490364025695931</v>
      </c>
    </row>
    <row r="124" spans="1:8" x14ac:dyDescent="0.25">
      <c r="A124" s="61" t="s">
        <v>238</v>
      </c>
      <c r="B124" s="70">
        <v>11.4</v>
      </c>
      <c r="C124" s="52">
        <v>12.64</v>
      </c>
      <c r="D124" s="39">
        <v>11.08</v>
      </c>
      <c r="E124" s="70">
        <v>11.08</v>
      </c>
      <c r="F124" s="39">
        <f t="shared" si="16"/>
        <v>0.10877192982456142</v>
      </c>
      <c r="G124" s="39">
        <f t="shared" si="15"/>
        <v>-2.8070175438596516E-2</v>
      </c>
      <c r="H124" s="40">
        <f t="shared" si="17"/>
        <v>-2.8070175438596516E-2</v>
      </c>
    </row>
    <row r="125" spans="1:8" x14ac:dyDescent="0.25">
      <c r="A125" s="61" t="s">
        <v>239</v>
      </c>
      <c r="B125" s="70">
        <v>13</v>
      </c>
      <c r="C125" s="52">
        <v>13.56</v>
      </c>
      <c r="D125" s="39">
        <v>12.52</v>
      </c>
      <c r="E125" s="70">
        <v>12.52</v>
      </c>
      <c r="F125" s="39">
        <f t="shared" si="16"/>
        <v>4.3076923076923117E-2</v>
      </c>
      <c r="G125" s="39">
        <f t="shared" ref="G125:G188" si="18">(D125-B125)/B125</f>
        <v>-3.6923076923076954E-2</v>
      </c>
      <c r="H125" s="40">
        <f t="shared" si="17"/>
        <v>-3.6923076923076954E-2</v>
      </c>
    </row>
    <row r="126" spans="1:8" x14ac:dyDescent="0.25">
      <c r="A126" s="61" t="s">
        <v>240</v>
      </c>
      <c r="B126" s="70">
        <v>10.76</v>
      </c>
      <c r="C126" s="52">
        <v>10.68</v>
      </c>
      <c r="D126" s="39">
        <v>10.24</v>
      </c>
      <c r="E126" s="70">
        <v>10.24</v>
      </c>
      <c r="F126" s="39">
        <f t="shared" si="16"/>
        <v>-7.4349442379182222E-3</v>
      </c>
      <c r="G126" s="39">
        <f t="shared" si="18"/>
        <v>-4.8327137546468363E-2</v>
      </c>
      <c r="H126" s="40">
        <f t="shared" si="17"/>
        <v>-4.8327137546468363E-2</v>
      </c>
    </row>
    <row r="127" spans="1:8" x14ac:dyDescent="0.25">
      <c r="A127" s="61" t="s">
        <v>241</v>
      </c>
      <c r="B127" s="70">
        <v>12.76</v>
      </c>
      <c r="C127" s="52">
        <v>13.92</v>
      </c>
      <c r="D127" s="39">
        <v>12.56</v>
      </c>
      <c r="E127" s="70">
        <v>11.76</v>
      </c>
      <c r="F127" s="39">
        <f t="shared" si="16"/>
        <v>9.0909090909090925E-2</v>
      </c>
      <c r="G127" s="39">
        <f t="shared" si="18"/>
        <v>-1.5673981191222514E-2</v>
      </c>
      <c r="H127" s="40">
        <f t="shared" si="17"/>
        <v>-7.8369905956112859E-2</v>
      </c>
    </row>
    <row r="128" spans="1:8" x14ac:dyDescent="0.25">
      <c r="A128" s="61" t="s">
        <v>242</v>
      </c>
      <c r="B128" s="70">
        <v>10.4</v>
      </c>
      <c r="C128" s="52">
        <v>11.04</v>
      </c>
      <c r="D128" s="39">
        <v>10.4</v>
      </c>
      <c r="E128" s="70">
        <v>10.24</v>
      </c>
      <c r="F128" s="39">
        <f t="shared" si="16"/>
        <v>6.1538461538461417E-2</v>
      </c>
      <c r="G128" s="39">
        <f t="shared" si="18"/>
        <v>0</v>
      </c>
      <c r="H128" s="40">
        <f t="shared" si="17"/>
        <v>-1.5384615384615398E-2</v>
      </c>
    </row>
    <row r="129" spans="1:8" x14ac:dyDescent="0.25">
      <c r="A129" s="61" t="s">
        <v>243</v>
      </c>
      <c r="B129" s="70">
        <v>9.8800000000000008</v>
      </c>
      <c r="C129" s="52">
        <v>10.44</v>
      </c>
      <c r="D129" s="39">
        <v>9.68</v>
      </c>
      <c r="E129" s="70">
        <v>9.7200000000000006</v>
      </c>
      <c r="F129" s="39">
        <f t="shared" si="16"/>
        <v>5.6680161943319707E-2</v>
      </c>
      <c r="G129" s="39">
        <f t="shared" si="18"/>
        <v>-2.0242914979757193E-2</v>
      </c>
      <c r="H129" s="40">
        <f t="shared" si="17"/>
        <v>-1.6194331983805682E-2</v>
      </c>
    </row>
    <row r="130" spans="1:8" x14ac:dyDescent="0.25">
      <c r="A130" s="61" t="s">
        <v>244</v>
      </c>
      <c r="B130" s="70">
        <v>11.32</v>
      </c>
      <c r="C130" s="52">
        <v>12</v>
      </c>
      <c r="D130" s="39">
        <v>10.96</v>
      </c>
      <c r="E130" s="70">
        <v>10.96</v>
      </c>
      <c r="F130" s="39">
        <f t="shared" si="16"/>
        <v>6.0070671378091849E-2</v>
      </c>
      <c r="G130" s="39">
        <f t="shared" si="18"/>
        <v>-3.1802120141342705E-2</v>
      </c>
      <c r="H130" s="40">
        <f t="shared" si="17"/>
        <v>-3.1802120141342705E-2</v>
      </c>
    </row>
    <row r="131" spans="1:8" x14ac:dyDescent="0.25">
      <c r="A131" s="61" t="s">
        <v>245</v>
      </c>
      <c r="B131" s="70">
        <v>12.6</v>
      </c>
      <c r="C131" s="52">
        <v>12.16</v>
      </c>
      <c r="D131" s="39">
        <v>11.64</v>
      </c>
      <c r="E131" s="70">
        <v>11.64</v>
      </c>
      <c r="F131" s="39">
        <f t="shared" si="16"/>
        <v>-3.492063492063488E-2</v>
      </c>
      <c r="G131" s="39">
        <f t="shared" si="18"/>
        <v>-7.6190476190476114E-2</v>
      </c>
      <c r="H131" s="40">
        <f t="shared" si="17"/>
        <v>-7.6190476190476114E-2</v>
      </c>
    </row>
    <row r="132" spans="1:8" x14ac:dyDescent="0.25">
      <c r="A132" s="61" t="s">
        <v>246</v>
      </c>
      <c r="B132" s="70">
        <v>11.8</v>
      </c>
      <c r="C132" s="52">
        <v>12.28</v>
      </c>
      <c r="D132" s="39">
        <v>11.52</v>
      </c>
      <c r="E132" s="70">
        <v>11.52</v>
      </c>
      <c r="F132" s="39">
        <f t="shared" si="16"/>
        <v>4.0677966101694801E-2</v>
      </c>
      <c r="G132" s="39">
        <f t="shared" si="18"/>
        <v>-2.3728813559322128E-2</v>
      </c>
      <c r="H132" s="40">
        <f t="shared" si="17"/>
        <v>-2.3728813559322128E-2</v>
      </c>
    </row>
    <row r="133" spans="1:8" x14ac:dyDescent="0.25">
      <c r="A133" s="61" t="s">
        <v>247</v>
      </c>
      <c r="B133" s="70">
        <v>13.2</v>
      </c>
      <c r="C133" s="52">
        <v>12.28</v>
      </c>
      <c r="D133" s="39">
        <v>11.72</v>
      </c>
      <c r="E133" s="70">
        <v>11.72</v>
      </c>
      <c r="F133" s="39">
        <f t="shared" si="16"/>
        <v>-6.9696969696969702E-2</v>
      </c>
      <c r="G133" s="39">
        <f t="shared" si="18"/>
        <v>-0.11212121212121202</v>
      </c>
      <c r="H133" s="40">
        <f t="shared" si="17"/>
        <v>-0.11212121212121202</v>
      </c>
    </row>
    <row r="134" spans="1:8" x14ac:dyDescent="0.25">
      <c r="A134" s="61" t="s">
        <v>248</v>
      </c>
      <c r="B134" s="70">
        <v>11.44</v>
      </c>
      <c r="C134" s="52">
        <v>11.48</v>
      </c>
      <c r="D134" s="39">
        <v>10.72</v>
      </c>
      <c r="E134" s="70">
        <v>10.72</v>
      </c>
      <c r="F134" s="39">
        <f t="shared" si="16"/>
        <v>3.4965034965035776E-3</v>
      </c>
      <c r="G134" s="39">
        <f t="shared" si="18"/>
        <v>-6.2937062937062846E-2</v>
      </c>
      <c r="H134" s="40">
        <f t="shared" si="17"/>
        <v>-6.2937062937062846E-2</v>
      </c>
    </row>
    <row r="135" spans="1:8" x14ac:dyDescent="0.25">
      <c r="A135" s="61" t="s">
        <v>249</v>
      </c>
      <c r="B135" s="70">
        <v>10.64</v>
      </c>
      <c r="C135" s="52">
        <v>10.88</v>
      </c>
      <c r="D135" s="39">
        <v>10.32</v>
      </c>
      <c r="E135" s="70">
        <v>10.32</v>
      </c>
      <c r="F135" s="39">
        <f t="shared" si="16"/>
        <v>2.2556390977443629E-2</v>
      </c>
      <c r="G135" s="39">
        <f t="shared" si="18"/>
        <v>-3.0075187969924838E-2</v>
      </c>
      <c r="H135" s="40">
        <f t="shared" si="17"/>
        <v>-3.0075187969924838E-2</v>
      </c>
    </row>
    <row r="136" spans="1:8" x14ac:dyDescent="0.25">
      <c r="A136" s="61" t="s">
        <v>250</v>
      </c>
      <c r="B136" s="70">
        <v>10.119999999999999</v>
      </c>
      <c r="C136" s="52">
        <v>11.12</v>
      </c>
      <c r="D136" s="39">
        <v>10.119999999999999</v>
      </c>
      <c r="E136" s="70">
        <v>10.119999999999999</v>
      </c>
      <c r="F136" s="39">
        <f t="shared" ref="F136:F199" si="19">(C136-B136)/B136</f>
        <v>9.881422924901187E-2</v>
      </c>
      <c r="G136" s="39">
        <f t="shared" si="18"/>
        <v>0</v>
      </c>
      <c r="H136" s="40">
        <f t="shared" ref="H136:H199" si="20">(E136-B136)/B136</f>
        <v>0</v>
      </c>
    </row>
    <row r="137" spans="1:8" x14ac:dyDescent="0.25">
      <c r="A137" s="61" t="s">
        <v>251</v>
      </c>
      <c r="B137" s="70">
        <v>10.88</v>
      </c>
      <c r="C137" s="52">
        <v>11.24</v>
      </c>
      <c r="D137" s="39">
        <v>10.72</v>
      </c>
      <c r="E137" s="70">
        <v>10.72</v>
      </c>
      <c r="F137" s="39">
        <f t="shared" si="19"/>
        <v>3.3088235294117592E-2</v>
      </c>
      <c r="G137" s="39">
        <f t="shared" si="18"/>
        <v>-1.4705882352941188E-2</v>
      </c>
      <c r="H137" s="40">
        <f t="shared" si="20"/>
        <v>-1.4705882352941188E-2</v>
      </c>
    </row>
    <row r="138" spans="1:8" x14ac:dyDescent="0.25">
      <c r="A138" s="61" t="s">
        <v>252</v>
      </c>
      <c r="B138" s="70">
        <v>14.32</v>
      </c>
      <c r="C138" s="52">
        <v>14.12</v>
      </c>
      <c r="D138" s="39">
        <v>13.92</v>
      </c>
      <c r="E138" s="70">
        <v>13.64</v>
      </c>
      <c r="F138" s="39">
        <f t="shared" si="19"/>
        <v>-1.3966480446927448E-2</v>
      </c>
      <c r="G138" s="39">
        <f t="shared" si="18"/>
        <v>-2.7932960893854771E-2</v>
      </c>
      <c r="H138" s="40">
        <f t="shared" si="20"/>
        <v>-4.748603351955305E-2</v>
      </c>
    </row>
    <row r="139" spans="1:8" x14ac:dyDescent="0.25">
      <c r="A139" s="61" t="s">
        <v>253</v>
      </c>
      <c r="B139" s="70">
        <v>11.76</v>
      </c>
      <c r="C139" s="52">
        <v>13.2</v>
      </c>
      <c r="D139" s="39">
        <v>11.4</v>
      </c>
      <c r="E139" s="70">
        <v>11.4</v>
      </c>
      <c r="F139" s="39">
        <f t="shared" si="19"/>
        <v>0.12244897959183669</v>
      </c>
      <c r="G139" s="39">
        <f t="shared" si="18"/>
        <v>-3.0612244897959134E-2</v>
      </c>
      <c r="H139" s="40">
        <f t="shared" si="20"/>
        <v>-3.0612244897959134E-2</v>
      </c>
    </row>
    <row r="140" spans="1:8" x14ac:dyDescent="0.25">
      <c r="A140" s="61" t="s">
        <v>254</v>
      </c>
      <c r="B140" s="70">
        <v>12.04</v>
      </c>
      <c r="C140" s="52">
        <v>12.72</v>
      </c>
      <c r="D140" s="39">
        <v>11.84</v>
      </c>
      <c r="E140" s="70">
        <v>11.68</v>
      </c>
      <c r="F140" s="39">
        <f t="shared" si="19"/>
        <v>5.6478405315614745E-2</v>
      </c>
      <c r="G140" s="39">
        <f t="shared" si="18"/>
        <v>-1.6611295681063065E-2</v>
      </c>
      <c r="H140" s="40">
        <f t="shared" si="20"/>
        <v>-2.9900332225913578E-2</v>
      </c>
    </row>
    <row r="141" spans="1:8" x14ac:dyDescent="0.25">
      <c r="A141" s="61" t="s">
        <v>255</v>
      </c>
      <c r="B141" s="70">
        <v>11.6</v>
      </c>
      <c r="C141" s="52">
        <v>12.08</v>
      </c>
      <c r="D141" s="39">
        <v>11.12</v>
      </c>
      <c r="E141" s="70">
        <v>11.12</v>
      </c>
      <c r="F141" s="39">
        <f t="shared" si="19"/>
        <v>4.1379310344827627E-2</v>
      </c>
      <c r="G141" s="39">
        <f t="shared" si="18"/>
        <v>-4.1379310344827627E-2</v>
      </c>
      <c r="H141" s="40">
        <f t="shared" si="20"/>
        <v>-4.1379310344827627E-2</v>
      </c>
    </row>
    <row r="142" spans="1:8" x14ac:dyDescent="0.25">
      <c r="A142" s="61" t="s">
        <v>256</v>
      </c>
      <c r="B142" s="70">
        <v>9.76</v>
      </c>
      <c r="C142" s="52">
        <v>11</v>
      </c>
      <c r="D142" s="39">
        <v>9.56</v>
      </c>
      <c r="E142" s="70">
        <v>9.56</v>
      </c>
      <c r="F142" s="39">
        <f t="shared" si="19"/>
        <v>0.12704918032786888</v>
      </c>
      <c r="G142" s="39">
        <f t="shared" si="18"/>
        <v>-2.0491803278688454E-2</v>
      </c>
      <c r="H142" s="40">
        <f t="shared" si="20"/>
        <v>-2.0491803278688454E-2</v>
      </c>
    </row>
    <row r="143" spans="1:8" x14ac:dyDescent="0.25">
      <c r="A143" s="61" t="s">
        <v>257</v>
      </c>
      <c r="B143" s="70">
        <v>20.72</v>
      </c>
      <c r="C143" s="52">
        <v>19.920000000000002</v>
      </c>
      <c r="D143" s="39">
        <v>18.68</v>
      </c>
      <c r="E143" s="70">
        <v>18.68</v>
      </c>
      <c r="F143" s="39">
        <f t="shared" si="19"/>
        <v>-3.8610038610038477E-2</v>
      </c>
      <c r="G143" s="39">
        <f t="shared" si="18"/>
        <v>-9.8455598455598425E-2</v>
      </c>
      <c r="H143" s="40">
        <f t="shared" si="20"/>
        <v>-9.8455598455598425E-2</v>
      </c>
    </row>
    <row r="144" spans="1:8" x14ac:dyDescent="0.25">
      <c r="A144" s="61" t="s">
        <v>258</v>
      </c>
      <c r="B144" s="70">
        <v>15.8</v>
      </c>
      <c r="C144" s="52">
        <v>16.28</v>
      </c>
      <c r="D144" s="39">
        <v>15.04</v>
      </c>
      <c r="E144" s="70">
        <v>14.88</v>
      </c>
      <c r="F144" s="39">
        <f t="shared" si="19"/>
        <v>3.0379746835443065E-2</v>
      </c>
      <c r="G144" s="39">
        <f t="shared" si="18"/>
        <v>-4.8101265822784907E-2</v>
      </c>
      <c r="H144" s="40">
        <f t="shared" si="20"/>
        <v>-5.8227848101265814E-2</v>
      </c>
    </row>
    <row r="145" spans="1:8" x14ac:dyDescent="0.25">
      <c r="A145" s="61" t="s">
        <v>259</v>
      </c>
      <c r="B145" s="70">
        <v>12.12</v>
      </c>
      <c r="C145" s="52">
        <v>12.16</v>
      </c>
      <c r="D145" s="39">
        <v>11.6</v>
      </c>
      <c r="E145" s="70">
        <v>11.6</v>
      </c>
      <c r="F145" s="39">
        <f t="shared" si="19"/>
        <v>3.3003300330033767E-3</v>
      </c>
      <c r="G145" s="39">
        <f t="shared" si="18"/>
        <v>-4.2904290429042875E-2</v>
      </c>
      <c r="H145" s="40">
        <f t="shared" si="20"/>
        <v>-4.2904290429042875E-2</v>
      </c>
    </row>
    <row r="146" spans="1:8" x14ac:dyDescent="0.25">
      <c r="A146" s="61" t="s">
        <v>260</v>
      </c>
      <c r="B146" s="70">
        <v>12.44</v>
      </c>
      <c r="C146" s="52">
        <v>12.32</v>
      </c>
      <c r="D146" s="39">
        <v>11.6</v>
      </c>
      <c r="E146" s="70">
        <v>11.6</v>
      </c>
      <c r="F146" s="39">
        <f t="shared" si="19"/>
        <v>-9.6463022508037968E-3</v>
      </c>
      <c r="G146" s="39">
        <f t="shared" si="18"/>
        <v>-6.7524115755627001E-2</v>
      </c>
      <c r="H146" s="40">
        <f t="shared" si="20"/>
        <v>-6.7524115755627001E-2</v>
      </c>
    </row>
    <row r="147" spans="1:8" x14ac:dyDescent="0.25">
      <c r="A147" s="61" t="s">
        <v>261</v>
      </c>
      <c r="B147" s="70">
        <v>13.04</v>
      </c>
      <c r="C147" s="52">
        <v>13.16</v>
      </c>
      <c r="D147" s="39">
        <v>12.4</v>
      </c>
      <c r="E147" s="70">
        <v>12.4</v>
      </c>
      <c r="F147" s="39">
        <f t="shared" si="19"/>
        <v>9.2024539877301383E-3</v>
      </c>
      <c r="G147" s="39">
        <f t="shared" si="18"/>
        <v>-4.9079754601226905E-2</v>
      </c>
      <c r="H147" s="40">
        <f t="shared" si="20"/>
        <v>-4.9079754601226905E-2</v>
      </c>
    </row>
    <row r="148" spans="1:8" x14ac:dyDescent="0.25">
      <c r="A148" s="61" t="s">
        <v>262</v>
      </c>
      <c r="B148" s="70">
        <v>12.2</v>
      </c>
      <c r="C148" s="52">
        <v>13.08</v>
      </c>
      <c r="D148" s="39">
        <v>11.68</v>
      </c>
      <c r="E148" s="70">
        <v>11.68</v>
      </c>
      <c r="F148" s="39">
        <f t="shared" si="19"/>
        <v>7.2131147540983681E-2</v>
      </c>
      <c r="G148" s="39">
        <f t="shared" si="18"/>
        <v>-4.2622950819672101E-2</v>
      </c>
      <c r="H148" s="40">
        <f t="shared" si="20"/>
        <v>-4.2622950819672101E-2</v>
      </c>
    </row>
    <row r="149" spans="1:8" x14ac:dyDescent="0.25">
      <c r="A149" s="61" t="s">
        <v>263</v>
      </c>
      <c r="B149" s="70">
        <v>13.12</v>
      </c>
      <c r="C149" s="52">
        <v>12.84</v>
      </c>
      <c r="D149" s="39">
        <v>12.28</v>
      </c>
      <c r="E149" s="70">
        <v>12.28</v>
      </c>
      <c r="F149" s="39">
        <f t="shared" si="19"/>
        <v>-2.1341463414634099E-2</v>
      </c>
      <c r="G149" s="39">
        <f t="shared" si="18"/>
        <v>-6.4024390243902427E-2</v>
      </c>
      <c r="H149" s="40">
        <f t="shared" si="20"/>
        <v>-6.4024390243902427E-2</v>
      </c>
    </row>
    <row r="150" spans="1:8" x14ac:dyDescent="0.25">
      <c r="A150" s="61" t="s">
        <v>264</v>
      </c>
      <c r="B150" s="70">
        <v>9.2799999999999994</v>
      </c>
      <c r="C150" s="52">
        <v>11</v>
      </c>
      <c r="D150" s="39">
        <v>9.1199999999999992</v>
      </c>
      <c r="E150" s="70">
        <v>9.1199999999999992</v>
      </c>
      <c r="F150" s="39">
        <f t="shared" si="19"/>
        <v>0.18534482758620699</v>
      </c>
      <c r="G150" s="39">
        <f t="shared" si="18"/>
        <v>-1.7241379310344845E-2</v>
      </c>
      <c r="H150" s="40">
        <f t="shared" si="20"/>
        <v>-1.7241379310344845E-2</v>
      </c>
    </row>
    <row r="151" spans="1:8" x14ac:dyDescent="0.25">
      <c r="A151" s="61" t="s">
        <v>265</v>
      </c>
      <c r="B151" s="70">
        <v>12.36</v>
      </c>
      <c r="C151" s="52">
        <v>13.28</v>
      </c>
      <c r="D151" s="39">
        <v>11.88</v>
      </c>
      <c r="E151" s="70">
        <v>11.88</v>
      </c>
      <c r="F151" s="39">
        <f t="shared" si="19"/>
        <v>7.4433656957928807E-2</v>
      </c>
      <c r="G151" s="39">
        <f t="shared" si="18"/>
        <v>-3.8834951456310572E-2</v>
      </c>
      <c r="H151" s="40">
        <f t="shared" si="20"/>
        <v>-3.8834951456310572E-2</v>
      </c>
    </row>
    <row r="152" spans="1:8" x14ac:dyDescent="0.25">
      <c r="A152" s="61" t="s">
        <v>266</v>
      </c>
      <c r="B152" s="70">
        <v>15.68</v>
      </c>
      <c r="C152" s="52">
        <v>14.8</v>
      </c>
      <c r="D152" s="39">
        <v>15.32</v>
      </c>
      <c r="E152" s="70">
        <v>14.04</v>
      </c>
      <c r="F152" s="39">
        <f t="shared" si="19"/>
        <v>-5.6122448979591774E-2</v>
      </c>
      <c r="G152" s="39">
        <f t="shared" si="18"/>
        <v>-2.2959183673469351E-2</v>
      </c>
      <c r="H152" s="40">
        <f t="shared" si="20"/>
        <v>-0.10459183673469391</v>
      </c>
    </row>
    <row r="153" spans="1:8" x14ac:dyDescent="0.25">
      <c r="A153" s="61" t="s">
        <v>267</v>
      </c>
      <c r="B153" s="70">
        <v>12.68</v>
      </c>
      <c r="C153" s="52">
        <v>13.68</v>
      </c>
      <c r="D153" s="39">
        <v>12.16</v>
      </c>
      <c r="E153" s="70">
        <v>12</v>
      </c>
      <c r="F153" s="39">
        <f t="shared" si="19"/>
        <v>7.8864353312302835E-2</v>
      </c>
      <c r="G153" s="39">
        <f t="shared" si="18"/>
        <v>-4.1009463722397443E-2</v>
      </c>
      <c r="H153" s="40">
        <f t="shared" si="20"/>
        <v>-5.3627760252365909E-2</v>
      </c>
    </row>
    <row r="154" spans="1:8" x14ac:dyDescent="0.25">
      <c r="A154" s="61" t="s">
        <v>268</v>
      </c>
      <c r="B154" s="70">
        <v>9.8800000000000008</v>
      </c>
      <c r="C154" s="52">
        <v>10.28</v>
      </c>
      <c r="D154" s="39">
        <v>9.7200000000000006</v>
      </c>
      <c r="E154" s="70">
        <v>9.7200000000000006</v>
      </c>
      <c r="F154" s="39">
        <f t="shared" si="19"/>
        <v>4.0485829959514025E-2</v>
      </c>
      <c r="G154" s="39">
        <f t="shared" si="18"/>
        <v>-1.6194331983805682E-2</v>
      </c>
      <c r="H154" s="40">
        <f t="shared" si="20"/>
        <v>-1.6194331983805682E-2</v>
      </c>
    </row>
    <row r="155" spans="1:8" x14ac:dyDescent="0.25">
      <c r="A155" s="61" t="s">
        <v>269</v>
      </c>
      <c r="B155" s="70">
        <v>9.8800000000000008</v>
      </c>
      <c r="C155" s="52">
        <v>10.32</v>
      </c>
      <c r="D155" s="39">
        <v>9.7200000000000006</v>
      </c>
      <c r="E155" s="70">
        <v>9.7200000000000006</v>
      </c>
      <c r="F155" s="39">
        <f t="shared" si="19"/>
        <v>4.4534412955465535E-2</v>
      </c>
      <c r="G155" s="39">
        <f t="shared" si="18"/>
        <v>-1.6194331983805682E-2</v>
      </c>
      <c r="H155" s="40">
        <f t="shared" si="20"/>
        <v>-1.6194331983805682E-2</v>
      </c>
    </row>
    <row r="156" spans="1:8" x14ac:dyDescent="0.25">
      <c r="A156" s="61" t="s">
        <v>270</v>
      </c>
      <c r="B156" s="70">
        <v>10.28</v>
      </c>
      <c r="C156" s="52">
        <v>10.52</v>
      </c>
      <c r="D156" s="39">
        <v>10.119999999999999</v>
      </c>
      <c r="E156" s="70">
        <v>10.119999999999999</v>
      </c>
      <c r="F156" s="39">
        <f t="shared" si="19"/>
        <v>2.3346303501945546E-2</v>
      </c>
      <c r="G156" s="39">
        <f t="shared" si="18"/>
        <v>-1.5564202334630364E-2</v>
      </c>
      <c r="H156" s="40">
        <f t="shared" si="20"/>
        <v>-1.5564202334630364E-2</v>
      </c>
    </row>
    <row r="157" spans="1:8" x14ac:dyDescent="0.25">
      <c r="A157" s="61" t="s">
        <v>271</v>
      </c>
      <c r="B157" s="70">
        <v>10.68</v>
      </c>
      <c r="C157" s="52">
        <v>11.08</v>
      </c>
      <c r="D157" s="39">
        <v>10.52</v>
      </c>
      <c r="E157" s="70">
        <v>10.52</v>
      </c>
      <c r="F157" s="39">
        <f t="shared" si="19"/>
        <v>3.7453183520599287E-2</v>
      </c>
      <c r="G157" s="39">
        <f t="shared" si="18"/>
        <v>-1.4981273408239714E-2</v>
      </c>
      <c r="H157" s="40">
        <f t="shared" si="20"/>
        <v>-1.4981273408239714E-2</v>
      </c>
    </row>
    <row r="158" spans="1:8" x14ac:dyDescent="0.25">
      <c r="A158" s="61" t="s">
        <v>272</v>
      </c>
      <c r="B158" s="70">
        <v>12.68</v>
      </c>
      <c r="C158" s="52">
        <v>13.72</v>
      </c>
      <c r="D158" s="39">
        <v>12</v>
      </c>
      <c r="E158" s="70">
        <v>11.84</v>
      </c>
      <c r="F158" s="39">
        <f t="shared" si="19"/>
        <v>8.2018927444795026E-2</v>
      </c>
      <c r="G158" s="39">
        <f t="shared" si="18"/>
        <v>-5.3627760252365909E-2</v>
      </c>
      <c r="H158" s="40">
        <f t="shared" si="20"/>
        <v>-6.6246056782334375E-2</v>
      </c>
    </row>
    <row r="159" spans="1:8" x14ac:dyDescent="0.25">
      <c r="A159" s="61" t="s">
        <v>273</v>
      </c>
      <c r="B159" s="70">
        <v>14.08</v>
      </c>
      <c r="C159" s="52">
        <v>13.56</v>
      </c>
      <c r="D159" s="39">
        <v>13.08</v>
      </c>
      <c r="E159" s="70">
        <v>12.76</v>
      </c>
      <c r="F159" s="39">
        <f t="shared" si="19"/>
        <v>-3.6931818181818149E-2</v>
      </c>
      <c r="G159" s="39">
        <f t="shared" si="18"/>
        <v>-7.1022727272727279E-2</v>
      </c>
      <c r="H159" s="40">
        <f t="shared" si="20"/>
        <v>-9.3750000000000014E-2</v>
      </c>
    </row>
    <row r="160" spans="1:8" x14ac:dyDescent="0.25">
      <c r="A160" s="61" t="s">
        <v>274</v>
      </c>
      <c r="B160" s="70">
        <v>10.76</v>
      </c>
      <c r="C160" s="52">
        <v>11.6</v>
      </c>
      <c r="D160" s="39">
        <v>10.6</v>
      </c>
      <c r="E160" s="70">
        <v>10.6</v>
      </c>
      <c r="F160" s="39">
        <f t="shared" si="19"/>
        <v>7.8066914498141252E-2</v>
      </c>
      <c r="G160" s="39">
        <f t="shared" si="18"/>
        <v>-1.4869888475836444E-2</v>
      </c>
      <c r="H160" s="40">
        <f t="shared" si="20"/>
        <v>-1.4869888475836444E-2</v>
      </c>
    </row>
    <row r="161" spans="1:8" x14ac:dyDescent="0.25">
      <c r="A161" s="61" t="s">
        <v>275</v>
      </c>
      <c r="B161" s="70">
        <v>10.76</v>
      </c>
      <c r="C161" s="52">
        <v>11.2</v>
      </c>
      <c r="D161" s="39">
        <v>10.6</v>
      </c>
      <c r="E161" s="70">
        <v>10.6</v>
      </c>
      <c r="F161" s="39">
        <f t="shared" si="19"/>
        <v>4.0892193308550137E-2</v>
      </c>
      <c r="G161" s="39">
        <f t="shared" si="18"/>
        <v>-1.4869888475836444E-2</v>
      </c>
      <c r="H161" s="40">
        <f t="shared" si="20"/>
        <v>-1.4869888475836444E-2</v>
      </c>
    </row>
    <row r="162" spans="1:8" x14ac:dyDescent="0.25">
      <c r="A162" s="61" t="s">
        <v>276</v>
      </c>
      <c r="B162" s="70">
        <v>10.76</v>
      </c>
      <c r="C162" s="52">
        <v>11.4</v>
      </c>
      <c r="D162" s="39">
        <v>10.6</v>
      </c>
      <c r="E162" s="70">
        <v>10.6</v>
      </c>
      <c r="F162" s="39">
        <f t="shared" si="19"/>
        <v>5.9479553903345778E-2</v>
      </c>
      <c r="G162" s="39">
        <f t="shared" si="18"/>
        <v>-1.4869888475836444E-2</v>
      </c>
      <c r="H162" s="40">
        <f t="shared" si="20"/>
        <v>-1.4869888475836444E-2</v>
      </c>
    </row>
    <row r="163" spans="1:8" x14ac:dyDescent="0.25">
      <c r="A163" s="61" t="s">
        <v>277</v>
      </c>
      <c r="B163" s="70">
        <v>12.24</v>
      </c>
      <c r="C163" s="52">
        <v>12.6</v>
      </c>
      <c r="D163" s="39">
        <v>11.88</v>
      </c>
      <c r="E163" s="70">
        <v>11.88</v>
      </c>
      <c r="F163" s="39">
        <f t="shared" si="19"/>
        <v>2.9411764705882307E-2</v>
      </c>
      <c r="G163" s="39">
        <f t="shared" si="18"/>
        <v>-2.9411764705882307E-2</v>
      </c>
      <c r="H163" s="40">
        <f t="shared" si="20"/>
        <v>-2.9411764705882307E-2</v>
      </c>
    </row>
    <row r="164" spans="1:8" x14ac:dyDescent="0.25">
      <c r="A164" s="61" t="s">
        <v>278</v>
      </c>
      <c r="B164" s="70">
        <v>14.44</v>
      </c>
      <c r="C164" s="52">
        <v>14.04</v>
      </c>
      <c r="D164" s="39">
        <v>13.28</v>
      </c>
      <c r="E164" s="70">
        <v>13.28</v>
      </c>
      <c r="F164" s="39">
        <f t="shared" si="19"/>
        <v>-2.7700831024930775E-2</v>
      </c>
      <c r="G164" s="39">
        <f t="shared" si="18"/>
        <v>-8.0332409972299179E-2</v>
      </c>
      <c r="H164" s="40">
        <f t="shared" si="20"/>
        <v>-8.0332409972299179E-2</v>
      </c>
    </row>
    <row r="165" spans="1:8" x14ac:dyDescent="0.25">
      <c r="A165" s="61" t="s">
        <v>279</v>
      </c>
      <c r="B165" s="70">
        <v>10</v>
      </c>
      <c r="C165" s="52">
        <v>10.72</v>
      </c>
      <c r="D165" s="39">
        <v>10</v>
      </c>
      <c r="E165" s="70">
        <v>10</v>
      </c>
      <c r="F165" s="39">
        <f t="shared" si="19"/>
        <v>7.2000000000000064E-2</v>
      </c>
      <c r="G165" s="39">
        <f t="shared" si="18"/>
        <v>0</v>
      </c>
      <c r="H165" s="40">
        <f t="shared" si="20"/>
        <v>0</v>
      </c>
    </row>
    <row r="166" spans="1:8" x14ac:dyDescent="0.25">
      <c r="A166" s="61" t="s">
        <v>280</v>
      </c>
      <c r="B166" s="70">
        <v>9.1999999999999993</v>
      </c>
      <c r="C166" s="52">
        <v>10</v>
      </c>
      <c r="D166" s="39">
        <v>9</v>
      </c>
      <c r="E166" s="70">
        <v>9</v>
      </c>
      <c r="F166" s="39">
        <f t="shared" si="19"/>
        <v>8.6956521739130516E-2</v>
      </c>
      <c r="G166" s="39">
        <f t="shared" si="18"/>
        <v>-2.1739130434782532E-2</v>
      </c>
      <c r="H166" s="40">
        <f t="shared" si="20"/>
        <v>-2.1739130434782532E-2</v>
      </c>
    </row>
    <row r="167" spans="1:8" x14ac:dyDescent="0.25">
      <c r="A167" s="61" t="s">
        <v>281</v>
      </c>
      <c r="B167" s="70">
        <v>10.199999999999999</v>
      </c>
      <c r="C167" s="52">
        <v>10.6</v>
      </c>
      <c r="D167" s="39">
        <v>10.199999999999999</v>
      </c>
      <c r="E167" s="70">
        <v>10.199999999999999</v>
      </c>
      <c r="F167" s="39">
        <f t="shared" si="19"/>
        <v>3.9215686274509838E-2</v>
      </c>
      <c r="G167" s="39">
        <f t="shared" si="18"/>
        <v>0</v>
      </c>
      <c r="H167" s="40">
        <f t="shared" si="20"/>
        <v>0</v>
      </c>
    </row>
    <row r="168" spans="1:8" x14ac:dyDescent="0.25">
      <c r="A168" s="61" t="s">
        <v>282</v>
      </c>
      <c r="B168" s="70">
        <v>9.64</v>
      </c>
      <c r="C168" s="52">
        <v>10.24</v>
      </c>
      <c r="D168" s="39">
        <v>9.44</v>
      </c>
      <c r="E168" s="70">
        <v>9.64</v>
      </c>
      <c r="F168" s="39">
        <f t="shared" si="19"/>
        <v>6.2240663900414897E-2</v>
      </c>
      <c r="G168" s="39">
        <f t="shared" si="18"/>
        <v>-2.0746887966805089E-2</v>
      </c>
      <c r="H168" s="40">
        <f t="shared" si="20"/>
        <v>0</v>
      </c>
    </row>
    <row r="169" spans="1:8" x14ac:dyDescent="0.25">
      <c r="A169" s="61" t="s">
        <v>283</v>
      </c>
      <c r="B169" s="70">
        <v>9.64</v>
      </c>
      <c r="C169" s="52">
        <v>10.24</v>
      </c>
      <c r="D169" s="39">
        <v>9.44</v>
      </c>
      <c r="E169" s="70">
        <v>9.44</v>
      </c>
      <c r="F169" s="39">
        <f t="shared" si="19"/>
        <v>6.2240663900414897E-2</v>
      </c>
      <c r="G169" s="39">
        <f t="shared" si="18"/>
        <v>-2.0746887966805089E-2</v>
      </c>
      <c r="H169" s="40">
        <f t="shared" si="20"/>
        <v>-2.0746887966805089E-2</v>
      </c>
    </row>
    <row r="170" spans="1:8" x14ac:dyDescent="0.25">
      <c r="A170" s="61" t="s">
        <v>284</v>
      </c>
      <c r="B170" s="70">
        <v>10.199999999999999</v>
      </c>
      <c r="C170" s="52">
        <v>10.8</v>
      </c>
      <c r="D170" s="39">
        <v>10.199999999999999</v>
      </c>
      <c r="E170" s="70">
        <v>10.199999999999999</v>
      </c>
      <c r="F170" s="39">
        <f t="shared" si="19"/>
        <v>5.8823529411764851E-2</v>
      </c>
      <c r="G170" s="39">
        <f t="shared" si="18"/>
        <v>0</v>
      </c>
      <c r="H170" s="40">
        <f t="shared" si="20"/>
        <v>0</v>
      </c>
    </row>
    <row r="171" spans="1:8" x14ac:dyDescent="0.25">
      <c r="A171" s="61" t="s">
        <v>285</v>
      </c>
      <c r="B171" s="70">
        <v>13.76</v>
      </c>
      <c r="C171" s="52">
        <v>13.04</v>
      </c>
      <c r="D171" s="39">
        <v>12.28</v>
      </c>
      <c r="E171" s="70">
        <v>12.28</v>
      </c>
      <c r="F171" s="39">
        <f t="shared" si="19"/>
        <v>-5.2325581395348882E-2</v>
      </c>
      <c r="G171" s="39">
        <f t="shared" si="18"/>
        <v>-0.10755813953488376</v>
      </c>
      <c r="H171" s="40">
        <f t="shared" si="20"/>
        <v>-0.10755813953488376</v>
      </c>
    </row>
    <row r="172" spans="1:8" x14ac:dyDescent="0.25">
      <c r="A172" s="61" t="s">
        <v>286</v>
      </c>
      <c r="B172" s="70">
        <v>14.4</v>
      </c>
      <c r="C172" s="52">
        <v>15.32</v>
      </c>
      <c r="D172" s="39">
        <v>13.88</v>
      </c>
      <c r="E172" s="70">
        <v>13.56</v>
      </c>
      <c r="F172" s="39">
        <f t="shared" si="19"/>
        <v>6.3888888888888884E-2</v>
      </c>
      <c r="G172" s="39">
        <f t="shared" si="18"/>
        <v>-3.611111111111108E-2</v>
      </c>
      <c r="H172" s="40">
        <f t="shared" si="20"/>
        <v>-5.833333333333332E-2</v>
      </c>
    </row>
    <row r="173" spans="1:8" x14ac:dyDescent="0.25">
      <c r="A173" s="61" t="s">
        <v>287</v>
      </c>
      <c r="B173" s="70">
        <v>12.52</v>
      </c>
      <c r="C173" s="52">
        <v>12.92</v>
      </c>
      <c r="D173" s="39">
        <v>11.84</v>
      </c>
      <c r="E173" s="70">
        <v>11.4</v>
      </c>
      <c r="F173" s="39">
        <f t="shared" si="19"/>
        <v>3.1948881789137407E-2</v>
      </c>
      <c r="G173" s="39">
        <f t="shared" si="18"/>
        <v>-5.4313099041533523E-2</v>
      </c>
      <c r="H173" s="40">
        <f t="shared" si="20"/>
        <v>-8.9456869009584605E-2</v>
      </c>
    </row>
    <row r="174" spans="1:8" x14ac:dyDescent="0.25">
      <c r="A174" s="61" t="s">
        <v>288</v>
      </c>
      <c r="B174" s="70">
        <v>9.9600000000000009</v>
      </c>
      <c r="C174" s="52">
        <v>10.16</v>
      </c>
      <c r="D174" s="39">
        <v>9.9600000000000009</v>
      </c>
      <c r="E174" s="70">
        <v>9.9600000000000009</v>
      </c>
      <c r="F174" s="39">
        <f t="shared" si="19"/>
        <v>2.0080321285140489E-2</v>
      </c>
      <c r="G174" s="39">
        <f t="shared" si="18"/>
        <v>0</v>
      </c>
      <c r="H174" s="40">
        <f t="shared" si="20"/>
        <v>0</v>
      </c>
    </row>
    <row r="175" spans="1:8" x14ac:dyDescent="0.25">
      <c r="A175" s="61" t="s">
        <v>289</v>
      </c>
      <c r="B175" s="70">
        <v>10.32</v>
      </c>
      <c r="C175" s="52">
        <v>10.72</v>
      </c>
      <c r="D175" s="39">
        <v>9.92</v>
      </c>
      <c r="E175" s="70">
        <v>9.92</v>
      </c>
      <c r="F175" s="39">
        <f t="shared" si="19"/>
        <v>3.8759689922480654E-2</v>
      </c>
      <c r="G175" s="39">
        <f t="shared" si="18"/>
        <v>-3.8759689922480654E-2</v>
      </c>
      <c r="H175" s="40">
        <f t="shared" si="20"/>
        <v>-3.8759689922480654E-2</v>
      </c>
    </row>
    <row r="176" spans="1:8" x14ac:dyDescent="0.25">
      <c r="A176" s="61" t="s">
        <v>290</v>
      </c>
      <c r="B176" s="70">
        <v>9.48</v>
      </c>
      <c r="C176" s="52">
        <v>10.08</v>
      </c>
      <c r="D176" s="39">
        <v>9.32</v>
      </c>
      <c r="E176" s="70">
        <v>9.32</v>
      </c>
      <c r="F176" s="39">
        <f t="shared" si="19"/>
        <v>6.3291139240506292E-2</v>
      </c>
      <c r="G176" s="39">
        <f t="shared" si="18"/>
        <v>-1.6877637130801704E-2</v>
      </c>
      <c r="H176" s="40">
        <f t="shared" si="20"/>
        <v>-1.6877637130801704E-2</v>
      </c>
    </row>
    <row r="177" spans="1:8" x14ac:dyDescent="0.25">
      <c r="A177" s="61" t="s">
        <v>291</v>
      </c>
      <c r="B177" s="70">
        <v>9.9600000000000009</v>
      </c>
      <c r="C177" s="52">
        <v>10.36</v>
      </c>
      <c r="D177" s="39">
        <v>9.76</v>
      </c>
      <c r="E177" s="70">
        <v>9.76</v>
      </c>
      <c r="F177" s="39">
        <f t="shared" si="19"/>
        <v>4.0160642570280979E-2</v>
      </c>
      <c r="G177" s="39">
        <f t="shared" si="18"/>
        <v>-2.0080321285140666E-2</v>
      </c>
      <c r="H177" s="40">
        <f t="shared" si="20"/>
        <v>-2.0080321285140666E-2</v>
      </c>
    </row>
    <row r="178" spans="1:8" x14ac:dyDescent="0.25">
      <c r="A178" s="61" t="s">
        <v>292</v>
      </c>
      <c r="B178" s="70">
        <v>9.56</v>
      </c>
      <c r="C178" s="52">
        <v>10.16</v>
      </c>
      <c r="D178" s="39">
        <v>9.56</v>
      </c>
      <c r="E178" s="70">
        <v>9.56</v>
      </c>
      <c r="F178" s="39">
        <f t="shared" si="19"/>
        <v>6.2761506276150583E-2</v>
      </c>
      <c r="G178" s="39">
        <f t="shared" si="18"/>
        <v>0</v>
      </c>
      <c r="H178" s="40">
        <f t="shared" si="20"/>
        <v>0</v>
      </c>
    </row>
    <row r="179" spans="1:8" x14ac:dyDescent="0.25">
      <c r="A179" s="61" t="s">
        <v>293</v>
      </c>
      <c r="B179" s="70">
        <v>10.16</v>
      </c>
      <c r="C179" s="52">
        <v>10.76</v>
      </c>
      <c r="D179" s="39">
        <v>10.16</v>
      </c>
      <c r="E179" s="70">
        <v>10.16</v>
      </c>
      <c r="F179" s="39">
        <f t="shared" si="19"/>
        <v>5.9055118110236185E-2</v>
      </c>
      <c r="G179" s="39">
        <f t="shared" si="18"/>
        <v>0</v>
      </c>
      <c r="H179" s="40">
        <f t="shared" si="20"/>
        <v>0</v>
      </c>
    </row>
    <row r="180" spans="1:8" x14ac:dyDescent="0.25">
      <c r="A180" s="61" t="s">
        <v>294</v>
      </c>
      <c r="B180" s="70">
        <v>19</v>
      </c>
      <c r="C180" s="52">
        <v>21.56</v>
      </c>
      <c r="D180" s="39">
        <v>19</v>
      </c>
      <c r="E180" s="70">
        <v>19</v>
      </c>
      <c r="F180" s="39">
        <f t="shared" si="19"/>
        <v>0.1347368421052631</v>
      </c>
      <c r="G180" s="39">
        <f t="shared" si="18"/>
        <v>0</v>
      </c>
      <c r="H180" s="40">
        <f t="shared" si="20"/>
        <v>0</v>
      </c>
    </row>
    <row r="181" spans="1:8" x14ac:dyDescent="0.25">
      <c r="A181" s="61" t="s">
        <v>295</v>
      </c>
      <c r="B181" s="70">
        <v>20.64</v>
      </c>
      <c r="C181" s="52">
        <v>22.56</v>
      </c>
      <c r="D181" s="39">
        <v>20.440000000000001</v>
      </c>
      <c r="E181" s="70">
        <v>20.440000000000001</v>
      </c>
      <c r="F181" s="39">
        <f t="shared" si="19"/>
        <v>9.302325581395339E-2</v>
      </c>
      <c r="G181" s="39">
        <f t="shared" si="18"/>
        <v>-9.6899224806201202E-3</v>
      </c>
      <c r="H181" s="40">
        <f t="shared" si="20"/>
        <v>-9.6899224806201202E-3</v>
      </c>
    </row>
    <row r="182" spans="1:8" x14ac:dyDescent="0.25">
      <c r="A182" s="61" t="s">
        <v>296</v>
      </c>
      <c r="B182" s="70">
        <v>20.84</v>
      </c>
      <c r="C182" s="52">
        <v>21.76</v>
      </c>
      <c r="D182" s="39">
        <v>20</v>
      </c>
      <c r="E182" s="70">
        <v>20</v>
      </c>
      <c r="F182" s="39">
        <f t="shared" si="19"/>
        <v>4.4145873320537508E-2</v>
      </c>
      <c r="G182" s="39">
        <f t="shared" si="18"/>
        <v>-4.0307101727447212E-2</v>
      </c>
      <c r="H182" s="40">
        <f t="shared" si="20"/>
        <v>-4.0307101727447212E-2</v>
      </c>
    </row>
    <row r="183" spans="1:8" x14ac:dyDescent="0.25">
      <c r="A183" s="61" t="s">
        <v>297</v>
      </c>
      <c r="B183" s="70">
        <v>20.68</v>
      </c>
      <c r="C183" s="52">
        <v>22.84</v>
      </c>
      <c r="D183" s="39">
        <v>20.64</v>
      </c>
      <c r="E183" s="70">
        <v>20.16</v>
      </c>
      <c r="F183" s="39">
        <f t="shared" si="19"/>
        <v>0.1044487427466151</v>
      </c>
      <c r="G183" s="39">
        <f t="shared" si="18"/>
        <v>-1.9342359767891271E-3</v>
      </c>
      <c r="H183" s="40">
        <f t="shared" si="20"/>
        <v>-2.5145067698259166E-2</v>
      </c>
    </row>
    <row r="184" spans="1:8" x14ac:dyDescent="0.25">
      <c r="A184" s="61" t="s">
        <v>298</v>
      </c>
      <c r="B184" s="70">
        <v>21.36</v>
      </c>
      <c r="C184" s="52">
        <v>23.04</v>
      </c>
      <c r="D184" s="39">
        <v>20.84</v>
      </c>
      <c r="E184" s="70">
        <v>20.84</v>
      </c>
      <c r="F184" s="39">
        <f t="shared" si="19"/>
        <v>7.8651685393258411E-2</v>
      </c>
      <c r="G184" s="39">
        <f t="shared" si="18"/>
        <v>-2.4344569288389493E-2</v>
      </c>
      <c r="H184" s="40">
        <f t="shared" si="20"/>
        <v>-2.4344569288389493E-2</v>
      </c>
    </row>
    <row r="185" spans="1:8" x14ac:dyDescent="0.25">
      <c r="A185" s="61" t="s">
        <v>299</v>
      </c>
      <c r="B185" s="70">
        <v>18.600000000000001</v>
      </c>
      <c r="C185" s="52">
        <v>20.88</v>
      </c>
      <c r="D185" s="39">
        <v>18.600000000000001</v>
      </c>
      <c r="E185" s="70">
        <v>18.600000000000001</v>
      </c>
      <c r="F185" s="39">
        <f t="shared" si="19"/>
        <v>0.12258064516129018</v>
      </c>
      <c r="G185" s="39">
        <f t="shared" si="18"/>
        <v>0</v>
      </c>
      <c r="H185" s="40">
        <f t="shared" si="20"/>
        <v>0</v>
      </c>
    </row>
    <row r="186" spans="1:8" x14ac:dyDescent="0.25">
      <c r="A186" s="61" t="s">
        <v>300</v>
      </c>
      <c r="B186" s="70">
        <v>19.399999999999999</v>
      </c>
      <c r="C186" s="52">
        <v>20.399999999999999</v>
      </c>
      <c r="D186" s="39">
        <v>19.04</v>
      </c>
      <c r="E186" s="70">
        <v>19.04</v>
      </c>
      <c r="F186" s="39">
        <f t="shared" si="19"/>
        <v>5.1546391752577324E-2</v>
      </c>
      <c r="G186" s="39">
        <f t="shared" si="18"/>
        <v>-1.8556701030927807E-2</v>
      </c>
      <c r="H186" s="40">
        <f t="shared" si="20"/>
        <v>-1.8556701030927807E-2</v>
      </c>
    </row>
    <row r="187" spans="1:8" x14ac:dyDescent="0.25">
      <c r="A187" s="61" t="s">
        <v>301</v>
      </c>
      <c r="B187" s="70">
        <v>20.2</v>
      </c>
      <c r="C187" s="52">
        <v>21.6</v>
      </c>
      <c r="D187" s="39">
        <v>20.2</v>
      </c>
      <c r="E187" s="70">
        <v>20.2</v>
      </c>
      <c r="F187" s="39">
        <f t="shared" si="19"/>
        <v>6.930693069306941E-2</v>
      </c>
      <c r="G187" s="39">
        <f t="shared" si="18"/>
        <v>0</v>
      </c>
      <c r="H187" s="40">
        <f t="shared" si="20"/>
        <v>0</v>
      </c>
    </row>
    <row r="188" spans="1:8" x14ac:dyDescent="0.25">
      <c r="A188" s="61" t="s">
        <v>302</v>
      </c>
      <c r="B188" s="70">
        <v>18.84</v>
      </c>
      <c r="C188" s="52">
        <v>20.72</v>
      </c>
      <c r="D188" s="39">
        <v>18.68</v>
      </c>
      <c r="E188" s="70">
        <v>18.68</v>
      </c>
      <c r="F188" s="39">
        <f t="shared" si="19"/>
        <v>9.9787685774946872E-2</v>
      </c>
      <c r="G188" s="39">
        <f t="shared" si="18"/>
        <v>-8.492569002123149E-3</v>
      </c>
      <c r="H188" s="40">
        <f t="shared" si="20"/>
        <v>-8.492569002123149E-3</v>
      </c>
    </row>
    <row r="189" spans="1:8" x14ac:dyDescent="0.25">
      <c r="A189" s="61" t="s">
        <v>303</v>
      </c>
      <c r="B189" s="70">
        <v>19.239999999999998</v>
      </c>
      <c r="C189" s="52">
        <v>20.72</v>
      </c>
      <c r="D189" s="39">
        <v>19.079999999999998</v>
      </c>
      <c r="E189" s="70">
        <v>19.079999999999998</v>
      </c>
      <c r="F189" s="39">
        <f t="shared" si="19"/>
        <v>7.6923076923076955E-2</v>
      </c>
      <c r="G189" s="39">
        <f t="shared" ref="G189:G252" si="21">(D189-B189)/B189</f>
        <v>-8.3160083160083234E-3</v>
      </c>
      <c r="H189" s="40">
        <f t="shared" si="20"/>
        <v>-8.3160083160083234E-3</v>
      </c>
    </row>
    <row r="190" spans="1:8" x14ac:dyDescent="0.25">
      <c r="A190" s="61" t="s">
        <v>304</v>
      </c>
      <c r="B190" s="70">
        <v>19.16</v>
      </c>
      <c r="C190" s="52">
        <v>20.96</v>
      </c>
      <c r="D190" s="39">
        <v>19.16</v>
      </c>
      <c r="E190" s="70">
        <v>19.16</v>
      </c>
      <c r="F190" s="39">
        <f t="shared" si="19"/>
        <v>9.3945720250521961E-2</v>
      </c>
      <c r="G190" s="39">
        <f t="shared" si="21"/>
        <v>0</v>
      </c>
      <c r="H190" s="40">
        <f t="shared" si="20"/>
        <v>0</v>
      </c>
    </row>
    <row r="191" spans="1:8" x14ac:dyDescent="0.25">
      <c r="A191" s="61" t="s">
        <v>305</v>
      </c>
      <c r="B191" s="70">
        <v>20.64</v>
      </c>
      <c r="C191" s="52">
        <v>24.12</v>
      </c>
      <c r="D191" s="39">
        <v>20.92</v>
      </c>
      <c r="E191" s="70">
        <v>20.28</v>
      </c>
      <c r="F191" s="39">
        <f t="shared" si="19"/>
        <v>0.16860465116279072</v>
      </c>
      <c r="G191" s="39">
        <f t="shared" si="21"/>
        <v>1.3565891472868272E-2</v>
      </c>
      <c r="H191" s="40">
        <f t="shared" si="20"/>
        <v>-1.7441860465116251E-2</v>
      </c>
    </row>
    <row r="192" spans="1:8" x14ac:dyDescent="0.25">
      <c r="A192" s="61" t="s">
        <v>306</v>
      </c>
      <c r="B192" s="70">
        <v>18.600000000000001</v>
      </c>
      <c r="C192" s="52">
        <v>19.84</v>
      </c>
      <c r="D192" s="39">
        <v>18.12</v>
      </c>
      <c r="E192" s="70">
        <v>18.12</v>
      </c>
      <c r="F192" s="39">
        <f t="shared" si="19"/>
        <v>6.6666666666666582E-2</v>
      </c>
      <c r="G192" s="39">
        <f t="shared" si="21"/>
        <v>-2.5806451612903247E-2</v>
      </c>
      <c r="H192" s="40">
        <f t="shared" si="20"/>
        <v>-2.5806451612903247E-2</v>
      </c>
    </row>
    <row r="193" spans="1:8" x14ac:dyDescent="0.25">
      <c r="A193" s="61" t="s">
        <v>307</v>
      </c>
      <c r="B193" s="70">
        <v>19.52</v>
      </c>
      <c r="C193" s="52">
        <v>21.24</v>
      </c>
      <c r="D193" s="39">
        <v>19.32</v>
      </c>
      <c r="E193" s="70">
        <v>19.32</v>
      </c>
      <c r="F193" s="39">
        <f t="shared" si="19"/>
        <v>8.8114754098360601E-2</v>
      </c>
      <c r="G193" s="39">
        <f t="shared" si="21"/>
        <v>-1.0245901639344227E-2</v>
      </c>
      <c r="H193" s="40">
        <f t="shared" si="20"/>
        <v>-1.0245901639344227E-2</v>
      </c>
    </row>
    <row r="194" spans="1:8" x14ac:dyDescent="0.25">
      <c r="A194" s="61" t="s">
        <v>308</v>
      </c>
      <c r="B194" s="70">
        <v>21.44</v>
      </c>
      <c r="C194" s="52">
        <v>23.32</v>
      </c>
      <c r="D194" s="39">
        <v>21.24</v>
      </c>
      <c r="E194" s="70">
        <v>21.08</v>
      </c>
      <c r="F194" s="39">
        <f t="shared" si="19"/>
        <v>8.7686567164179052E-2</v>
      </c>
      <c r="G194" s="39">
        <f t="shared" si="21"/>
        <v>-9.3283582089553566E-3</v>
      </c>
      <c r="H194" s="40">
        <f t="shared" si="20"/>
        <v>-1.6791044776119542E-2</v>
      </c>
    </row>
    <row r="195" spans="1:8" x14ac:dyDescent="0.25">
      <c r="A195" s="61" t="s">
        <v>309</v>
      </c>
      <c r="B195" s="70">
        <v>20.16</v>
      </c>
      <c r="C195" s="52">
        <v>21.2</v>
      </c>
      <c r="D195" s="39">
        <v>19.88</v>
      </c>
      <c r="E195" s="70">
        <v>19.84</v>
      </c>
      <c r="F195" s="39">
        <f t="shared" si="19"/>
        <v>5.1587301587301543E-2</v>
      </c>
      <c r="G195" s="39">
        <f t="shared" si="21"/>
        <v>-1.3888888888888945E-2</v>
      </c>
      <c r="H195" s="40">
        <f t="shared" si="20"/>
        <v>-1.5873015873015886E-2</v>
      </c>
    </row>
    <row r="196" spans="1:8" x14ac:dyDescent="0.25">
      <c r="A196" s="61" t="s">
        <v>310</v>
      </c>
      <c r="B196" s="70">
        <v>18.68</v>
      </c>
      <c r="C196" s="52">
        <v>20.2</v>
      </c>
      <c r="D196" s="39">
        <v>18.68</v>
      </c>
      <c r="E196" s="70">
        <v>18.68</v>
      </c>
      <c r="F196" s="39">
        <f t="shared" si="19"/>
        <v>8.1370449678800832E-2</v>
      </c>
      <c r="G196" s="39">
        <f t="shared" si="21"/>
        <v>0</v>
      </c>
      <c r="H196" s="40">
        <f t="shared" si="20"/>
        <v>0</v>
      </c>
    </row>
    <row r="197" spans="1:8" x14ac:dyDescent="0.25">
      <c r="A197" s="61" t="s">
        <v>311</v>
      </c>
      <c r="B197" s="70">
        <v>21.68</v>
      </c>
      <c r="C197" s="52">
        <v>24.08</v>
      </c>
      <c r="D197" s="39">
        <v>21.04</v>
      </c>
      <c r="E197" s="70">
        <v>21.04</v>
      </c>
      <c r="F197" s="39">
        <f t="shared" si="19"/>
        <v>0.11070110701107004</v>
      </c>
      <c r="G197" s="39">
        <f t="shared" si="21"/>
        <v>-2.9520295202952056E-2</v>
      </c>
      <c r="H197" s="40">
        <f t="shared" si="20"/>
        <v>-2.9520295202952056E-2</v>
      </c>
    </row>
    <row r="198" spans="1:8" x14ac:dyDescent="0.25">
      <c r="A198" s="61" t="s">
        <v>312</v>
      </c>
      <c r="B198" s="70">
        <v>24.84</v>
      </c>
      <c r="C198" s="52">
        <v>27.76</v>
      </c>
      <c r="D198" s="39">
        <v>25.64</v>
      </c>
      <c r="E198" s="70">
        <v>22.44</v>
      </c>
      <c r="F198" s="39">
        <f t="shared" si="19"/>
        <v>0.11755233494363936</v>
      </c>
      <c r="G198" s="39">
        <f t="shared" si="21"/>
        <v>3.2206119162640934E-2</v>
      </c>
      <c r="H198" s="40">
        <f t="shared" si="20"/>
        <v>-9.6618357487922649E-2</v>
      </c>
    </row>
    <row r="199" spans="1:8" x14ac:dyDescent="0.25">
      <c r="A199" s="61" t="s">
        <v>313</v>
      </c>
      <c r="B199" s="70">
        <v>20.88</v>
      </c>
      <c r="C199" s="52">
        <v>22.56</v>
      </c>
      <c r="D199" s="39">
        <v>20.36</v>
      </c>
      <c r="E199" s="70">
        <v>20.32</v>
      </c>
      <c r="F199" s="39">
        <f t="shared" si="19"/>
        <v>8.0459770114942514E-2</v>
      </c>
      <c r="G199" s="39">
        <f t="shared" si="21"/>
        <v>-2.4904214559386954E-2</v>
      </c>
      <c r="H199" s="40">
        <f t="shared" si="20"/>
        <v>-2.6819923371647448E-2</v>
      </c>
    </row>
    <row r="200" spans="1:8" x14ac:dyDescent="0.25">
      <c r="A200" s="61" t="s">
        <v>314</v>
      </c>
      <c r="B200" s="70">
        <v>25</v>
      </c>
      <c r="C200" s="52">
        <v>25.52</v>
      </c>
      <c r="D200" s="39">
        <v>24.64</v>
      </c>
      <c r="E200" s="70">
        <v>24.64</v>
      </c>
      <c r="F200" s="39">
        <f t="shared" ref="F200:F263" si="22">(C200-B200)/B200</f>
        <v>2.0799999999999982E-2</v>
      </c>
      <c r="G200" s="39">
        <f t="shared" si="21"/>
        <v>-1.4399999999999977E-2</v>
      </c>
      <c r="H200" s="40">
        <f t="shared" ref="H200:H263" si="23">(E200-B200)/B200</f>
        <v>-1.4399999999999977E-2</v>
      </c>
    </row>
    <row r="201" spans="1:8" x14ac:dyDescent="0.25">
      <c r="A201" s="61" t="s">
        <v>315</v>
      </c>
      <c r="B201" s="70">
        <v>17.2</v>
      </c>
      <c r="C201" s="52">
        <v>18.559999999999999</v>
      </c>
      <c r="D201" s="39">
        <v>17</v>
      </c>
      <c r="E201" s="70">
        <v>17</v>
      </c>
      <c r="F201" s="39">
        <f t="shared" si="22"/>
        <v>7.9069767441860436E-2</v>
      </c>
      <c r="G201" s="39">
        <f t="shared" si="21"/>
        <v>-1.1627906976744146E-2</v>
      </c>
      <c r="H201" s="40">
        <f t="shared" si="23"/>
        <v>-1.1627906976744146E-2</v>
      </c>
    </row>
    <row r="202" spans="1:8" x14ac:dyDescent="0.25">
      <c r="A202" s="61" t="s">
        <v>316</v>
      </c>
      <c r="B202" s="70">
        <v>21.2</v>
      </c>
      <c r="C202" s="52">
        <v>22.76</v>
      </c>
      <c r="D202" s="39">
        <v>21.04</v>
      </c>
      <c r="E202" s="70">
        <v>20.88</v>
      </c>
      <c r="F202" s="39">
        <f t="shared" si="22"/>
        <v>7.3584905660377467E-2</v>
      </c>
      <c r="G202" s="39">
        <f t="shared" si="21"/>
        <v>-7.5471698113207617E-3</v>
      </c>
      <c r="H202" s="40">
        <f t="shared" si="23"/>
        <v>-1.5094339622641523E-2</v>
      </c>
    </row>
    <row r="203" spans="1:8" x14ac:dyDescent="0.25">
      <c r="A203" s="61" t="s">
        <v>317</v>
      </c>
      <c r="B203" s="70">
        <v>21.88</v>
      </c>
      <c r="C203" s="52">
        <v>23.52</v>
      </c>
      <c r="D203" s="39">
        <v>21.4</v>
      </c>
      <c r="E203" s="70">
        <v>21.24</v>
      </c>
      <c r="F203" s="39">
        <f t="shared" si="22"/>
        <v>7.4954296160877537E-2</v>
      </c>
      <c r="G203" s="39">
        <f t="shared" si="21"/>
        <v>-2.1937842778793439E-2</v>
      </c>
      <c r="H203" s="40">
        <f t="shared" si="23"/>
        <v>-2.9250457038391253E-2</v>
      </c>
    </row>
    <row r="204" spans="1:8" x14ac:dyDescent="0.25">
      <c r="A204" s="61" t="s">
        <v>318</v>
      </c>
      <c r="B204" s="70">
        <v>21.76</v>
      </c>
      <c r="C204" s="52">
        <v>22.96</v>
      </c>
      <c r="D204" s="39">
        <v>21.2</v>
      </c>
      <c r="E204" s="70">
        <v>21.2</v>
      </c>
      <c r="F204" s="39">
        <f t="shared" si="22"/>
        <v>5.5147058823529375E-2</v>
      </c>
      <c r="G204" s="39">
        <f t="shared" si="21"/>
        <v>-2.5735294117647162E-2</v>
      </c>
      <c r="H204" s="40">
        <f t="shared" si="23"/>
        <v>-2.5735294117647162E-2</v>
      </c>
    </row>
    <row r="205" spans="1:8" x14ac:dyDescent="0.25">
      <c r="A205" s="61" t="s">
        <v>319</v>
      </c>
      <c r="B205" s="70">
        <v>20.76</v>
      </c>
      <c r="C205" s="52">
        <v>22.12</v>
      </c>
      <c r="D205" s="39">
        <v>20.399999999999999</v>
      </c>
      <c r="E205" s="70">
        <v>20.399999999999999</v>
      </c>
      <c r="F205" s="39">
        <f t="shared" si="22"/>
        <v>6.5510597302504789E-2</v>
      </c>
      <c r="G205" s="39">
        <f t="shared" si="21"/>
        <v>-1.734104046242789E-2</v>
      </c>
      <c r="H205" s="40">
        <f t="shared" si="23"/>
        <v>-1.734104046242789E-2</v>
      </c>
    </row>
    <row r="206" spans="1:8" x14ac:dyDescent="0.25">
      <c r="A206" s="61" t="s">
        <v>320</v>
      </c>
      <c r="B206" s="70">
        <v>19.239999999999998</v>
      </c>
      <c r="C206" s="52">
        <v>21.76</v>
      </c>
      <c r="D206" s="39">
        <v>19.04</v>
      </c>
      <c r="E206" s="70">
        <v>19.04</v>
      </c>
      <c r="F206" s="39">
        <f t="shared" si="22"/>
        <v>0.13097713097713115</v>
      </c>
      <c r="G206" s="39">
        <f t="shared" si="21"/>
        <v>-1.0395010395010359E-2</v>
      </c>
      <c r="H206" s="40">
        <f t="shared" si="23"/>
        <v>-1.0395010395010359E-2</v>
      </c>
    </row>
    <row r="207" spans="1:8" x14ac:dyDescent="0.25">
      <c r="A207" s="61" t="s">
        <v>321</v>
      </c>
      <c r="B207" s="70">
        <v>21.88</v>
      </c>
      <c r="C207" s="52">
        <v>24.64</v>
      </c>
      <c r="D207" s="39">
        <v>21.68</v>
      </c>
      <c r="E207" s="70">
        <v>21.52</v>
      </c>
      <c r="F207" s="39">
        <f t="shared" si="22"/>
        <v>0.12614259597806224</v>
      </c>
      <c r="G207" s="39">
        <f t="shared" si="21"/>
        <v>-9.140767824497225E-3</v>
      </c>
      <c r="H207" s="40">
        <f t="shared" si="23"/>
        <v>-1.6453382084095039E-2</v>
      </c>
    </row>
    <row r="208" spans="1:8" x14ac:dyDescent="0.25">
      <c r="A208" s="61" t="s">
        <v>322</v>
      </c>
      <c r="B208" s="70">
        <v>25.2</v>
      </c>
      <c r="C208" s="52">
        <v>26.56</v>
      </c>
      <c r="D208" s="39">
        <v>24.44</v>
      </c>
      <c r="E208" s="70">
        <v>24.4</v>
      </c>
      <c r="F208" s="39">
        <f t="shared" si="22"/>
        <v>5.396825396825395E-2</v>
      </c>
      <c r="G208" s="39">
        <f t="shared" si="21"/>
        <v>-3.0158730158730079E-2</v>
      </c>
      <c r="H208" s="40">
        <f t="shared" si="23"/>
        <v>-3.1746031746031772E-2</v>
      </c>
    </row>
    <row r="209" spans="1:8" x14ac:dyDescent="0.25">
      <c r="A209" s="61" t="s">
        <v>323</v>
      </c>
      <c r="B209" s="70">
        <v>25.96</v>
      </c>
      <c r="C209" s="52">
        <v>27</v>
      </c>
      <c r="D209" s="39">
        <v>25.72</v>
      </c>
      <c r="E209" s="70">
        <v>25.92</v>
      </c>
      <c r="F209" s="39">
        <f t="shared" si="22"/>
        <v>4.006163328197223E-2</v>
      </c>
      <c r="G209" s="39">
        <f t="shared" si="21"/>
        <v>-9.2449922958398306E-3</v>
      </c>
      <c r="H209" s="40">
        <f t="shared" si="23"/>
        <v>-1.5408320493065927E-3</v>
      </c>
    </row>
    <row r="210" spans="1:8" x14ac:dyDescent="0.25">
      <c r="A210" s="61" t="s">
        <v>324</v>
      </c>
      <c r="B210" s="70">
        <v>22.36</v>
      </c>
      <c r="C210" s="52">
        <v>24.88</v>
      </c>
      <c r="D210" s="39">
        <v>22.36</v>
      </c>
      <c r="E210" s="70">
        <v>22.04</v>
      </c>
      <c r="F210" s="39">
        <f t="shared" si="22"/>
        <v>0.11270125223613595</v>
      </c>
      <c r="G210" s="39">
        <f t="shared" si="21"/>
        <v>0</v>
      </c>
      <c r="H210" s="40">
        <f t="shared" si="23"/>
        <v>-1.4311270125223626E-2</v>
      </c>
    </row>
    <row r="211" spans="1:8" x14ac:dyDescent="0.25">
      <c r="A211" s="61" t="s">
        <v>325</v>
      </c>
      <c r="B211" s="70">
        <v>23.08</v>
      </c>
      <c r="C211" s="52">
        <v>25.04</v>
      </c>
      <c r="D211" s="39">
        <v>22.76</v>
      </c>
      <c r="E211" s="70">
        <v>22.28</v>
      </c>
      <c r="F211" s="39">
        <f t="shared" si="22"/>
        <v>8.4922010398613565E-2</v>
      </c>
      <c r="G211" s="39">
        <f t="shared" si="21"/>
        <v>-1.386481802426329E-2</v>
      </c>
      <c r="H211" s="40">
        <f t="shared" si="23"/>
        <v>-3.466204506065846E-2</v>
      </c>
    </row>
    <row r="212" spans="1:8" x14ac:dyDescent="0.25">
      <c r="A212" s="61" t="s">
        <v>326</v>
      </c>
      <c r="B212" s="70">
        <v>22.24</v>
      </c>
      <c r="C212" s="52">
        <v>23.68</v>
      </c>
      <c r="D212" s="39">
        <v>22.04</v>
      </c>
      <c r="E212" s="70">
        <v>22.04</v>
      </c>
      <c r="F212" s="39">
        <f t="shared" si="22"/>
        <v>6.4748201438848976E-2</v>
      </c>
      <c r="G212" s="39">
        <f t="shared" si="21"/>
        <v>-8.9928057553956518E-3</v>
      </c>
      <c r="H212" s="40">
        <f t="shared" si="23"/>
        <v>-8.9928057553956518E-3</v>
      </c>
    </row>
    <row r="213" spans="1:8" x14ac:dyDescent="0.25">
      <c r="A213" s="61" t="s">
        <v>327</v>
      </c>
      <c r="B213" s="70">
        <v>27.32</v>
      </c>
      <c r="C213" s="52">
        <v>28</v>
      </c>
      <c r="D213" s="39">
        <v>26.28</v>
      </c>
      <c r="E213" s="70">
        <v>26</v>
      </c>
      <c r="F213" s="39">
        <f t="shared" si="22"/>
        <v>2.4890190336749624E-2</v>
      </c>
      <c r="G213" s="39">
        <f t="shared" si="21"/>
        <v>-3.8067349926793524E-2</v>
      </c>
      <c r="H213" s="40">
        <f t="shared" si="23"/>
        <v>-4.8316251830161062E-2</v>
      </c>
    </row>
    <row r="214" spans="1:8" x14ac:dyDescent="0.25">
      <c r="A214" s="61" t="s">
        <v>328</v>
      </c>
      <c r="B214" s="70">
        <v>23.4</v>
      </c>
      <c r="C214" s="52">
        <v>26.04</v>
      </c>
      <c r="D214" s="39">
        <v>22.84</v>
      </c>
      <c r="E214" s="70">
        <v>22.84</v>
      </c>
      <c r="F214" s="39">
        <f t="shared" si="22"/>
        <v>0.11282051282051285</v>
      </c>
      <c r="G214" s="39">
        <f t="shared" si="21"/>
        <v>-2.3931623931623878E-2</v>
      </c>
      <c r="H214" s="40">
        <f t="shared" si="23"/>
        <v>-2.3931623931623878E-2</v>
      </c>
    </row>
    <row r="215" spans="1:8" x14ac:dyDescent="0.25">
      <c r="A215" s="61" t="s">
        <v>329</v>
      </c>
      <c r="B215" s="70">
        <v>24.12</v>
      </c>
      <c r="C215" s="52">
        <v>25.04</v>
      </c>
      <c r="D215" s="39">
        <v>23.76</v>
      </c>
      <c r="E215" s="70">
        <v>23.76</v>
      </c>
      <c r="F215" s="39">
        <f t="shared" si="22"/>
        <v>3.8142620232172395E-2</v>
      </c>
      <c r="G215" s="39">
        <f t="shared" si="21"/>
        <v>-1.4925373134328334E-2</v>
      </c>
      <c r="H215" s="40">
        <f t="shared" si="23"/>
        <v>-1.4925373134328334E-2</v>
      </c>
    </row>
    <row r="216" spans="1:8" x14ac:dyDescent="0.25">
      <c r="A216" s="61" t="s">
        <v>330</v>
      </c>
      <c r="B216" s="70">
        <v>21</v>
      </c>
      <c r="C216" s="52">
        <v>22.28</v>
      </c>
      <c r="D216" s="39">
        <v>20.32</v>
      </c>
      <c r="E216" s="70">
        <v>20.32</v>
      </c>
      <c r="F216" s="39">
        <f t="shared" si="22"/>
        <v>6.0952380952381008E-2</v>
      </c>
      <c r="G216" s="39">
        <f t="shared" si="21"/>
        <v>-3.2380952380952364E-2</v>
      </c>
      <c r="H216" s="40">
        <f t="shared" si="23"/>
        <v>-3.2380952380952364E-2</v>
      </c>
    </row>
    <row r="217" spans="1:8" x14ac:dyDescent="0.25">
      <c r="A217" s="61" t="s">
        <v>331</v>
      </c>
      <c r="B217" s="70">
        <v>20.52</v>
      </c>
      <c r="C217" s="52">
        <v>22.48</v>
      </c>
      <c r="D217" s="39">
        <v>20.04</v>
      </c>
      <c r="E217" s="70">
        <v>20.36</v>
      </c>
      <c r="F217" s="39">
        <f t="shared" si="22"/>
        <v>9.5516569200779777E-2</v>
      </c>
      <c r="G217" s="39">
        <f t="shared" si="21"/>
        <v>-2.3391812865497099E-2</v>
      </c>
      <c r="H217" s="40">
        <f t="shared" si="23"/>
        <v>-7.7972709551656994E-3</v>
      </c>
    </row>
    <row r="218" spans="1:8" x14ac:dyDescent="0.25">
      <c r="A218" s="61" t="s">
        <v>332</v>
      </c>
      <c r="B218" s="70">
        <v>21.4</v>
      </c>
      <c r="C218" s="52">
        <v>23.04</v>
      </c>
      <c r="D218" s="39">
        <v>21.08</v>
      </c>
      <c r="E218" s="70">
        <v>21.08</v>
      </c>
      <c r="F218" s="39">
        <f t="shared" si="22"/>
        <v>7.6635514018691619E-2</v>
      </c>
      <c r="G218" s="39">
        <f t="shared" si="21"/>
        <v>-1.4953271028037398E-2</v>
      </c>
      <c r="H218" s="40">
        <f t="shared" si="23"/>
        <v>-1.4953271028037398E-2</v>
      </c>
    </row>
    <row r="219" spans="1:8" x14ac:dyDescent="0.25">
      <c r="A219" s="61" t="s">
        <v>333</v>
      </c>
      <c r="B219" s="70">
        <v>20.48</v>
      </c>
      <c r="C219" s="52">
        <v>21.32</v>
      </c>
      <c r="D219" s="39">
        <v>19.760000000000002</v>
      </c>
      <c r="E219" s="70">
        <v>19.8</v>
      </c>
      <c r="F219" s="39">
        <f t="shared" si="22"/>
        <v>4.1015624999999993E-2</v>
      </c>
      <c r="G219" s="39">
        <f t="shared" si="21"/>
        <v>-3.5156249999999944E-2</v>
      </c>
      <c r="H219" s="40">
        <f t="shared" si="23"/>
        <v>-3.3203124999999986E-2</v>
      </c>
    </row>
    <row r="220" spans="1:8" x14ac:dyDescent="0.25">
      <c r="A220" s="61" t="s">
        <v>334</v>
      </c>
      <c r="B220" s="70">
        <v>20.079999999999998</v>
      </c>
      <c r="C220" s="52">
        <v>21.6</v>
      </c>
      <c r="D220" s="39">
        <v>19.399999999999999</v>
      </c>
      <c r="E220" s="70">
        <v>19.399999999999999</v>
      </c>
      <c r="F220" s="39">
        <f t="shared" si="22"/>
        <v>7.5697211155378655E-2</v>
      </c>
      <c r="G220" s="39">
        <f t="shared" si="21"/>
        <v>-3.3864541832669313E-2</v>
      </c>
      <c r="H220" s="40">
        <f t="shared" si="23"/>
        <v>-3.3864541832669313E-2</v>
      </c>
    </row>
    <row r="221" spans="1:8" x14ac:dyDescent="0.25">
      <c r="A221" s="61" t="s">
        <v>335</v>
      </c>
      <c r="B221" s="70">
        <v>21.52</v>
      </c>
      <c r="C221" s="52">
        <v>23.6</v>
      </c>
      <c r="D221" s="39">
        <v>21.52</v>
      </c>
      <c r="E221" s="70">
        <v>21.52</v>
      </c>
      <c r="F221" s="39">
        <f t="shared" si="22"/>
        <v>9.6654275092936892E-2</v>
      </c>
      <c r="G221" s="39">
        <f t="shared" si="21"/>
        <v>0</v>
      </c>
      <c r="H221" s="40">
        <f t="shared" si="23"/>
        <v>0</v>
      </c>
    </row>
    <row r="222" spans="1:8" x14ac:dyDescent="0.25">
      <c r="A222" s="61" t="s">
        <v>336</v>
      </c>
      <c r="B222" s="70">
        <v>20.72</v>
      </c>
      <c r="C222" s="52">
        <v>23.44</v>
      </c>
      <c r="D222" s="39">
        <v>20.04</v>
      </c>
      <c r="E222" s="70">
        <v>19.72</v>
      </c>
      <c r="F222" s="39">
        <f t="shared" si="22"/>
        <v>0.1312741312741314</v>
      </c>
      <c r="G222" s="39">
        <f t="shared" si="21"/>
        <v>-3.2818532818532808E-2</v>
      </c>
      <c r="H222" s="40">
        <f t="shared" si="23"/>
        <v>-4.8262548262548263E-2</v>
      </c>
    </row>
    <row r="223" spans="1:8" x14ac:dyDescent="0.25">
      <c r="A223" s="61" t="s">
        <v>337</v>
      </c>
      <c r="B223" s="70">
        <v>23.36</v>
      </c>
      <c r="C223" s="52">
        <v>25.52</v>
      </c>
      <c r="D223" s="39">
        <v>23.16</v>
      </c>
      <c r="E223" s="70">
        <v>23</v>
      </c>
      <c r="F223" s="39">
        <f t="shared" si="22"/>
        <v>9.2465753424657543E-2</v>
      </c>
      <c r="G223" s="39">
        <f t="shared" si="21"/>
        <v>-8.5616438356164084E-3</v>
      </c>
      <c r="H223" s="40">
        <f t="shared" si="23"/>
        <v>-1.5410958904109566E-2</v>
      </c>
    </row>
    <row r="224" spans="1:8" x14ac:dyDescent="0.25">
      <c r="A224" s="61" t="s">
        <v>338</v>
      </c>
      <c r="B224" s="70">
        <v>25.92</v>
      </c>
      <c r="C224" s="52">
        <v>26.96</v>
      </c>
      <c r="D224" s="39">
        <v>25.4</v>
      </c>
      <c r="E224" s="70">
        <v>25.12</v>
      </c>
      <c r="F224" s="39">
        <f t="shared" si="22"/>
        <v>4.012345679012342E-2</v>
      </c>
      <c r="G224" s="39">
        <f t="shared" si="21"/>
        <v>-2.0061728395061849E-2</v>
      </c>
      <c r="H224" s="40">
        <f t="shared" si="23"/>
        <v>-3.0864197530864224E-2</v>
      </c>
    </row>
    <row r="225" spans="1:8" x14ac:dyDescent="0.25">
      <c r="A225" s="61" t="s">
        <v>339</v>
      </c>
      <c r="B225" s="70">
        <v>24.96</v>
      </c>
      <c r="C225" s="52">
        <v>25.2</v>
      </c>
      <c r="D225" s="39">
        <v>23.48</v>
      </c>
      <c r="E225" s="70">
        <v>23.48</v>
      </c>
      <c r="F225" s="39">
        <f t="shared" si="22"/>
        <v>9.6153846153845517E-3</v>
      </c>
      <c r="G225" s="39">
        <f t="shared" si="21"/>
        <v>-5.9294871794871813E-2</v>
      </c>
      <c r="H225" s="40">
        <f t="shared" si="23"/>
        <v>-5.9294871794871813E-2</v>
      </c>
    </row>
    <row r="226" spans="1:8" x14ac:dyDescent="0.25">
      <c r="A226" s="61" t="s">
        <v>340</v>
      </c>
      <c r="B226" s="70">
        <v>22.36</v>
      </c>
      <c r="C226" s="52">
        <v>23.72</v>
      </c>
      <c r="D226" s="39">
        <v>21.8</v>
      </c>
      <c r="E226" s="70">
        <v>21.76</v>
      </c>
      <c r="F226" s="39">
        <f t="shared" si="22"/>
        <v>6.0822898032200333E-2</v>
      </c>
      <c r="G226" s="39">
        <f t="shared" si="21"/>
        <v>-2.5044722719141266E-2</v>
      </c>
      <c r="H226" s="40">
        <f t="shared" si="23"/>
        <v>-2.6833631484794181E-2</v>
      </c>
    </row>
    <row r="227" spans="1:8" x14ac:dyDescent="0.25">
      <c r="A227" s="61" t="s">
        <v>341</v>
      </c>
      <c r="B227" s="70">
        <v>29.16</v>
      </c>
      <c r="C227" s="52">
        <v>29.2</v>
      </c>
      <c r="D227" s="39">
        <v>28.84</v>
      </c>
      <c r="E227" s="70">
        <v>27.72</v>
      </c>
      <c r="F227" s="39">
        <f t="shared" si="22"/>
        <v>1.3717421124828241E-3</v>
      </c>
      <c r="G227" s="39">
        <f t="shared" si="21"/>
        <v>-1.0973936899862835E-2</v>
      </c>
      <c r="H227" s="40">
        <f t="shared" si="23"/>
        <v>-4.9382716049382762E-2</v>
      </c>
    </row>
    <row r="228" spans="1:8" x14ac:dyDescent="0.25">
      <c r="A228" s="61" t="s">
        <v>342</v>
      </c>
      <c r="B228" s="70">
        <v>20.76</v>
      </c>
      <c r="C228" s="52">
        <v>22.52</v>
      </c>
      <c r="D228" s="39">
        <v>20.399999999999999</v>
      </c>
      <c r="E228" s="70">
        <v>20.399999999999999</v>
      </c>
      <c r="F228" s="39">
        <f t="shared" si="22"/>
        <v>8.4778420038535543E-2</v>
      </c>
      <c r="G228" s="39">
        <f t="shared" si="21"/>
        <v>-1.734104046242789E-2</v>
      </c>
      <c r="H228" s="40">
        <f t="shared" si="23"/>
        <v>-1.734104046242789E-2</v>
      </c>
    </row>
    <row r="229" spans="1:8" x14ac:dyDescent="0.25">
      <c r="A229" s="61" t="s">
        <v>343</v>
      </c>
      <c r="B229" s="70">
        <v>20.52</v>
      </c>
      <c r="C229" s="52">
        <v>21.72</v>
      </c>
      <c r="D229" s="39">
        <v>20.04</v>
      </c>
      <c r="E229" s="70">
        <v>20.04</v>
      </c>
      <c r="F229" s="39">
        <f t="shared" si="22"/>
        <v>5.8479532163742659E-2</v>
      </c>
      <c r="G229" s="39">
        <f t="shared" si="21"/>
        <v>-2.3391812865497099E-2</v>
      </c>
      <c r="H229" s="40">
        <f t="shared" si="23"/>
        <v>-2.3391812865497099E-2</v>
      </c>
    </row>
    <row r="230" spans="1:8" x14ac:dyDescent="0.25">
      <c r="A230" s="61" t="s">
        <v>344</v>
      </c>
      <c r="B230" s="70">
        <v>19</v>
      </c>
      <c r="C230" s="52">
        <v>20.52</v>
      </c>
      <c r="D230" s="39">
        <v>18.8</v>
      </c>
      <c r="E230" s="70">
        <v>19</v>
      </c>
      <c r="F230" s="39">
        <f t="shared" si="22"/>
        <v>7.9999999999999974E-2</v>
      </c>
      <c r="G230" s="39">
        <f t="shared" si="21"/>
        <v>-1.0526315789473648E-2</v>
      </c>
      <c r="H230" s="40">
        <f t="shared" si="23"/>
        <v>0</v>
      </c>
    </row>
    <row r="231" spans="1:8" x14ac:dyDescent="0.25">
      <c r="A231" s="61" t="s">
        <v>345</v>
      </c>
      <c r="B231" s="70">
        <v>26.44</v>
      </c>
      <c r="C231" s="52">
        <v>28.12</v>
      </c>
      <c r="D231" s="39">
        <v>25.8</v>
      </c>
      <c r="E231" s="70">
        <v>25.96</v>
      </c>
      <c r="F231" s="39">
        <f t="shared" si="22"/>
        <v>6.3540090771558227E-2</v>
      </c>
      <c r="G231" s="39">
        <f t="shared" si="21"/>
        <v>-2.4205748865355543E-2</v>
      </c>
      <c r="H231" s="40">
        <f t="shared" si="23"/>
        <v>-1.8154311649016656E-2</v>
      </c>
    </row>
    <row r="232" spans="1:8" x14ac:dyDescent="0.25">
      <c r="A232" s="61" t="s">
        <v>346</v>
      </c>
      <c r="B232" s="70">
        <v>23</v>
      </c>
      <c r="C232" s="52">
        <v>24.4</v>
      </c>
      <c r="D232" s="39">
        <v>23</v>
      </c>
      <c r="E232" s="70">
        <v>23</v>
      </c>
      <c r="F232" s="39">
        <f t="shared" si="22"/>
        <v>6.0869565217391244E-2</v>
      </c>
      <c r="G232" s="39">
        <f t="shared" si="21"/>
        <v>0</v>
      </c>
      <c r="H232" s="40">
        <f t="shared" si="23"/>
        <v>0</v>
      </c>
    </row>
    <row r="233" spans="1:8" x14ac:dyDescent="0.25">
      <c r="A233" s="61" t="s">
        <v>347</v>
      </c>
      <c r="B233" s="70">
        <v>20.64</v>
      </c>
      <c r="C233" s="52">
        <v>22.68</v>
      </c>
      <c r="D233" s="39">
        <v>20.28</v>
      </c>
      <c r="E233" s="70">
        <v>20.28</v>
      </c>
      <c r="F233" s="39">
        <f t="shared" si="22"/>
        <v>9.8837209302325535E-2</v>
      </c>
      <c r="G233" s="39">
        <f t="shared" si="21"/>
        <v>-1.7441860465116251E-2</v>
      </c>
      <c r="H233" s="40">
        <f t="shared" si="23"/>
        <v>-1.7441860465116251E-2</v>
      </c>
    </row>
    <row r="234" spans="1:8" x14ac:dyDescent="0.25">
      <c r="A234" s="61" t="s">
        <v>348</v>
      </c>
      <c r="B234" s="70">
        <v>22.84</v>
      </c>
      <c r="C234" s="52">
        <v>25.36</v>
      </c>
      <c r="D234" s="39">
        <v>22.44</v>
      </c>
      <c r="E234" s="70">
        <v>22.44</v>
      </c>
      <c r="F234" s="39">
        <f t="shared" si="22"/>
        <v>0.11033274956217161</v>
      </c>
      <c r="G234" s="39">
        <f t="shared" si="21"/>
        <v>-1.7513134851138291E-2</v>
      </c>
      <c r="H234" s="40">
        <f t="shared" si="23"/>
        <v>-1.7513134851138291E-2</v>
      </c>
    </row>
    <row r="235" spans="1:8" x14ac:dyDescent="0.25">
      <c r="A235" s="61" t="s">
        <v>349</v>
      </c>
      <c r="B235" s="70">
        <v>19.04</v>
      </c>
      <c r="C235" s="52">
        <v>20.48</v>
      </c>
      <c r="D235" s="39">
        <v>18.88</v>
      </c>
      <c r="E235" s="70">
        <v>18.84</v>
      </c>
      <c r="F235" s="39">
        <f t="shared" si="22"/>
        <v>7.5630252100840401E-2</v>
      </c>
      <c r="G235" s="39">
        <f t="shared" si="21"/>
        <v>-8.4033613445378234E-3</v>
      </c>
      <c r="H235" s="40">
        <f t="shared" si="23"/>
        <v>-1.0504201680672232E-2</v>
      </c>
    </row>
    <row r="236" spans="1:8" x14ac:dyDescent="0.25">
      <c r="A236" s="61" t="s">
        <v>350</v>
      </c>
      <c r="B236" s="70">
        <v>20</v>
      </c>
      <c r="C236" s="52">
        <v>21.48</v>
      </c>
      <c r="D236" s="39">
        <v>20.2</v>
      </c>
      <c r="E236" s="70">
        <v>20</v>
      </c>
      <c r="F236" s="39">
        <f t="shared" si="22"/>
        <v>7.4000000000000024E-2</v>
      </c>
      <c r="G236" s="39">
        <f t="shared" si="21"/>
        <v>9.9999999999999638E-3</v>
      </c>
      <c r="H236" s="40">
        <f t="shared" si="23"/>
        <v>0</v>
      </c>
    </row>
    <row r="237" spans="1:8" x14ac:dyDescent="0.25">
      <c r="A237" s="61" t="s">
        <v>351</v>
      </c>
      <c r="B237" s="70">
        <v>18.600000000000001</v>
      </c>
      <c r="C237" s="52">
        <v>21.04</v>
      </c>
      <c r="D237" s="39">
        <v>18.600000000000001</v>
      </c>
      <c r="E237" s="70">
        <v>18.600000000000001</v>
      </c>
      <c r="F237" s="39">
        <f t="shared" si="22"/>
        <v>0.1311827956989246</v>
      </c>
      <c r="G237" s="39">
        <f t="shared" si="21"/>
        <v>0</v>
      </c>
      <c r="H237" s="40">
        <f t="shared" si="23"/>
        <v>0</v>
      </c>
    </row>
    <row r="238" spans="1:8" x14ac:dyDescent="0.25">
      <c r="A238" s="61" t="s">
        <v>352</v>
      </c>
      <c r="B238" s="70">
        <v>23.48</v>
      </c>
      <c r="C238" s="52">
        <v>24.36</v>
      </c>
      <c r="D238" s="39">
        <v>23.04</v>
      </c>
      <c r="E238" s="70">
        <v>23.2</v>
      </c>
      <c r="F238" s="39">
        <f t="shared" si="22"/>
        <v>3.7478705281090249E-2</v>
      </c>
      <c r="G238" s="39">
        <f t="shared" si="21"/>
        <v>-1.8739352640545198E-2</v>
      </c>
      <c r="H238" s="40">
        <f t="shared" si="23"/>
        <v>-1.1925042589437867E-2</v>
      </c>
    </row>
    <row r="239" spans="1:8" x14ac:dyDescent="0.25">
      <c r="A239" s="61" t="s">
        <v>353</v>
      </c>
      <c r="B239" s="70">
        <v>20.96</v>
      </c>
      <c r="C239" s="52">
        <v>23.24</v>
      </c>
      <c r="D239" s="39">
        <v>20.76</v>
      </c>
      <c r="E239" s="70">
        <v>19.96</v>
      </c>
      <c r="F239" s="39">
        <f t="shared" si="22"/>
        <v>0.10877862595419835</v>
      </c>
      <c r="G239" s="39">
        <f t="shared" si="21"/>
        <v>-9.5419847328243931E-3</v>
      </c>
      <c r="H239" s="40">
        <f t="shared" si="23"/>
        <v>-4.7709923664122134E-2</v>
      </c>
    </row>
    <row r="240" spans="1:8" x14ac:dyDescent="0.25">
      <c r="A240" s="61" t="s">
        <v>354</v>
      </c>
      <c r="B240" s="70">
        <v>18.399999999999999</v>
      </c>
      <c r="C240" s="52">
        <v>19.96</v>
      </c>
      <c r="D240" s="39">
        <v>18</v>
      </c>
      <c r="E240" s="70">
        <v>18</v>
      </c>
      <c r="F240" s="39">
        <f t="shared" si="22"/>
        <v>8.4782608695652309E-2</v>
      </c>
      <c r="G240" s="39">
        <f t="shared" si="21"/>
        <v>-2.1739130434782532E-2</v>
      </c>
      <c r="H240" s="40">
        <f t="shared" si="23"/>
        <v>-2.1739130434782532E-2</v>
      </c>
    </row>
    <row r="241" spans="1:8" x14ac:dyDescent="0.25">
      <c r="A241" s="61" t="s">
        <v>355</v>
      </c>
      <c r="B241" s="70">
        <v>23.32</v>
      </c>
      <c r="C241" s="52">
        <v>23.36</v>
      </c>
      <c r="D241" s="39">
        <v>21.68</v>
      </c>
      <c r="E241" s="70">
        <v>21.64</v>
      </c>
      <c r="F241" s="39">
        <f t="shared" si="22"/>
        <v>1.7152658662092258E-3</v>
      </c>
      <c r="G241" s="39">
        <f t="shared" si="21"/>
        <v>-7.0325900514579778E-2</v>
      </c>
      <c r="H241" s="40">
        <f t="shared" si="23"/>
        <v>-7.2041166380789015E-2</v>
      </c>
    </row>
    <row r="242" spans="1:8" x14ac:dyDescent="0.25">
      <c r="A242" s="61" t="s">
        <v>356</v>
      </c>
      <c r="B242" s="70">
        <v>20</v>
      </c>
      <c r="C242" s="52">
        <v>21.28</v>
      </c>
      <c r="D242" s="39">
        <v>19.36</v>
      </c>
      <c r="E242" s="70">
        <v>19.36</v>
      </c>
      <c r="F242" s="39">
        <f t="shared" si="22"/>
        <v>6.4000000000000057E-2</v>
      </c>
      <c r="G242" s="39">
        <f t="shared" si="21"/>
        <v>-3.2000000000000028E-2</v>
      </c>
      <c r="H242" s="40">
        <f t="shared" si="23"/>
        <v>-3.2000000000000028E-2</v>
      </c>
    </row>
    <row r="243" spans="1:8" x14ac:dyDescent="0.25">
      <c r="A243" s="61" t="s">
        <v>357</v>
      </c>
      <c r="B243" s="70">
        <v>28.16</v>
      </c>
      <c r="C243" s="52">
        <v>29.28</v>
      </c>
      <c r="D243" s="39">
        <v>27.48</v>
      </c>
      <c r="E243" s="70">
        <v>27.48</v>
      </c>
      <c r="F243" s="39">
        <f t="shared" si="22"/>
        <v>3.9772727272727307E-2</v>
      </c>
      <c r="G243" s="39">
        <f t="shared" si="21"/>
        <v>-2.4147727272727262E-2</v>
      </c>
      <c r="H243" s="40">
        <f t="shared" si="23"/>
        <v>-2.4147727272727262E-2</v>
      </c>
    </row>
    <row r="244" spans="1:8" x14ac:dyDescent="0.25">
      <c r="A244" s="61" t="s">
        <v>358</v>
      </c>
      <c r="B244" s="70">
        <v>24.76</v>
      </c>
      <c r="C244" s="52">
        <v>27.64</v>
      </c>
      <c r="D244" s="39">
        <v>24.56</v>
      </c>
      <c r="E244" s="70">
        <v>24.56</v>
      </c>
      <c r="F244" s="39">
        <f t="shared" si="22"/>
        <v>0.11631663974151853</v>
      </c>
      <c r="G244" s="39">
        <f t="shared" si="21"/>
        <v>-8.0775444264944603E-3</v>
      </c>
      <c r="H244" s="40">
        <f t="shared" si="23"/>
        <v>-8.0775444264944603E-3</v>
      </c>
    </row>
    <row r="245" spans="1:8" x14ac:dyDescent="0.25">
      <c r="A245" s="61" t="s">
        <v>359</v>
      </c>
      <c r="B245" s="70">
        <v>18.760000000000002</v>
      </c>
      <c r="C245" s="52">
        <v>20.64</v>
      </c>
      <c r="D245" s="39">
        <v>18.600000000000001</v>
      </c>
      <c r="E245" s="70">
        <v>18.600000000000001</v>
      </c>
      <c r="F245" s="39">
        <f t="shared" si="22"/>
        <v>0.10021321961620464</v>
      </c>
      <c r="G245" s="39">
        <f t="shared" si="21"/>
        <v>-8.52878464818764E-3</v>
      </c>
      <c r="H245" s="40">
        <f t="shared" si="23"/>
        <v>-8.52878464818764E-3</v>
      </c>
    </row>
    <row r="246" spans="1:8" x14ac:dyDescent="0.25">
      <c r="A246" s="61" t="s">
        <v>360</v>
      </c>
      <c r="B246" s="70">
        <v>21.84</v>
      </c>
      <c r="C246" s="52">
        <v>23.52</v>
      </c>
      <c r="D246" s="39">
        <v>21.68</v>
      </c>
      <c r="E246" s="70">
        <v>21.68</v>
      </c>
      <c r="F246" s="39">
        <f t="shared" si="22"/>
        <v>7.6923076923076913E-2</v>
      </c>
      <c r="G246" s="39">
        <f t="shared" si="21"/>
        <v>-7.3260073260073329E-3</v>
      </c>
      <c r="H246" s="40">
        <f t="shared" si="23"/>
        <v>-7.3260073260073329E-3</v>
      </c>
    </row>
    <row r="247" spans="1:8" x14ac:dyDescent="0.25">
      <c r="A247" s="61" t="s">
        <v>361</v>
      </c>
      <c r="B247" s="70">
        <v>18.72</v>
      </c>
      <c r="C247" s="52">
        <v>21.32</v>
      </c>
      <c r="D247" s="39">
        <v>18.2</v>
      </c>
      <c r="E247" s="70">
        <v>18.2</v>
      </c>
      <c r="F247" s="39">
        <f t="shared" si="22"/>
        <v>0.13888888888888898</v>
      </c>
      <c r="G247" s="39">
        <f t="shared" si="21"/>
        <v>-2.7777777777777755E-2</v>
      </c>
      <c r="H247" s="40">
        <f t="shared" si="23"/>
        <v>-2.7777777777777755E-2</v>
      </c>
    </row>
    <row r="248" spans="1:8" x14ac:dyDescent="0.25">
      <c r="A248" s="61" t="s">
        <v>362</v>
      </c>
      <c r="B248" s="70">
        <v>22.6</v>
      </c>
      <c r="C248" s="52">
        <v>23.92</v>
      </c>
      <c r="D248" s="39">
        <v>21.92</v>
      </c>
      <c r="E248" s="70">
        <v>21.76</v>
      </c>
      <c r="F248" s="39">
        <f t="shared" si="22"/>
        <v>5.8407079646017705E-2</v>
      </c>
      <c r="G248" s="39">
        <f t="shared" si="21"/>
        <v>-3.0088495575221225E-2</v>
      </c>
      <c r="H248" s="40">
        <f t="shared" si="23"/>
        <v>-3.7168141592920347E-2</v>
      </c>
    </row>
    <row r="249" spans="1:8" x14ac:dyDescent="0.25">
      <c r="A249" s="61" t="s">
        <v>363</v>
      </c>
      <c r="B249" s="70">
        <v>25.52</v>
      </c>
      <c r="C249" s="52">
        <v>23.84</v>
      </c>
      <c r="D249" s="39">
        <v>24.12</v>
      </c>
      <c r="E249" s="70">
        <v>23.16</v>
      </c>
      <c r="F249" s="39">
        <f t="shared" si="22"/>
        <v>-6.5830721003134793E-2</v>
      </c>
      <c r="G249" s="39">
        <f t="shared" si="21"/>
        <v>-5.4858934169278943E-2</v>
      </c>
      <c r="H249" s="40">
        <f t="shared" si="23"/>
        <v>-9.2476489028213149E-2</v>
      </c>
    </row>
    <row r="250" spans="1:8" x14ac:dyDescent="0.25">
      <c r="A250" s="61" t="s">
        <v>364</v>
      </c>
      <c r="B250" s="70">
        <v>25.32</v>
      </c>
      <c r="C250" s="52">
        <v>29.4</v>
      </c>
      <c r="D250" s="39">
        <v>25.16</v>
      </c>
      <c r="E250" s="70">
        <v>24.2</v>
      </c>
      <c r="F250" s="39">
        <f t="shared" si="22"/>
        <v>0.16113744075829378</v>
      </c>
      <c r="G250" s="39">
        <f t="shared" si="21"/>
        <v>-6.3191153238546655E-3</v>
      </c>
      <c r="H250" s="40">
        <f t="shared" si="23"/>
        <v>-4.4233807266982658E-2</v>
      </c>
    </row>
    <row r="251" spans="1:8" x14ac:dyDescent="0.25">
      <c r="A251" s="61" t="s">
        <v>365</v>
      </c>
      <c r="B251" s="70">
        <v>19.32</v>
      </c>
      <c r="C251" s="52">
        <v>20.72</v>
      </c>
      <c r="D251" s="39">
        <v>19.32</v>
      </c>
      <c r="E251" s="70">
        <v>19.32</v>
      </c>
      <c r="F251" s="39">
        <f t="shared" si="22"/>
        <v>7.2463768115941948E-2</v>
      </c>
      <c r="G251" s="39">
        <f t="shared" si="21"/>
        <v>0</v>
      </c>
      <c r="H251" s="40">
        <f t="shared" si="23"/>
        <v>0</v>
      </c>
    </row>
    <row r="252" spans="1:8" x14ac:dyDescent="0.25">
      <c r="A252" s="61" t="s">
        <v>366</v>
      </c>
      <c r="B252" s="70">
        <v>22.04</v>
      </c>
      <c r="C252" s="52">
        <v>23.2</v>
      </c>
      <c r="D252" s="39">
        <v>21.24</v>
      </c>
      <c r="E252" s="70">
        <v>21.24</v>
      </c>
      <c r="F252" s="39">
        <f t="shared" si="22"/>
        <v>5.2631578947368432E-2</v>
      </c>
      <c r="G252" s="39">
        <f t="shared" si="21"/>
        <v>-3.6297640653357569E-2</v>
      </c>
      <c r="H252" s="40">
        <f t="shared" si="23"/>
        <v>-3.6297640653357569E-2</v>
      </c>
    </row>
    <row r="253" spans="1:8" x14ac:dyDescent="0.25">
      <c r="A253" s="61" t="s">
        <v>367</v>
      </c>
      <c r="B253" s="70">
        <v>22.12</v>
      </c>
      <c r="C253" s="52">
        <v>24.52</v>
      </c>
      <c r="D253" s="39">
        <v>21.92</v>
      </c>
      <c r="E253" s="70">
        <v>21.76</v>
      </c>
      <c r="F253" s="39">
        <f t="shared" si="22"/>
        <v>0.10849909584086792</v>
      </c>
      <c r="G253" s="39">
        <f t="shared" ref="G253:G316" si="24">(D253-B253)/B253</f>
        <v>-9.0415913200723001E-3</v>
      </c>
      <c r="H253" s="40">
        <f t="shared" si="23"/>
        <v>-1.6274864376130172E-2</v>
      </c>
    </row>
    <row r="254" spans="1:8" x14ac:dyDescent="0.25">
      <c r="A254" s="61" t="s">
        <v>368</v>
      </c>
      <c r="B254" s="70">
        <v>25.68</v>
      </c>
      <c r="C254" s="52">
        <v>27.16</v>
      </c>
      <c r="D254" s="39">
        <v>24.84</v>
      </c>
      <c r="E254" s="70">
        <v>24.68</v>
      </c>
      <c r="F254" s="39">
        <f t="shared" si="22"/>
        <v>5.7632398753894101E-2</v>
      </c>
      <c r="G254" s="39">
        <f t="shared" si="24"/>
        <v>-3.2710280373831772E-2</v>
      </c>
      <c r="H254" s="40">
        <f t="shared" si="23"/>
        <v>-3.8940809968847349E-2</v>
      </c>
    </row>
    <row r="255" spans="1:8" x14ac:dyDescent="0.25">
      <c r="A255" s="61" t="s">
        <v>369</v>
      </c>
      <c r="B255" s="70">
        <v>20</v>
      </c>
      <c r="C255" s="52">
        <v>22.24</v>
      </c>
      <c r="D255" s="39">
        <v>19.68</v>
      </c>
      <c r="E255" s="70">
        <v>19.52</v>
      </c>
      <c r="F255" s="39">
        <f t="shared" si="22"/>
        <v>0.11199999999999992</v>
      </c>
      <c r="G255" s="39">
        <f t="shared" si="24"/>
        <v>-1.6000000000000014E-2</v>
      </c>
      <c r="H255" s="40">
        <f t="shared" si="23"/>
        <v>-2.4000000000000021E-2</v>
      </c>
    </row>
    <row r="256" spans="1:8" x14ac:dyDescent="0.25">
      <c r="A256" s="61" t="s">
        <v>370</v>
      </c>
      <c r="B256" s="70">
        <v>19.84</v>
      </c>
      <c r="C256" s="52">
        <v>21</v>
      </c>
      <c r="D256" s="39">
        <v>19.48</v>
      </c>
      <c r="E256" s="70">
        <v>19.48</v>
      </c>
      <c r="F256" s="39">
        <f t="shared" si="22"/>
        <v>5.8467741935483881E-2</v>
      </c>
      <c r="G256" s="39">
        <f t="shared" si="24"/>
        <v>-1.8145161290322551E-2</v>
      </c>
      <c r="H256" s="40">
        <f t="shared" si="23"/>
        <v>-1.8145161290322551E-2</v>
      </c>
    </row>
    <row r="257" spans="1:8" x14ac:dyDescent="0.25">
      <c r="A257" s="61" t="s">
        <v>371</v>
      </c>
      <c r="B257" s="70">
        <v>19.68</v>
      </c>
      <c r="C257" s="52">
        <v>21.88</v>
      </c>
      <c r="D257" s="39">
        <v>19.36</v>
      </c>
      <c r="E257" s="70">
        <v>19.48</v>
      </c>
      <c r="F257" s="39">
        <f t="shared" si="22"/>
        <v>0.11178861788617883</v>
      </c>
      <c r="G257" s="39">
        <f t="shared" si="24"/>
        <v>-1.6260162601626032E-2</v>
      </c>
      <c r="H257" s="40">
        <f t="shared" si="23"/>
        <v>-1.0162601626016224E-2</v>
      </c>
    </row>
    <row r="258" spans="1:8" x14ac:dyDescent="0.25">
      <c r="A258" s="61" t="s">
        <v>372</v>
      </c>
      <c r="B258" s="70">
        <v>19.64</v>
      </c>
      <c r="C258" s="52">
        <v>21.04</v>
      </c>
      <c r="D258" s="39">
        <v>19.440000000000001</v>
      </c>
      <c r="E258" s="70">
        <v>19.64</v>
      </c>
      <c r="F258" s="39">
        <f t="shared" si="22"/>
        <v>7.1283095723014181E-2</v>
      </c>
      <c r="G258" s="39">
        <f t="shared" si="24"/>
        <v>-1.0183299389002001E-2</v>
      </c>
      <c r="H258" s="40">
        <f t="shared" si="23"/>
        <v>0</v>
      </c>
    </row>
    <row r="259" spans="1:8" x14ac:dyDescent="0.25">
      <c r="A259" s="61" t="s">
        <v>373</v>
      </c>
      <c r="B259" s="70">
        <v>21.16</v>
      </c>
      <c r="C259" s="52">
        <v>22.72</v>
      </c>
      <c r="D259" s="39">
        <v>21</v>
      </c>
      <c r="E259" s="70">
        <v>21</v>
      </c>
      <c r="F259" s="39">
        <f t="shared" si="22"/>
        <v>7.3724007561436614E-2</v>
      </c>
      <c r="G259" s="39">
        <f t="shared" si="24"/>
        <v>-7.5614366729678702E-3</v>
      </c>
      <c r="H259" s="40">
        <f t="shared" si="23"/>
        <v>-7.5614366729678702E-3</v>
      </c>
    </row>
    <row r="260" spans="1:8" x14ac:dyDescent="0.25">
      <c r="A260" s="61" t="s">
        <v>374</v>
      </c>
      <c r="B260" s="70">
        <v>22.32</v>
      </c>
      <c r="C260" s="52">
        <v>24.2</v>
      </c>
      <c r="D260" s="39">
        <v>22.28</v>
      </c>
      <c r="E260" s="70">
        <v>21.64</v>
      </c>
      <c r="F260" s="39">
        <f t="shared" si="22"/>
        <v>8.4229390681003533E-2</v>
      </c>
      <c r="G260" s="39">
        <f t="shared" si="24"/>
        <v>-1.7921146953404636E-3</v>
      </c>
      <c r="H260" s="40">
        <f t="shared" si="23"/>
        <v>-3.0465949820788516E-2</v>
      </c>
    </row>
    <row r="261" spans="1:8" x14ac:dyDescent="0.25">
      <c r="A261" s="61" t="s">
        <v>375</v>
      </c>
      <c r="B261" s="70">
        <v>23.44</v>
      </c>
      <c r="C261" s="52">
        <v>25.84</v>
      </c>
      <c r="D261" s="39">
        <v>23.08</v>
      </c>
      <c r="E261" s="70">
        <v>22.76</v>
      </c>
      <c r="F261" s="39">
        <f t="shared" si="22"/>
        <v>0.10238907849829344</v>
      </c>
      <c r="G261" s="39">
        <f t="shared" si="24"/>
        <v>-1.5358361774744153E-2</v>
      </c>
      <c r="H261" s="40">
        <f t="shared" si="23"/>
        <v>-2.9010238907849817E-2</v>
      </c>
    </row>
    <row r="262" spans="1:8" x14ac:dyDescent="0.25">
      <c r="A262" s="61" t="s">
        <v>376</v>
      </c>
      <c r="B262" s="70">
        <v>23.16</v>
      </c>
      <c r="C262" s="52">
        <v>25.08</v>
      </c>
      <c r="D262" s="39">
        <v>23.16</v>
      </c>
      <c r="E262" s="70">
        <v>23</v>
      </c>
      <c r="F262" s="39">
        <f t="shared" si="22"/>
        <v>8.2901554404144998E-2</v>
      </c>
      <c r="G262" s="39">
        <f t="shared" si="24"/>
        <v>0</v>
      </c>
      <c r="H262" s="40">
        <f t="shared" si="23"/>
        <v>-6.9084628670120956E-3</v>
      </c>
    </row>
    <row r="263" spans="1:8" x14ac:dyDescent="0.25">
      <c r="A263" s="61" t="s">
        <v>377</v>
      </c>
      <c r="B263" s="70">
        <v>27.88</v>
      </c>
      <c r="C263" s="52">
        <v>29.68</v>
      </c>
      <c r="D263" s="39">
        <v>27.72</v>
      </c>
      <c r="E263" s="70">
        <v>27.72</v>
      </c>
      <c r="F263" s="39">
        <f t="shared" si="22"/>
        <v>6.4562410329985678E-2</v>
      </c>
      <c r="G263" s="39">
        <f t="shared" si="24"/>
        <v>-5.7388809182209524E-3</v>
      </c>
      <c r="H263" s="40">
        <f t="shared" si="23"/>
        <v>-5.7388809182209524E-3</v>
      </c>
    </row>
    <row r="264" spans="1:8" x14ac:dyDescent="0.25">
      <c r="A264" s="61" t="s">
        <v>378</v>
      </c>
      <c r="B264" s="70">
        <v>21.32</v>
      </c>
      <c r="C264" s="52">
        <v>22.92</v>
      </c>
      <c r="D264" s="39">
        <v>20.96</v>
      </c>
      <c r="E264" s="70">
        <v>20.84</v>
      </c>
      <c r="F264" s="39">
        <f t="shared" ref="F264:F327" si="25">(C264-B264)/B264</f>
        <v>7.5046904315197061E-2</v>
      </c>
      <c r="G264" s="39">
        <f t="shared" si="24"/>
        <v>-1.6885553470919298E-2</v>
      </c>
      <c r="H264" s="40">
        <f t="shared" ref="H264:H327" si="26">(E264-B264)/B264</f>
        <v>-2.251407129455912E-2</v>
      </c>
    </row>
    <row r="265" spans="1:8" x14ac:dyDescent="0.25">
      <c r="A265" s="61" t="s">
        <v>379</v>
      </c>
      <c r="B265" s="70">
        <v>21.52</v>
      </c>
      <c r="C265" s="52">
        <v>22.44</v>
      </c>
      <c r="D265" s="39">
        <v>20.84</v>
      </c>
      <c r="E265" s="70">
        <v>20.84</v>
      </c>
      <c r="F265" s="39">
        <f t="shared" si="25"/>
        <v>4.2750929368029822E-2</v>
      </c>
      <c r="G265" s="39">
        <f t="shared" si="24"/>
        <v>-3.1598513011152407E-2</v>
      </c>
      <c r="H265" s="40">
        <f t="shared" si="26"/>
        <v>-3.1598513011152407E-2</v>
      </c>
    </row>
    <row r="266" spans="1:8" x14ac:dyDescent="0.25">
      <c r="A266" s="61" t="s">
        <v>380</v>
      </c>
      <c r="B266" s="70">
        <v>21.16</v>
      </c>
      <c r="C266" s="52">
        <v>22.6</v>
      </c>
      <c r="D266" s="39">
        <v>20.84</v>
      </c>
      <c r="E266" s="70">
        <v>20.8</v>
      </c>
      <c r="F266" s="39">
        <f t="shared" si="25"/>
        <v>6.8052930056710842E-2</v>
      </c>
      <c r="G266" s="39">
        <f t="shared" si="24"/>
        <v>-1.512287334593574E-2</v>
      </c>
      <c r="H266" s="40">
        <f t="shared" si="26"/>
        <v>-1.7013232514177665E-2</v>
      </c>
    </row>
    <row r="267" spans="1:8" x14ac:dyDescent="0.25">
      <c r="A267" s="61" t="s">
        <v>381</v>
      </c>
      <c r="B267" s="70">
        <v>25.16</v>
      </c>
      <c r="C267" s="52">
        <v>26.84</v>
      </c>
      <c r="D267" s="39">
        <v>25.04</v>
      </c>
      <c r="E267" s="70">
        <v>24.4</v>
      </c>
      <c r="F267" s="39">
        <f t="shared" si="25"/>
        <v>6.6772655007949114E-2</v>
      </c>
      <c r="G267" s="39">
        <f t="shared" si="24"/>
        <v>-4.7694753577106914E-3</v>
      </c>
      <c r="H267" s="40">
        <f t="shared" si="26"/>
        <v>-3.0206677265500855E-2</v>
      </c>
    </row>
    <row r="268" spans="1:8" x14ac:dyDescent="0.25">
      <c r="A268" s="61" t="s">
        <v>382</v>
      </c>
      <c r="B268" s="70">
        <v>27.16</v>
      </c>
      <c r="C268" s="52">
        <v>28.12</v>
      </c>
      <c r="D268" s="39">
        <v>27.16</v>
      </c>
      <c r="E268" s="70">
        <v>24.12</v>
      </c>
      <c r="F268" s="39">
        <f t="shared" si="25"/>
        <v>3.5346097201767339E-2</v>
      </c>
      <c r="G268" s="39">
        <f t="shared" si="24"/>
        <v>0</v>
      </c>
      <c r="H268" s="40">
        <f t="shared" si="26"/>
        <v>-0.11192930780559643</v>
      </c>
    </row>
    <row r="269" spans="1:8" x14ac:dyDescent="0.25">
      <c r="A269" s="61" t="s">
        <v>383</v>
      </c>
      <c r="B269" s="70">
        <v>22.52</v>
      </c>
      <c r="C269" s="52">
        <v>25.96</v>
      </c>
      <c r="D269" s="39">
        <v>22.8</v>
      </c>
      <c r="E269" s="70">
        <v>21.08</v>
      </c>
      <c r="F269" s="39">
        <f t="shared" si="25"/>
        <v>0.15275310834813505</v>
      </c>
      <c r="G269" s="39">
        <f t="shared" si="24"/>
        <v>1.2433392539964526E-2</v>
      </c>
      <c r="H269" s="40">
        <f t="shared" si="26"/>
        <v>-6.3943161634103074E-2</v>
      </c>
    </row>
    <row r="270" spans="1:8" x14ac:dyDescent="0.25">
      <c r="A270" s="61" t="s">
        <v>384</v>
      </c>
      <c r="B270" s="70">
        <v>18.600000000000001</v>
      </c>
      <c r="C270" s="52">
        <v>20.2</v>
      </c>
      <c r="D270" s="39">
        <v>18.399999999999999</v>
      </c>
      <c r="E270" s="70">
        <v>18.399999999999999</v>
      </c>
      <c r="F270" s="39">
        <f t="shared" si="25"/>
        <v>8.6021505376343968E-2</v>
      </c>
      <c r="G270" s="39">
        <f t="shared" si="24"/>
        <v>-1.0752688172043163E-2</v>
      </c>
      <c r="H270" s="40">
        <f t="shared" si="26"/>
        <v>-1.0752688172043163E-2</v>
      </c>
    </row>
    <row r="271" spans="1:8" x14ac:dyDescent="0.25">
      <c r="A271" s="61" t="s">
        <v>385</v>
      </c>
      <c r="B271" s="70">
        <v>21.4</v>
      </c>
      <c r="C271" s="52">
        <v>22.56</v>
      </c>
      <c r="D271" s="39">
        <v>20.84</v>
      </c>
      <c r="E271" s="70">
        <v>20.72</v>
      </c>
      <c r="F271" s="39">
        <f t="shared" si="25"/>
        <v>5.4205607476635526E-2</v>
      </c>
      <c r="G271" s="39">
        <f t="shared" si="24"/>
        <v>-2.6168224299065363E-2</v>
      </c>
      <c r="H271" s="40">
        <f t="shared" si="26"/>
        <v>-3.1775700934579425E-2</v>
      </c>
    </row>
    <row r="272" spans="1:8" x14ac:dyDescent="0.25">
      <c r="A272" s="61" t="s">
        <v>386</v>
      </c>
      <c r="B272" s="70">
        <v>23.08</v>
      </c>
      <c r="C272" s="52">
        <v>23.32</v>
      </c>
      <c r="D272" s="39">
        <v>21.44</v>
      </c>
      <c r="E272" s="70">
        <v>21.44</v>
      </c>
      <c r="F272" s="39">
        <f t="shared" si="25"/>
        <v>1.0398613518197661E-2</v>
      </c>
      <c r="G272" s="39">
        <f t="shared" si="24"/>
        <v>-7.1057192374349959E-2</v>
      </c>
      <c r="H272" s="40">
        <f t="shared" si="26"/>
        <v>-7.1057192374349959E-2</v>
      </c>
    </row>
    <row r="273" spans="1:8" x14ac:dyDescent="0.25">
      <c r="A273" s="61" t="s">
        <v>387</v>
      </c>
      <c r="B273" s="70">
        <v>21.24</v>
      </c>
      <c r="C273" s="52">
        <v>22.44</v>
      </c>
      <c r="D273" s="39">
        <v>20.84</v>
      </c>
      <c r="E273" s="70">
        <v>20.84</v>
      </c>
      <c r="F273" s="39">
        <f t="shared" si="25"/>
        <v>5.6497175141243076E-2</v>
      </c>
      <c r="G273" s="39">
        <f t="shared" si="24"/>
        <v>-1.8832391713747579E-2</v>
      </c>
      <c r="H273" s="40">
        <f t="shared" si="26"/>
        <v>-1.8832391713747579E-2</v>
      </c>
    </row>
    <row r="274" spans="1:8" x14ac:dyDescent="0.25">
      <c r="A274" s="61" t="s">
        <v>388</v>
      </c>
      <c r="B274" s="70">
        <v>18.96</v>
      </c>
      <c r="C274" s="52">
        <v>20.16</v>
      </c>
      <c r="D274" s="39">
        <v>18.760000000000002</v>
      </c>
      <c r="E274" s="70">
        <v>18.760000000000002</v>
      </c>
      <c r="F274" s="39">
        <f t="shared" si="25"/>
        <v>6.3291139240506292E-2</v>
      </c>
      <c r="G274" s="39">
        <f t="shared" si="24"/>
        <v>-1.0548523206751016E-2</v>
      </c>
      <c r="H274" s="40">
        <f t="shared" si="26"/>
        <v>-1.0548523206751016E-2</v>
      </c>
    </row>
    <row r="275" spans="1:8" x14ac:dyDescent="0.25">
      <c r="A275" s="61" t="s">
        <v>389</v>
      </c>
      <c r="B275" s="70">
        <v>19.36</v>
      </c>
      <c r="C275" s="52">
        <v>21.28</v>
      </c>
      <c r="D275" s="39">
        <v>19.16</v>
      </c>
      <c r="E275" s="70">
        <v>19.16</v>
      </c>
      <c r="F275" s="39">
        <f t="shared" si="25"/>
        <v>9.917355371900835E-2</v>
      </c>
      <c r="G275" s="39">
        <f t="shared" si="24"/>
        <v>-1.0330578512396658E-2</v>
      </c>
      <c r="H275" s="40">
        <f t="shared" si="26"/>
        <v>-1.0330578512396658E-2</v>
      </c>
    </row>
    <row r="276" spans="1:8" x14ac:dyDescent="0.25">
      <c r="A276" s="61" t="s">
        <v>390</v>
      </c>
      <c r="B276" s="70">
        <v>19.96</v>
      </c>
      <c r="C276" s="52">
        <v>21.56</v>
      </c>
      <c r="D276" s="39">
        <v>19.760000000000002</v>
      </c>
      <c r="E276" s="70">
        <v>19.760000000000002</v>
      </c>
      <c r="F276" s="39">
        <f t="shared" si="25"/>
        <v>8.0160320641282451E-2</v>
      </c>
      <c r="G276" s="39">
        <f t="shared" si="24"/>
        <v>-1.0020040080160284E-2</v>
      </c>
      <c r="H276" s="40">
        <f t="shared" si="26"/>
        <v>-1.0020040080160284E-2</v>
      </c>
    </row>
    <row r="277" spans="1:8" x14ac:dyDescent="0.25">
      <c r="A277" s="61" t="s">
        <v>391</v>
      </c>
      <c r="B277" s="70">
        <v>20.2</v>
      </c>
      <c r="C277" s="52">
        <v>21.6</v>
      </c>
      <c r="D277" s="39">
        <v>20.079999999999998</v>
      </c>
      <c r="E277" s="70">
        <v>20.04</v>
      </c>
      <c r="F277" s="39">
        <f t="shared" si="25"/>
        <v>6.930693069306941E-2</v>
      </c>
      <c r="G277" s="39">
        <f t="shared" si="24"/>
        <v>-5.9405940594059901E-3</v>
      </c>
      <c r="H277" s="40">
        <f t="shared" si="26"/>
        <v>-7.9207920792079278E-3</v>
      </c>
    </row>
    <row r="278" spans="1:8" x14ac:dyDescent="0.25">
      <c r="A278" s="61" t="s">
        <v>392</v>
      </c>
      <c r="B278" s="70">
        <v>19.84</v>
      </c>
      <c r="C278" s="52">
        <v>21.56</v>
      </c>
      <c r="D278" s="39">
        <v>19.16</v>
      </c>
      <c r="E278" s="70">
        <v>19.16</v>
      </c>
      <c r="F278" s="39">
        <f t="shared" si="25"/>
        <v>8.6693548387096711E-2</v>
      </c>
      <c r="G278" s="39">
        <f t="shared" si="24"/>
        <v>-3.427419354838708E-2</v>
      </c>
      <c r="H278" s="40">
        <f t="shared" si="26"/>
        <v>-3.427419354838708E-2</v>
      </c>
    </row>
    <row r="279" spans="1:8" x14ac:dyDescent="0.25">
      <c r="A279" s="61" t="s">
        <v>393</v>
      </c>
      <c r="B279" s="70">
        <v>23.08</v>
      </c>
      <c r="C279" s="52">
        <v>23.16</v>
      </c>
      <c r="D279" s="39">
        <v>21.56</v>
      </c>
      <c r="E279" s="70">
        <v>21.56</v>
      </c>
      <c r="F279" s="39">
        <f t="shared" si="25"/>
        <v>3.4662045060659384E-3</v>
      </c>
      <c r="G279" s="39">
        <f t="shared" si="24"/>
        <v>-6.5857885615251285E-2</v>
      </c>
      <c r="H279" s="40">
        <f t="shared" si="26"/>
        <v>-6.5857885615251285E-2</v>
      </c>
    </row>
    <row r="280" spans="1:8" x14ac:dyDescent="0.25">
      <c r="A280" s="61" t="s">
        <v>394</v>
      </c>
      <c r="B280" s="70">
        <v>26.96</v>
      </c>
      <c r="C280" s="52">
        <v>30.24</v>
      </c>
      <c r="D280" s="39">
        <v>26.76</v>
      </c>
      <c r="E280" s="70">
        <v>26.76</v>
      </c>
      <c r="F280" s="39">
        <f t="shared" si="25"/>
        <v>0.12166172106824917</v>
      </c>
      <c r="G280" s="39">
        <f t="shared" si="24"/>
        <v>-7.418397626112733E-3</v>
      </c>
      <c r="H280" s="40">
        <f t="shared" si="26"/>
        <v>-7.418397626112733E-3</v>
      </c>
    </row>
    <row r="281" spans="1:8" x14ac:dyDescent="0.25">
      <c r="A281" s="61" t="s">
        <v>395</v>
      </c>
      <c r="B281" s="70">
        <v>24</v>
      </c>
      <c r="C281" s="52">
        <v>26.72</v>
      </c>
      <c r="D281" s="39">
        <v>23.36</v>
      </c>
      <c r="E281" s="70">
        <v>22.76</v>
      </c>
      <c r="F281" s="39">
        <f t="shared" si="25"/>
        <v>0.11333333333333329</v>
      </c>
      <c r="G281" s="39">
        <f t="shared" si="24"/>
        <v>-2.6666666666666689E-2</v>
      </c>
      <c r="H281" s="40">
        <f t="shared" si="26"/>
        <v>-5.1666666666666604E-2</v>
      </c>
    </row>
    <row r="282" spans="1:8" x14ac:dyDescent="0.25">
      <c r="A282" s="61" t="s">
        <v>396</v>
      </c>
      <c r="B282" s="70">
        <v>23.96</v>
      </c>
      <c r="C282" s="52">
        <v>26.12</v>
      </c>
      <c r="D282" s="39">
        <v>23.44</v>
      </c>
      <c r="E282" s="70">
        <v>23.6</v>
      </c>
      <c r="F282" s="39">
        <f t="shared" si="25"/>
        <v>9.0150250417362271E-2</v>
      </c>
      <c r="G282" s="39">
        <f t="shared" si="24"/>
        <v>-2.1702838063439048E-2</v>
      </c>
      <c r="H282" s="40">
        <f t="shared" si="26"/>
        <v>-1.5025041736227021E-2</v>
      </c>
    </row>
    <row r="283" spans="1:8" x14ac:dyDescent="0.25">
      <c r="A283" s="61" t="s">
        <v>397</v>
      </c>
      <c r="B283" s="70">
        <v>25.8</v>
      </c>
      <c r="C283" s="52">
        <v>28.88</v>
      </c>
      <c r="D283" s="39">
        <v>25.32</v>
      </c>
      <c r="E283" s="70">
        <v>24.52</v>
      </c>
      <c r="F283" s="39">
        <f t="shared" si="25"/>
        <v>0.11937984496124024</v>
      </c>
      <c r="G283" s="39">
        <f t="shared" si="24"/>
        <v>-1.8604651162790715E-2</v>
      </c>
      <c r="H283" s="40">
        <f t="shared" si="26"/>
        <v>-4.9612403100775235E-2</v>
      </c>
    </row>
    <row r="284" spans="1:8" x14ac:dyDescent="0.25">
      <c r="A284" s="61" t="s">
        <v>398</v>
      </c>
      <c r="B284" s="70">
        <v>20.2</v>
      </c>
      <c r="C284" s="52">
        <v>21.6</v>
      </c>
      <c r="D284" s="39">
        <v>19.88</v>
      </c>
      <c r="E284" s="70">
        <v>19.88</v>
      </c>
      <c r="F284" s="39">
        <f t="shared" si="25"/>
        <v>6.930693069306941E-2</v>
      </c>
      <c r="G284" s="39">
        <f t="shared" si="24"/>
        <v>-1.5841584158415856E-2</v>
      </c>
      <c r="H284" s="40">
        <f t="shared" si="26"/>
        <v>-1.5841584158415856E-2</v>
      </c>
    </row>
    <row r="285" spans="1:8" x14ac:dyDescent="0.25">
      <c r="A285" s="61" t="s">
        <v>399</v>
      </c>
      <c r="B285" s="70">
        <v>21.52</v>
      </c>
      <c r="C285" s="52">
        <v>24.52</v>
      </c>
      <c r="D285" s="39">
        <v>21.36</v>
      </c>
      <c r="E285" s="70">
        <v>20.88</v>
      </c>
      <c r="F285" s="39">
        <f t="shared" si="25"/>
        <v>0.13940520446096655</v>
      </c>
      <c r="G285" s="39">
        <f t="shared" si="24"/>
        <v>-7.4349442379182222E-3</v>
      </c>
      <c r="H285" s="40">
        <f t="shared" si="26"/>
        <v>-2.9739776951672889E-2</v>
      </c>
    </row>
    <row r="286" spans="1:8" x14ac:dyDescent="0.25">
      <c r="A286" s="61" t="s">
        <v>400</v>
      </c>
      <c r="B286" s="70">
        <v>21.04</v>
      </c>
      <c r="C286" s="52">
        <v>23.84</v>
      </c>
      <c r="D286" s="39">
        <v>20.84</v>
      </c>
      <c r="E286" s="70">
        <v>20.84</v>
      </c>
      <c r="F286" s="39">
        <f t="shared" si="25"/>
        <v>0.13307984790874527</v>
      </c>
      <c r="G286" s="39">
        <f t="shared" si="24"/>
        <v>-9.5057034220531987E-3</v>
      </c>
      <c r="H286" s="40">
        <f t="shared" si="26"/>
        <v>-9.5057034220531987E-3</v>
      </c>
    </row>
    <row r="287" spans="1:8" x14ac:dyDescent="0.25">
      <c r="A287" s="61" t="s">
        <v>401</v>
      </c>
      <c r="B287" s="70">
        <v>21.44</v>
      </c>
      <c r="C287" s="52">
        <v>24</v>
      </c>
      <c r="D287" s="39">
        <v>21.08</v>
      </c>
      <c r="E287" s="70">
        <v>20.76</v>
      </c>
      <c r="F287" s="39">
        <f t="shared" si="25"/>
        <v>0.11940298507462679</v>
      </c>
      <c r="G287" s="39">
        <f t="shared" si="24"/>
        <v>-1.6791044776119542E-2</v>
      </c>
      <c r="H287" s="40">
        <f t="shared" si="26"/>
        <v>-3.1716417910447749E-2</v>
      </c>
    </row>
    <row r="288" spans="1:8" x14ac:dyDescent="0.25">
      <c r="A288" s="61" t="s">
        <v>402</v>
      </c>
      <c r="B288" s="70">
        <v>19.96</v>
      </c>
      <c r="C288" s="52">
        <v>22.24</v>
      </c>
      <c r="D288" s="39">
        <v>19.600000000000001</v>
      </c>
      <c r="E288" s="70">
        <v>19.600000000000001</v>
      </c>
      <c r="F288" s="39">
        <f t="shared" si="25"/>
        <v>0.11422845691382753</v>
      </c>
      <c r="G288" s="39">
        <f t="shared" si="24"/>
        <v>-1.8036072144288547E-2</v>
      </c>
      <c r="H288" s="40">
        <f t="shared" si="26"/>
        <v>-1.8036072144288547E-2</v>
      </c>
    </row>
    <row r="289" spans="1:8" x14ac:dyDescent="0.25">
      <c r="A289" s="61" t="s">
        <v>403</v>
      </c>
      <c r="B289" s="70">
        <v>23.6</v>
      </c>
      <c r="C289" s="52">
        <v>24.44</v>
      </c>
      <c r="D289" s="39">
        <v>23.24</v>
      </c>
      <c r="E289" s="70">
        <v>22.76</v>
      </c>
      <c r="F289" s="39">
        <f t="shared" si="25"/>
        <v>3.5593220338983045E-2</v>
      </c>
      <c r="G289" s="39">
        <f t="shared" si="24"/>
        <v>-1.5254237288135719E-2</v>
      </c>
      <c r="H289" s="40">
        <f t="shared" si="26"/>
        <v>-3.5593220338983045E-2</v>
      </c>
    </row>
    <row r="290" spans="1:8" x14ac:dyDescent="0.25">
      <c r="A290" s="61" t="s">
        <v>404</v>
      </c>
      <c r="B290" s="70">
        <v>20.440000000000001</v>
      </c>
      <c r="C290" s="52">
        <v>21.68</v>
      </c>
      <c r="D290" s="39">
        <v>20.239999999999998</v>
      </c>
      <c r="E290" s="70">
        <v>20.239999999999998</v>
      </c>
      <c r="F290" s="39">
        <f t="shared" si="25"/>
        <v>6.0665362035224969E-2</v>
      </c>
      <c r="G290" s="39">
        <f t="shared" si="24"/>
        <v>-9.7847358121332106E-3</v>
      </c>
      <c r="H290" s="40">
        <f t="shared" si="26"/>
        <v>-9.7847358121332106E-3</v>
      </c>
    </row>
    <row r="291" spans="1:8" x14ac:dyDescent="0.25">
      <c r="A291" s="61" t="s">
        <v>405</v>
      </c>
      <c r="B291" s="70">
        <v>20.96</v>
      </c>
      <c r="C291" s="52">
        <v>22.48</v>
      </c>
      <c r="D291" s="39">
        <v>20.48</v>
      </c>
      <c r="E291" s="70">
        <v>20.48</v>
      </c>
      <c r="F291" s="39">
        <f t="shared" si="25"/>
        <v>7.2519083969465631E-2</v>
      </c>
      <c r="G291" s="39">
        <f t="shared" si="24"/>
        <v>-2.2900763358778647E-2</v>
      </c>
      <c r="H291" s="40">
        <f t="shared" si="26"/>
        <v>-2.2900763358778647E-2</v>
      </c>
    </row>
    <row r="292" spans="1:8" x14ac:dyDescent="0.25">
      <c r="A292" s="61" t="s">
        <v>406</v>
      </c>
      <c r="B292" s="70">
        <v>18.16</v>
      </c>
      <c r="C292" s="52">
        <v>19.16</v>
      </c>
      <c r="D292" s="39">
        <v>17.96</v>
      </c>
      <c r="E292" s="70">
        <v>17.96</v>
      </c>
      <c r="F292" s="39">
        <f t="shared" si="25"/>
        <v>5.5066079295154183E-2</v>
      </c>
      <c r="G292" s="39">
        <f t="shared" si="24"/>
        <v>-1.1013215859030798E-2</v>
      </c>
      <c r="H292" s="40">
        <f t="shared" si="26"/>
        <v>-1.1013215859030798E-2</v>
      </c>
    </row>
    <row r="293" spans="1:8" x14ac:dyDescent="0.25">
      <c r="A293" s="61" t="s">
        <v>407</v>
      </c>
      <c r="B293" s="70">
        <v>27.16</v>
      </c>
      <c r="C293" s="52">
        <v>25.36</v>
      </c>
      <c r="D293" s="39">
        <v>26.16</v>
      </c>
      <c r="E293" s="70">
        <v>25.84</v>
      </c>
      <c r="F293" s="39">
        <f t="shared" si="25"/>
        <v>-6.6273932253313725E-2</v>
      </c>
      <c r="G293" s="39">
        <f t="shared" si="24"/>
        <v>-3.6818851251840944E-2</v>
      </c>
      <c r="H293" s="40">
        <f t="shared" si="26"/>
        <v>-4.8600883652430052E-2</v>
      </c>
    </row>
    <row r="294" spans="1:8" x14ac:dyDescent="0.25">
      <c r="A294" s="61" t="s">
        <v>408</v>
      </c>
      <c r="B294" s="70">
        <v>19.64</v>
      </c>
      <c r="C294" s="52">
        <v>21.4</v>
      </c>
      <c r="D294" s="39">
        <v>19.440000000000001</v>
      </c>
      <c r="E294" s="70">
        <v>19.440000000000001</v>
      </c>
      <c r="F294" s="39">
        <f t="shared" si="25"/>
        <v>8.9613034623217819E-2</v>
      </c>
      <c r="G294" s="39">
        <f t="shared" si="24"/>
        <v>-1.0183299389002001E-2</v>
      </c>
      <c r="H294" s="40">
        <f t="shared" si="26"/>
        <v>-1.0183299389002001E-2</v>
      </c>
    </row>
    <row r="295" spans="1:8" x14ac:dyDescent="0.25">
      <c r="A295" s="61" t="s">
        <v>409</v>
      </c>
      <c r="B295" s="70">
        <v>22.72</v>
      </c>
      <c r="C295" s="52">
        <v>23.64</v>
      </c>
      <c r="D295" s="39">
        <v>21.76</v>
      </c>
      <c r="E295" s="70">
        <v>21.76</v>
      </c>
      <c r="F295" s="39">
        <f t="shared" si="25"/>
        <v>4.0492957746478951E-2</v>
      </c>
      <c r="G295" s="39">
        <f t="shared" si="24"/>
        <v>-4.2253521126760445E-2</v>
      </c>
      <c r="H295" s="40">
        <f t="shared" si="26"/>
        <v>-4.2253521126760445E-2</v>
      </c>
    </row>
    <row r="296" spans="1:8" x14ac:dyDescent="0.25">
      <c r="A296" s="61" t="s">
        <v>410</v>
      </c>
      <c r="B296" s="70">
        <v>23.88</v>
      </c>
      <c r="C296" s="52">
        <v>24</v>
      </c>
      <c r="D296" s="39">
        <v>22.56</v>
      </c>
      <c r="E296" s="70">
        <v>22.56</v>
      </c>
      <c r="F296" s="39">
        <f t="shared" si="25"/>
        <v>5.0251256281407452E-3</v>
      </c>
      <c r="G296" s="39">
        <f t="shared" si="24"/>
        <v>-5.5276381909547756E-2</v>
      </c>
      <c r="H296" s="40">
        <f t="shared" si="26"/>
        <v>-5.5276381909547756E-2</v>
      </c>
    </row>
    <row r="297" spans="1:8" x14ac:dyDescent="0.25">
      <c r="A297" s="61" t="s">
        <v>411</v>
      </c>
      <c r="B297" s="70">
        <v>22.96</v>
      </c>
      <c r="C297" s="52">
        <v>23.92</v>
      </c>
      <c r="D297" s="39">
        <v>22</v>
      </c>
      <c r="E297" s="70">
        <v>21.88</v>
      </c>
      <c r="F297" s="39">
        <f t="shared" si="25"/>
        <v>4.1811846689895509E-2</v>
      </c>
      <c r="G297" s="39">
        <f t="shared" si="24"/>
        <v>-4.1811846689895509E-2</v>
      </c>
      <c r="H297" s="40">
        <f t="shared" si="26"/>
        <v>-4.7038327526132483E-2</v>
      </c>
    </row>
    <row r="298" spans="1:8" x14ac:dyDescent="0.25">
      <c r="A298" s="61" t="s">
        <v>412</v>
      </c>
      <c r="B298" s="70">
        <v>22.68</v>
      </c>
      <c r="C298" s="52">
        <v>23.68</v>
      </c>
      <c r="D298" s="39">
        <v>22.12</v>
      </c>
      <c r="E298" s="70">
        <v>22.12</v>
      </c>
      <c r="F298" s="39">
        <f t="shared" si="25"/>
        <v>4.4091710758377423E-2</v>
      </c>
      <c r="G298" s="39">
        <f t="shared" si="24"/>
        <v>-2.4691358024691301E-2</v>
      </c>
      <c r="H298" s="40">
        <f t="shared" si="26"/>
        <v>-2.4691358024691301E-2</v>
      </c>
    </row>
    <row r="299" spans="1:8" x14ac:dyDescent="0.25">
      <c r="A299" s="61" t="s">
        <v>413</v>
      </c>
      <c r="B299" s="70">
        <v>28.24</v>
      </c>
      <c r="C299" s="52">
        <v>28.64</v>
      </c>
      <c r="D299" s="39">
        <v>26.72</v>
      </c>
      <c r="E299" s="70">
        <v>26.72</v>
      </c>
      <c r="F299" s="39">
        <f t="shared" si="25"/>
        <v>1.4164305949008575E-2</v>
      </c>
      <c r="G299" s="39">
        <f t="shared" si="24"/>
        <v>-5.382436260623228E-2</v>
      </c>
      <c r="H299" s="40">
        <f t="shared" si="26"/>
        <v>-5.382436260623228E-2</v>
      </c>
    </row>
    <row r="300" spans="1:8" x14ac:dyDescent="0.25">
      <c r="A300" s="61" t="s">
        <v>414</v>
      </c>
      <c r="B300" s="70">
        <v>11.8</v>
      </c>
      <c r="C300" s="52">
        <v>11.04</v>
      </c>
      <c r="D300" s="39">
        <v>10.88</v>
      </c>
      <c r="E300" s="70">
        <v>10.88</v>
      </c>
      <c r="F300" s="39">
        <f t="shared" si="25"/>
        <v>-6.4406779661017072E-2</v>
      </c>
      <c r="G300" s="39">
        <f t="shared" si="24"/>
        <v>-7.7966101694915246E-2</v>
      </c>
      <c r="H300" s="40">
        <f t="shared" si="26"/>
        <v>-7.7966101694915246E-2</v>
      </c>
    </row>
    <row r="301" spans="1:8" x14ac:dyDescent="0.25">
      <c r="A301" s="61" t="s">
        <v>415</v>
      </c>
      <c r="B301" s="70">
        <v>11.32</v>
      </c>
      <c r="C301" s="52">
        <v>11.2</v>
      </c>
      <c r="D301" s="39">
        <v>10.88</v>
      </c>
      <c r="E301" s="70">
        <v>10.88</v>
      </c>
      <c r="F301" s="39">
        <f t="shared" si="25"/>
        <v>-1.0600706713781006E-2</v>
      </c>
      <c r="G301" s="39">
        <f t="shared" si="24"/>
        <v>-3.8869257950529992E-2</v>
      </c>
      <c r="H301" s="40">
        <f t="shared" si="26"/>
        <v>-3.8869257950529992E-2</v>
      </c>
    </row>
    <row r="302" spans="1:8" x14ac:dyDescent="0.25">
      <c r="A302" s="61" t="s">
        <v>416</v>
      </c>
      <c r="B302" s="70">
        <v>10.199999999999999</v>
      </c>
      <c r="C302" s="52">
        <v>11.04</v>
      </c>
      <c r="D302" s="39">
        <v>9.8800000000000008</v>
      </c>
      <c r="E302" s="70">
        <v>9.8800000000000008</v>
      </c>
      <c r="F302" s="39">
        <f t="shared" si="25"/>
        <v>8.2352941176470573E-2</v>
      </c>
      <c r="G302" s="39">
        <f t="shared" si="24"/>
        <v>-3.1372549019607697E-2</v>
      </c>
      <c r="H302" s="40">
        <f t="shared" si="26"/>
        <v>-3.1372549019607697E-2</v>
      </c>
    </row>
    <row r="303" spans="1:8" x14ac:dyDescent="0.25">
      <c r="A303" s="61" t="s">
        <v>417</v>
      </c>
      <c r="B303" s="70">
        <v>11.2</v>
      </c>
      <c r="C303" s="52">
        <v>10.76</v>
      </c>
      <c r="D303" s="39">
        <v>10.44</v>
      </c>
      <c r="E303" s="70">
        <v>10.44</v>
      </c>
      <c r="F303" s="39">
        <f t="shared" si="25"/>
        <v>-3.9285714285714243E-2</v>
      </c>
      <c r="G303" s="39">
        <f t="shared" si="24"/>
        <v>-6.7857142857142838E-2</v>
      </c>
      <c r="H303" s="40">
        <f t="shared" si="26"/>
        <v>-6.7857142857142838E-2</v>
      </c>
    </row>
    <row r="304" spans="1:8" x14ac:dyDescent="0.25">
      <c r="A304" s="61" t="s">
        <v>418</v>
      </c>
      <c r="B304" s="70">
        <v>6.76</v>
      </c>
      <c r="C304" s="52">
        <v>6.96</v>
      </c>
      <c r="D304" s="39">
        <v>6.56</v>
      </c>
      <c r="E304" s="70">
        <v>6.44</v>
      </c>
      <c r="F304" s="39">
        <f t="shared" si="25"/>
        <v>2.9585798816568074E-2</v>
      </c>
      <c r="G304" s="39">
        <f t="shared" si="24"/>
        <v>-2.9585798816568074E-2</v>
      </c>
      <c r="H304" s="40">
        <f t="shared" si="26"/>
        <v>-4.7337278106508784E-2</v>
      </c>
    </row>
    <row r="305" spans="1:8" x14ac:dyDescent="0.25">
      <c r="A305" s="61" t="s">
        <v>419</v>
      </c>
      <c r="B305" s="70">
        <v>6.72</v>
      </c>
      <c r="C305" s="52">
        <v>7.24</v>
      </c>
      <c r="D305" s="39">
        <v>6.72</v>
      </c>
      <c r="E305" s="70">
        <v>6.56</v>
      </c>
      <c r="F305" s="39">
        <f t="shared" si="25"/>
        <v>7.7380952380952453E-2</v>
      </c>
      <c r="G305" s="39">
        <f t="shared" si="24"/>
        <v>0</v>
      </c>
      <c r="H305" s="40">
        <f t="shared" si="26"/>
        <v>-2.3809523809523832E-2</v>
      </c>
    </row>
    <row r="306" spans="1:8" x14ac:dyDescent="0.25">
      <c r="A306" s="61" t="s">
        <v>420</v>
      </c>
      <c r="B306" s="70">
        <v>6.04</v>
      </c>
      <c r="C306" s="52">
        <v>6.88</v>
      </c>
      <c r="D306" s="39">
        <v>5.88</v>
      </c>
      <c r="E306" s="70">
        <v>5.88</v>
      </c>
      <c r="F306" s="39">
        <f t="shared" si="25"/>
        <v>0.13907284768211919</v>
      </c>
      <c r="G306" s="39">
        <f t="shared" si="24"/>
        <v>-2.6490066225165587E-2</v>
      </c>
      <c r="H306" s="40">
        <f t="shared" si="26"/>
        <v>-2.6490066225165587E-2</v>
      </c>
    </row>
    <row r="307" spans="1:8" x14ac:dyDescent="0.25">
      <c r="A307" s="61" t="s">
        <v>421</v>
      </c>
      <c r="B307" s="70">
        <v>5.92</v>
      </c>
      <c r="C307" s="52">
        <v>6</v>
      </c>
      <c r="D307" s="39">
        <v>5.6</v>
      </c>
      <c r="E307" s="70">
        <v>5.6</v>
      </c>
      <c r="F307" s="39">
        <f t="shared" si="25"/>
        <v>1.3513513513513526E-2</v>
      </c>
      <c r="G307" s="39">
        <f t="shared" si="24"/>
        <v>-5.4054054054054106E-2</v>
      </c>
      <c r="H307" s="40">
        <f t="shared" si="26"/>
        <v>-5.4054054054054106E-2</v>
      </c>
    </row>
    <row r="308" spans="1:8" x14ac:dyDescent="0.25">
      <c r="A308" s="61" t="s">
        <v>422</v>
      </c>
      <c r="B308" s="70">
        <v>5.92</v>
      </c>
      <c r="C308" s="52">
        <v>5.8</v>
      </c>
      <c r="D308" s="39">
        <v>5.8</v>
      </c>
      <c r="E308" s="70">
        <v>5.8</v>
      </c>
      <c r="F308" s="39">
        <f t="shared" si="25"/>
        <v>-2.0270270270270289E-2</v>
      </c>
      <c r="G308" s="39">
        <f t="shared" si="24"/>
        <v>-2.0270270270270289E-2</v>
      </c>
      <c r="H308" s="40">
        <f t="shared" si="26"/>
        <v>-2.0270270270270289E-2</v>
      </c>
    </row>
    <row r="309" spans="1:8" x14ac:dyDescent="0.25">
      <c r="A309" s="61" t="s">
        <v>423</v>
      </c>
      <c r="B309" s="70">
        <v>6.52</v>
      </c>
      <c r="C309" s="52">
        <v>6.4</v>
      </c>
      <c r="D309" s="39">
        <v>6.36</v>
      </c>
      <c r="E309" s="70">
        <v>6.36</v>
      </c>
      <c r="F309" s="39">
        <f t="shared" si="25"/>
        <v>-1.8404907975460003E-2</v>
      </c>
      <c r="G309" s="39">
        <f t="shared" si="24"/>
        <v>-2.4539877300613383E-2</v>
      </c>
      <c r="H309" s="40">
        <f t="shared" si="26"/>
        <v>-2.4539877300613383E-2</v>
      </c>
    </row>
    <row r="310" spans="1:8" x14ac:dyDescent="0.25">
      <c r="A310" s="61" t="s">
        <v>424</v>
      </c>
      <c r="B310" s="70">
        <v>6.16</v>
      </c>
      <c r="C310" s="52">
        <v>6.16</v>
      </c>
      <c r="D310" s="39">
        <v>6.16</v>
      </c>
      <c r="E310" s="70">
        <v>6.16</v>
      </c>
      <c r="F310" s="39">
        <f t="shared" si="25"/>
        <v>0</v>
      </c>
      <c r="G310" s="39">
        <f t="shared" si="24"/>
        <v>0</v>
      </c>
      <c r="H310" s="40">
        <f t="shared" si="26"/>
        <v>0</v>
      </c>
    </row>
    <row r="311" spans="1:8" x14ac:dyDescent="0.25">
      <c r="A311" s="61" t="s">
        <v>425</v>
      </c>
      <c r="B311" s="70">
        <v>5.88</v>
      </c>
      <c r="C311" s="52">
        <v>6.08</v>
      </c>
      <c r="D311" s="39">
        <v>5.88</v>
      </c>
      <c r="E311" s="70">
        <v>5.88</v>
      </c>
      <c r="F311" s="39">
        <f t="shared" si="25"/>
        <v>3.4013605442176902E-2</v>
      </c>
      <c r="G311" s="39">
        <f t="shared" si="24"/>
        <v>0</v>
      </c>
      <c r="H311" s="40">
        <f t="shared" si="26"/>
        <v>0</v>
      </c>
    </row>
    <row r="312" spans="1:8" x14ac:dyDescent="0.25">
      <c r="A312" s="61" t="s">
        <v>426</v>
      </c>
      <c r="B312" s="70">
        <v>5.44</v>
      </c>
      <c r="C312" s="52">
        <v>5.64</v>
      </c>
      <c r="D312" s="39">
        <v>5.28</v>
      </c>
      <c r="E312" s="70">
        <v>5.28</v>
      </c>
      <c r="F312" s="39">
        <f t="shared" si="25"/>
        <v>3.6764705882352811E-2</v>
      </c>
      <c r="G312" s="39">
        <f t="shared" si="24"/>
        <v>-2.9411764705882377E-2</v>
      </c>
      <c r="H312" s="40">
        <f t="shared" si="26"/>
        <v>-2.9411764705882377E-2</v>
      </c>
    </row>
    <row r="313" spans="1:8" x14ac:dyDescent="0.25">
      <c r="A313" s="61" t="s">
        <v>427</v>
      </c>
      <c r="B313" s="70">
        <v>4.84</v>
      </c>
      <c r="C313" s="52">
        <v>4.68</v>
      </c>
      <c r="D313" s="39">
        <v>4.68</v>
      </c>
      <c r="E313" s="70">
        <v>4.68</v>
      </c>
      <c r="F313" s="39">
        <f t="shared" si="25"/>
        <v>-3.305785123966945E-2</v>
      </c>
      <c r="G313" s="39">
        <f t="shared" si="24"/>
        <v>-3.305785123966945E-2</v>
      </c>
      <c r="H313" s="40">
        <f t="shared" si="26"/>
        <v>-3.305785123966945E-2</v>
      </c>
    </row>
    <row r="314" spans="1:8" x14ac:dyDescent="0.25">
      <c r="A314" s="61" t="s">
        <v>428</v>
      </c>
      <c r="B314" s="70">
        <v>5.16</v>
      </c>
      <c r="C314" s="52">
        <v>5.4</v>
      </c>
      <c r="D314" s="39">
        <v>5.16</v>
      </c>
      <c r="E314" s="70">
        <v>5.16</v>
      </c>
      <c r="F314" s="39">
        <f t="shared" si="25"/>
        <v>4.6511627906976785E-2</v>
      </c>
      <c r="G314" s="39">
        <f t="shared" si="24"/>
        <v>0</v>
      </c>
      <c r="H314" s="40">
        <f t="shared" si="26"/>
        <v>0</v>
      </c>
    </row>
    <row r="315" spans="1:8" x14ac:dyDescent="0.25">
      <c r="A315" s="61" t="s">
        <v>429</v>
      </c>
      <c r="B315" s="70">
        <v>5.56</v>
      </c>
      <c r="C315" s="52">
        <v>5.76</v>
      </c>
      <c r="D315" s="39">
        <v>5.6</v>
      </c>
      <c r="E315" s="70">
        <v>5.6</v>
      </c>
      <c r="F315" s="39">
        <f t="shared" si="25"/>
        <v>3.5971223021582767E-2</v>
      </c>
      <c r="G315" s="39">
        <f t="shared" si="24"/>
        <v>7.1942446043165541E-3</v>
      </c>
      <c r="H315" s="40">
        <f t="shared" si="26"/>
        <v>7.1942446043165541E-3</v>
      </c>
    </row>
    <row r="316" spans="1:8" x14ac:dyDescent="0.25">
      <c r="A316" s="61" t="s">
        <v>430</v>
      </c>
      <c r="B316" s="70">
        <v>5.76</v>
      </c>
      <c r="C316" s="52">
        <v>5.8</v>
      </c>
      <c r="D316" s="39">
        <v>5.64</v>
      </c>
      <c r="E316" s="70">
        <v>5.64</v>
      </c>
      <c r="F316" s="39">
        <f t="shared" si="25"/>
        <v>6.944444444444451E-3</v>
      </c>
      <c r="G316" s="39">
        <f t="shared" si="24"/>
        <v>-2.0833333333333353E-2</v>
      </c>
      <c r="H316" s="40">
        <f t="shared" si="26"/>
        <v>-2.0833333333333353E-2</v>
      </c>
    </row>
    <row r="317" spans="1:8" x14ac:dyDescent="0.25">
      <c r="A317" s="61" t="s">
        <v>431</v>
      </c>
      <c r="B317" s="70">
        <v>7.36</v>
      </c>
      <c r="C317" s="52">
        <v>6.96</v>
      </c>
      <c r="D317" s="39">
        <v>6.76</v>
      </c>
      <c r="E317" s="70">
        <v>6.72</v>
      </c>
      <c r="F317" s="39">
        <f t="shared" si="25"/>
        <v>-5.4347826086956569E-2</v>
      </c>
      <c r="G317" s="39">
        <f t="shared" ref="G317:G380" si="27">(D317-B317)/B317</f>
        <v>-8.1521739130434853E-2</v>
      </c>
      <c r="H317" s="40">
        <f t="shared" si="26"/>
        <v>-8.6956521739130502E-2</v>
      </c>
    </row>
    <row r="318" spans="1:8" x14ac:dyDescent="0.25">
      <c r="A318" s="61" t="s">
        <v>432</v>
      </c>
      <c r="B318" s="70">
        <v>4.5199999999999996</v>
      </c>
      <c r="C318" s="52">
        <v>4.68</v>
      </c>
      <c r="D318" s="39">
        <v>4.5199999999999996</v>
      </c>
      <c r="E318" s="70">
        <v>4.5199999999999996</v>
      </c>
      <c r="F318" s="39">
        <f t="shared" si="25"/>
        <v>3.5398230088495609E-2</v>
      </c>
      <c r="G318" s="39">
        <f t="shared" si="27"/>
        <v>0</v>
      </c>
      <c r="H318" s="40">
        <f t="shared" si="26"/>
        <v>0</v>
      </c>
    </row>
    <row r="319" spans="1:8" x14ac:dyDescent="0.25">
      <c r="A319" s="61" t="s">
        <v>433</v>
      </c>
      <c r="B319" s="70">
        <v>5.88</v>
      </c>
      <c r="C319" s="52">
        <v>5.92</v>
      </c>
      <c r="D319" s="39">
        <v>5.72</v>
      </c>
      <c r="E319" s="70">
        <v>5.72</v>
      </c>
      <c r="F319" s="39">
        <f t="shared" si="25"/>
        <v>6.80272108843538E-3</v>
      </c>
      <c r="G319" s="39">
        <f t="shared" si="27"/>
        <v>-2.721088435374152E-2</v>
      </c>
      <c r="H319" s="40">
        <f t="shared" si="26"/>
        <v>-2.721088435374152E-2</v>
      </c>
    </row>
    <row r="320" spans="1:8" x14ac:dyDescent="0.25">
      <c r="A320" s="61" t="s">
        <v>434</v>
      </c>
      <c r="B320" s="70">
        <v>6.12</v>
      </c>
      <c r="C320" s="52">
        <v>6.16</v>
      </c>
      <c r="D320" s="39">
        <v>6</v>
      </c>
      <c r="E320" s="70">
        <v>6</v>
      </c>
      <c r="F320" s="39">
        <f t="shared" si="25"/>
        <v>6.5359477124183061E-3</v>
      </c>
      <c r="G320" s="39">
        <f t="shared" si="27"/>
        <v>-1.9607843137254919E-2</v>
      </c>
      <c r="H320" s="40">
        <f t="shared" si="26"/>
        <v>-1.9607843137254919E-2</v>
      </c>
    </row>
    <row r="321" spans="1:8" x14ac:dyDescent="0.25">
      <c r="A321" s="61" t="s">
        <v>435</v>
      </c>
      <c r="B321" s="70">
        <v>4.4000000000000004</v>
      </c>
      <c r="C321" s="52">
        <v>4.5999999999999996</v>
      </c>
      <c r="D321" s="39">
        <v>4.3600000000000003</v>
      </c>
      <c r="E321" s="70">
        <v>4.2</v>
      </c>
      <c r="F321" s="39">
        <f t="shared" si="25"/>
        <v>4.5454545454545289E-2</v>
      </c>
      <c r="G321" s="39">
        <f t="shared" si="27"/>
        <v>-9.0909090909090974E-3</v>
      </c>
      <c r="H321" s="40">
        <f t="shared" si="26"/>
        <v>-4.5454545454545491E-2</v>
      </c>
    </row>
    <row r="322" spans="1:8" x14ac:dyDescent="0.25">
      <c r="A322" s="61" t="s">
        <v>436</v>
      </c>
      <c r="B322" s="70">
        <v>8.08</v>
      </c>
      <c r="C322" s="52">
        <v>7.8</v>
      </c>
      <c r="D322" s="39">
        <v>7.56</v>
      </c>
      <c r="E322" s="70">
        <v>7.4</v>
      </c>
      <c r="F322" s="39">
        <f t="shared" si="25"/>
        <v>-3.4653465346534684E-2</v>
      </c>
      <c r="G322" s="39">
        <f t="shared" si="27"/>
        <v>-6.4356435643564414E-2</v>
      </c>
      <c r="H322" s="40">
        <f t="shared" si="26"/>
        <v>-8.4158415841584122E-2</v>
      </c>
    </row>
    <row r="323" spans="1:8" x14ac:dyDescent="0.25">
      <c r="A323" s="61" t="s">
        <v>437</v>
      </c>
      <c r="B323" s="70">
        <v>5.56</v>
      </c>
      <c r="C323" s="52">
        <v>5.56</v>
      </c>
      <c r="D323" s="39">
        <v>5.56</v>
      </c>
      <c r="E323" s="70">
        <v>5.56</v>
      </c>
      <c r="F323" s="39">
        <f t="shared" si="25"/>
        <v>0</v>
      </c>
      <c r="G323" s="39">
        <f t="shared" si="27"/>
        <v>0</v>
      </c>
      <c r="H323" s="40">
        <f t="shared" si="26"/>
        <v>0</v>
      </c>
    </row>
    <row r="324" spans="1:8" x14ac:dyDescent="0.25">
      <c r="A324" s="61" t="s">
        <v>438</v>
      </c>
      <c r="B324" s="70">
        <v>9.1999999999999993</v>
      </c>
      <c r="C324" s="52">
        <v>9.1999999999999993</v>
      </c>
      <c r="D324" s="39">
        <v>8.56</v>
      </c>
      <c r="E324" s="70">
        <v>8.56</v>
      </c>
      <c r="F324" s="39">
        <f t="shared" si="25"/>
        <v>0</v>
      </c>
      <c r="G324" s="39">
        <f t="shared" si="27"/>
        <v>-6.9565217391304224E-2</v>
      </c>
      <c r="H324" s="40">
        <f t="shared" si="26"/>
        <v>-6.9565217391304224E-2</v>
      </c>
    </row>
    <row r="325" spans="1:8" x14ac:dyDescent="0.25">
      <c r="A325" s="61" t="s">
        <v>439</v>
      </c>
      <c r="B325" s="70">
        <v>5.08</v>
      </c>
      <c r="C325" s="52">
        <v>5.08</v>
      </c>
      <c r="D325" s="39">
        <v>4.92</v>
      </c>
      <c r="E325" s="70">
        <v>4.92</v>
      </c>
      <c r="F325" s="39">
        <f t="shared" si="25"/>
        <v>0</v>
      </c>
      <c r="G325" s="39">
        <f t="shared" si="27"/>
        <v>-3.1496062992126012E-2</v>
      </c>
      <c r="H325" s="40">
        <f t="shared" si="26"/>
        <v>-3.1496062992126012E-2</v>
      </c>
    </row>
    <row r="326" spans="1:8" x14ac:dyDescent="0.25">
      <c r="A326" s="61" t="s">
        <v>440</v>
      </c>
      <c r="B326" s="70">
        <v>6.48</v>
      </c>
      <c r="C326" s="52">
        <v>6.84</v>
      </c>
      <c r="D326" s="39">
        <v>6.36</v>
      </c>
      <c r="E326" s="70">
        <v>6.36</v>
      </c>
      <c r="F326" s="39">
        <f t="shared" si="25"/>
        <v>5.5555555555555462E-2</v>
      </c>
      <c r="G326" s="39">
        <f t="shared" si="27"/>
        <v>-1.8518518518518535E-2</v>
      </c>
      <c r="H326" s="40">
        <f t="shared" si="26"/>
        <v>-1.8518518518518535E-2</v>
      </c>
    </row>
    <row r="327" spans="1:8" x14ac:dyDescent="0.25">
      <c r="A327" s="61" t="s">
        <v>441</v>
      </c>
      <c r="B327" s="70">
        <v>8.92</v>
      </c>
      <c r="C327" s="52">
        <v>8.64</v>
      </c>
      <c r="D327" s="39">
        <v>8.2799999999999994</v>
      </c>
      <c r="E327" s="70">
        <v>8.2799999999999994</v>
      </c>
      <c r="F327" s="39">
        <f t="shared" si="25"/>
        <v>-3.1390134529147913E-2</v>
      </c>
      <c r="G327" s="39">
        <f t="shared" si="27"/>
        <v>-7.1748878923766884E-2</v>
      </c>
      <c r="H327" s="40">
        <f t="shared" si="26"/>
        <v>-7.1748878923766884E-2</v>
      </c>
    </row>
    <row r="328" spans="1:8" x14ac:dyDescent="0.25">
      <c r="A328" s="61" t="s">
        <v>442</v>
      </c>
      <c r="B328" s="70">
        <v>6.72</v>
      </c>
      <c r="C328" s="52">
        <v>7.04</v>
      </c>
      <c r="D328" s="39">
        <v>6.52</v>
      </c>
      <c r="E328" s="70">
        <v>6.52</v>
      </c>
      <c r="F328" s="39">
        <f t="shared" ref="F328:F391" si="28">(C328-B328)/B328</f>
        <v>4.7619047619047665E-2</v>
      </c>
      <c r="G328" s="39">
        <f t="shared" si="27"/>
        <v>-2.9761904761904788E-2</v>
      </c>
      <c r="H328" s="40">
        <f t="shared" ref="H328:H391" si="29">(E328-B328)/B328</f>
        <v>-2.9761904761904788E-2</v>
      </c>
    </row>
    <row r="329" spans="1:8" x14ac:dyDescent="0.25">
      <c r="A329" s="61" t="s">
        <v>443</v>
      </c>
      <c r="B329" s="70">
        <v>8.1199999999999992</v>
      </c>
      <c r="C329" s="52">
        <v>8.2799999999999994</v>
      </c>
      <c r="D329" s="39">
        <v>7.92</v>
      </c>
      <c r="E329" s="70">
        <v>7.92</v>
      </c>
      <c r="F329" s="39">
        <f t="shared" si="28"/>
        <v>1.9704433497536967E-2</v>
      </c>
      <c r="G329" s="39">
        <f t="shared" si="27"/>
        <v>-2.4630541871921097E-2</v>
      </c>
      <c r="H329" s="40">
        <f t="shared" si="29"/>
        <v>-2.4630541871921097E-2</v>
      </c>
    </row>
    <row r="330" spans="1:8" x14ac:dyDescent="0.25">
      <c r="A330" s="61" t="s">
        <v>444</v>
      </c>
      <c r="B330" s="70">
        <v>7.36</v>
      </c>
      <c r="C330" s="52">
        <v>6.52</v>
      </c>
      <c r="D330" s="39">
        <v>6.2</v>
      </c>
      <c r="E330" s="70">
        <v>6.2</v>
      </c>
      <c r="F330" s="39">
        <f t="shared" si="28"/>
        <v>-0.11413043478260879</v>
      </c>
      <c r="G330" s="39">
        <f t="shared" si="27"/>
        <v>-0.15760869565217392</v>
      </c>
      <c r="H330" s="40">
        <f t="shared" si="29"/>
        <v>-0.15760869565217392</v>
      </c>
    </row>
    <row r="331" spans="1:8" x14ac:dyDescent="0.25">
      <c r="A331" s="61" t="s">
        <v>445</v>
      </c>
      <c r="B331" s="70">
        <v>5.64</v>
      </c>
      <c r="C331" s="52">
        <v>5.64</v>
      </c>
      <c r="D331" s="39">
        <v>5.44</v>
      </c>
      <c r="E331" s="70">
        <v>5.44</v>
      </c>
      <c r="F331" s="39">
        <f t="shared" si="28"/>
        <v>0</v>
      </c>
      <c r="G331" s="39">
        <f t="shared" si="27"/>
        <v>-3.5460992907801296E-2</v>
      </c>
      <c r="H331" s="40">
        <f t="shared" si="29"/>
        <v>-3.5460992907801296E-2</v>
      </c>
    </row>
    <row r="332" spans="1:8" x14ac:dyDescent="0.25">
      <c r="A332" s="61" t="s">
        <v>446</v>
      </c>
      <c r="B332" s="70">
        <v>5.2</v>
      </c>
      <c r="C332" s="52">
        <v>5.2</v>
      </c>
      <c r="D332" s="39">
        <v>5.04</v>
      </c>
      <c r="E332" s="70">
        <v>5.04</v>
      </c>
      <c r="F332" s="39">
        <f t="shared" si="28"/>
        <v>0</v>
      </c>
      <c r="G332" s="39">
        <f t="shared" si="27"/>
        <v>-3.0769230769230795E-2</v>
      </c>
      <c r="H332" s="40">
        <f t="shared" si="29"/>
        <v>-3.0769230769230795E-2</v>
      </c>
    </row>
    <row r="333" spans="1:8" x14ac:dyDescent="0.25">
      <c r="A333" s="61" t="s">
        <v>447</v>
      </c>
      <c r="B333" s="70">
        <v>9.32</v>
      </c>
      <c r="C333" s="52">
        <v>8.7200000000000006</v>
      </c>
      <c r="D333" s="39">
        <v>8.7200000000000006</v>
      </c>
      <c r="E333" s="70">
        <v>8.7200000000000006</v>
      </c>
      <c r="F333" s="39">
        <f t="shared" si="28"/>
        <v>-6.4377682403433431E-2</v>
      </c>
      <c r="G333" s="39">
        <f t="shared" si="27"/>
        <v>-6.4377682403433431E-2</v>
      </c>
      <c r="H333" s="40">
        <f t="shared" si="29"/>
        <v>-6.4377682403433431E-2</v>
      </c>
    </row>
    <row r="334" spans="1:8" x14ac:dyDescent="0.25">
      <c r="A334" s="61" t="s">
        <v>448</v>
      </c>
      <c r="B334" s="70">
        <v>6.44</v>
      </c>
      <c r="C334" s="52">
        <v>7</v>
      </c>
      <c r="D334" s="39">
        <v>6.28</v>
      </c>
      <c r="E334" s="70">
        <v>6.28</v>
      </c>
      <c r="F334" s="39">
        <f t="shared" si="28"/>
        <v>8.6956521739130363E-2</v>
      </c>
      <c r="G334" s="39">
        <f t="shared" si="27"/>
        <v>-2.4844720496894429E-2</v>
      </c>
      <c r="H334" s="40">
        <f t="shared" si="29"/>
        <v>-2.4844720496894429E-2</v>
      </c>
    </row>
    <row r="335" spans="1:8" x14ac:dyDescent="0.25">
      <c r="A335" s="61" t="s">
        <v>449</v>
      </c>
      <c r="B335" s="70">
        <v>8.92</v>
      </c>
      <c r="C335" s="52">
        <v>8.2799999999999994</v>
      </c>
      <c r="D335" s="39">
        <v>8.2799999999999994</v>
      </c>
      <c r="E335" s="70">
        <v>8.2799999999999994</v>
      </c>
      <c r="F335" s="39">
        <f t="shared" si="28"/>
        <v>-7.1748878923766884E-2</v>
      </c>
      <c r="G335" s="39">
        <f t="shared" si="27"/>
        <v>-7.1748878923766884E-2</v>
      </c>
      <c r="H335" s="40">
        <f t="shared" si="29"/>
        <v>-7.1748878923766884E-2</v>
      </c>
    </row>
    <row r="336" spans="1:8" x14ac:dyDescent="0.25">
      <c r="A336" s="61" t="s">
        <v>450</v>
      </c>
      <c r="B336" s="70">
        <v>7.8</v>
      </c>
      <c r="C336" s="52">
        <v>7.32</v>
      </c>
      <c r="D336" s="39">
        <v>7.32</v>
      </c>
      <c r="E336" s="70">
        <v>7.32</v>
      </c>
      <c r="F336" s="39">
        <f t="shared" si="28"/>
        <v>-6.1538461538461479E-2</v>
      </c>
      <c r="G336" s="39">
        <f t="shared" si="27"/>
        <v>-6.1538461538461479E-2</v>
      </c>
      <c r="H336" s="40">
        <f t="shared" si="29"/>
        <v>-6.1538461538461479E-2</v>
      </c>
    </row>
    <row r="337" spans="1:8" x14ac:dyDescent="0.25">
      <c r="A337" s="61" t="s">
        <v>451</v>
      </c>
      <c r="B337" s="70">
        <v>7.64</v>
      </c>
      <c r="C337" s="52">
        <v>8.48</v>
      </c>
      <c r="D337" s="39">
        <v>7.64</v>
      </c>
      <c r="E337" s="70">
        <v>7.32</v>
      </c>
      <c r="F337" s="39">
        <f t="shared" si="28"/>
        <v>0.10994764397905769</v>
      </c>
      <c r="G337" s="39">
        <f t="shared" si="27"/>
        <v>0</v>
      </c>
      <c r="H337" s="40">
        <f t="shared" si="29"/>
        <v>-4.1884816753926621E-2</v>
      </c>
    </row>
    <row r="338" spans="1:8" x14ac:dyDescent="0.25">
      <c r="A338" s="61" t="s">
        <v>452</v>
      </c>
      <c r="B338" s="70">
        <v>6.48</v>
      </c>
      <c r="C338" s="52">
        <v>7.32</v>
      </c>
      <c r="D338" s="39">
        <v>6.48</v>
      </c>
      <c r="E338" s="70">
        <v>6.32</v>
      </c>
      <c r="F338" s="39">
        <f t="shared" si="28"/>
        <v>0.12962962962962959</v>
      </c>
      <c r="G338" s="39">
        <f t="shared" si="27"/>
        <v>0</v>
      </c>
      <c r="H338" s="40">
        <f t="shared" si="29"/>
        <v>-2.4691358024691377E-2</v>
      </c>
    </row>
    <row r="339" spans="1:8" x14ac:dyDescent="0.25">
      <c r="A339" s="61" t="s">
        <v>453</v>
      </c>
      <c r="B339" s="70">
        <v>8.1999999999999993</v>
      </c>
      <c r="C339" s="52">
        <v>8.6</v>
      </c>
      <c r="D339" s="39">
        <v>7.68</v>
      </c>
      <c r="E339" s="70">
        <v>7.68</v>
      </c>
      <c r="F339" s="39">
        <f t="shared" si="28"/>
        <v>4.8780487804878099E-2</v>
      </c>
      <c r="G339" s="39">
        <f t="shared" si="27"/>
        <v>-6.3414634146341423E-2</v>
      </c>
      <c r="H339" s="40">
        <f t="shared" si="29"/>
        <v>-6.3414634146341423E-2</v>
      </c>
    </row>
    <row r="340" spans="1:8" x14ac:dyDescent="0.25">
      <c r="A340" s="61" t="s">
        <v>454</v>
      </c>
      <c r="B340" s="70">
        <v>5.12</v>
      </c>
      <c r="C340" s="52">
        <v>5.12</v>
      </c>
      <c r="D340" s="39">
        <v>4.92</v>
      </c>
      <c r="E340" s="70">
        <v>4.92</v>
      </c>
      <c r="F340" s="39">
        <f t="shared" si="28"/>
        <v>0</v>
      </c>
      <c r="G340" s="39">
        <f t="shared" si="27"/>
        <v>-3.9062500000000035E-2</v>
      </c>
      <c r="H340" s="40">
        <f t="shared" si="29"/>
        <v>-3.9062500000000035E-2</v>
      </c>
    </row>
    <row r="341" spans="1:8" x14ac:dyDescent="0.25">
      <c r="A341" s="61" t="s">
        <v>455</v>
      </c>
      <c r="B341" s="70">
        <v>7.36</v>
      </c>
      <c r="C341" s="52">
        <v>6.72</v>
      </c>
      <c r="D341" s="39">
        <v>6.72</v>
      </c>
      <c r="E341" s="70">
        <v>6.72</v>
      </c>
      <c r="F341" s="39">
        <f t="shared" si="28"/>
        <v>-8.6956521739130502E-2</v>
      </c>
      <c r="G341" s="39">
        <f t="shared" si="27"/>
        <v>-8.6956521739130502E-2</v>
      </c>
      <c r="H341" s="40">
        <f t="shared" si="29"/>
        <v>-8.6956521739130502E-2</v>
      </c>
    </row>
    <row r="342" spans="1:8" x14ac:dyDescent="0.25">
      <c r="A342" s="61" t="s">
        <v>456</v>
      </c>
      <c r="B342" s="70">
        <v>7.56</v>
      </c>
      <c r="C342" s="52">
        <v>7.92</v>
      </c>
      <c r="D342" s="39">
        <v>7.4</v>
      </c>
      <c r="E342" s="70">
        <v>7.4</v>
      </c>
      <c r="F342" s="39">
        <f t="shared" si="28"/>
        <v>4.7619047619047665E-2</v>
      </c>
      <c r="G342" s="39">
        <f t="shared" si="27"/>
        <v>-2.1164021164021066E-2</v>
      </c>
      <c r="H342" s="40">
        <f t="shared" si="29"/>
        <v>-2.1164021164021066E-2</v>
      </c>
    </row>
    <row r="343" spans="1:8" x14ac:dyDescent="0.25">
      <c r="A343" s="61" t="s">
        <v>457</v>
      </c>
      <c r="B343" s="70">
        <v>8.56</v>
      </c>
      <c r="C343" s="52">
        <v>7.76</v>
      </c>
      <c r="D343" s="39">
        <v>7.76</v>
      </c>
      <c r="E343" s="70">
        <v>7.72</v>
      </c>
      <c r="F343" s="39">
        <f t="shared" si="28"/>
        <v>-9.3457943925233725E-2</v>
      </c>
      <c r="G343" s="39">
        <f t="shared" si="27"/>
        <v>-9.3457943925233725E-2</v>
      </c>
      <c r="H343" s="40">
        <f t="shared" si="29"/>
        <v>-9.8130841121495407E-2</v>
      </c>
    </row>
    <row r="344" spans="1:8" x14ac:dyDescent="0.25">
      <c r="A344" s="61" t="s">
        <v>458</v>
      </c>
      <c r="B344" s="70">
        <v>4.84</v>
      </c>
      <c r="C344" s="52">
        <v>4.84</v>
      </c>
      <c r="D344" s="39">
        <v>4.84</v>
      </c>
      <c r="E344" s="70">
        <v>4.84</v>
      </c>
      <c r="F344" s="39">
        <f t="shared" si="28"/>
        <v>0</v>
      </c>
      <c r="G344" s="39">
        <f t="shared" si="27"/>
        <v>0</v>
      </c>
      <c r="H344" s="40">
        <f t="shared" si="29"/>
        <v>0</v>
      </c>
    </row>
    <row r="345" spans="1:8" x14ac:dyDescent="0.25">
      <c r="A345" s="61" t="s">
        <v>459</v>
      </c>
      <c r="B345" s="70">
        <v>6.28</v>
      </c>
      <c r="C345" s="52">
        <v>6.48</v>
      </c>
      <c r="D345" s="39">
        <v>6.12</v>
      </c>
      <c r="E345" s="70">
        <v>6.12</v>
      </c>
      <c r="F345" s="39">
        <f t="shared" si="28"/>
        <v>3.1847133757961811E-2</v>
      </c>
      <c r="G345" s="39">
        <f t="shared" si="27"/>
        <v>-2.5477707006369449E-2</v>
      </c>
      <c r="H345" s="40">
        <f t="shared" si="29"/>
        <v>-2.5477707006369449E-2</v>
      </c>
    </row>
    <row r="346" spans="1:8" x14ac:dyDescent="0.25">
      <c r="A346" s="61" t="s">
        <v>460</v>
      </c>
      <c r="B346" s="70">
        <v>5.88</v>
      </c>
      <c r="C346" s="52">
        <v>6.24</v>
      </c>
      <c r="D346" s="39">
        <v>5.52</v>
      </c>
      <c r="E346" s="70">
        <v>5.52</v>
      </c>
      <c r="F346" s="39">
        <f t="shared" si="28"/>
        <v>6.1224489795918421E-2</v>
      </c>
      <c r="G346" s="39">
        <f t="shared" si="27"/>
        <v>-6.1224489795918421E-2</v>
      </c>
      <c r="H346" s="40">
        <f t="shared" si="29"/>
        <v>-6.1224489795918421E-2</v>
      </c>
    </row>
    <row r="347" spans="1:8" x14ac:dyDescent="0.25">
      <c r="A347" s="61" t="s">
        <v>461</v>
      </c>
      <c r="B347" s="70">
        <v>5.88</v>
      </c>
      <c r="C347" s="52">
        <v>5.92</v>
      </c>
      <c r="D347" s="39">
        <v>5.72</v>
      </c>
      <c r="E347" s="70">
        <v>5.72</v>
      </c>
      <c r="F347" s="39">
        <f t="shared" si="28"/>
        <v>6.80272108843538E-3</v>
      </c>
      <c r="G347" s="39">
        <f t="shared" si="27"/>
        <v>-2.721088435374152E-2</v>
      </c>
      <c r="H347" s="40">
        <f t="shared" si="29"/>
        <v>-2.721088435374152E-2</v>
      </c>
    </row>
    <row r="348" spans="1:8" x14ac:dyDescent="0.25">
      <c r="A348" s="61" t="s">
        <v>462</v>
      </c>
      <c r="B348" s="70">
        <v>5.4</v>
      </c>
      <c r="C348" s="52">
        <v>5.6</v>
      </c>
      <c r="D348" s="39">
        <v>5.24</v>
      </c>
      <c r="E348" s="70">
        <v>5.08</v>
      </c>
      <c r="F348" s="39">
        <f t="shared" si="28"/>
        <v>3.7037037037036903E-2</v>
      </c>
      <c r="G348" s="39">
        <f t="shared" si="27"/>
        <v>-2.9629629629629655E-2</v>
      </c>
      <c r="H348" s="40">
        <f t="shared" si="29"/>
        <v>-5.925925925925931E-2</v>
      </c>
    </row>
    <row r="349" spans="1:8" x14ac:dyDescent="0.25">
      <c r="A349" s="61" t="s">
        <v>463</v>
      </c>
      <c r="B349" s="70">
        <v>5.88</v>
      </c>
      <c r="C349" s="52">
        <v>5.88</v>
      </c>
      <c r="D349" s="39">
        <v>5.72</v>
      </c>
      <c r="E349" s="70">
        <v>5.72</v>
      </c>
      <c r="F349" s="39">
        <f t="shared" si="28"/>
        <v>0</v>
      </c>
      <c r="G349" s="39">
        <f t="shared" si="27"/>
        <v>-2.721088435374152E-2</v>
      </c>
      <c r="H349" s="40">
        <f t="shared" si="29"/>
        <v>-2.721088435374152E-2</v>
      </c>
    </row>
    <row r="350" spans="1:8" x14ac:dyDescent="0.25">
      <c r="A350" s="61" t="s">
        <v>464</v>
      </c>
      <c r="B350" s="70">
        <v>7.4</v>
      </c>
      <c r="C350" s="52">
        <v>7.44</v>
      </c>
      <c r="D350" s="39">
        <v>7.04</v>
      </c>
      <c r="E350" s="70">
        <v>7.04</v>
      </c>
      <c r="F350" s="39">
        <f t="shared" si="28"/>
        <v>5.40540540540541E-3</v>
      </c>
      <c r="G350" s="39">
        <f t="shared" si="27"/>
        <v>-4.8648648648648693E-2</v>
      </c>
      <c r="H350" s="40">
        <f t="shared" si="29"/>
        <v>-4.8648648648648693E-2</v>
      </c>
    </row>
    <row r="351" spans="1:8" x14ac:dyDescent="0.25">
      <c r="A351" s="61" t="s">
        <v>465</v>
      </c>
      <c r="B351" s="70">
        <v>5.16</v>
      </c>
      <c r="C351" s="52">
        <v>5.8</v>
      </c>
      <c r="D351" s="39">
        <v>5.16</v>
      </c>
      <c r="E351" s="70">
        <v>5.16</v>
      </c>
      <c r="F351" s="39">
        <f t="shared" si="28"/>
        <v>0.12403100775193791</v>
      </c>
      <c r="G351" s="39">
        <f t="shared" si="27"/>
        <v>0</v>
      </c>
      <c r="H351" s="40">
        <f t="shared" si="29"/>
        <v>0</v>
      </c>
    </row>
    <row r="352" spans="1:8" x14ac:dyDescent="0.25">
      <c r="A352" s="61" t="s">
        <v>466</v>
      </c>
      <c r="B352" s="70">
        <v>4.3600000000000003</v>
      </c>
      <c r="C352" s="52">
        <v>4.5599999999999996</v>
      </c>
      <c r="D352" s="39">
        <v>4.3600000000000003</v>
      </c>
      <c r="E352" s="70">
        <v>4.3600000000000003</v>
      </c>
      <c r="F352" s="39">
        <f t="shared" si="28"/>
        <v>4.5871559633027359E-2</v>
      </c>
      <c r="G352" s="39">
        <f t="shared" si="27"/>
        <v>0</v>
      </c>
      <c r="H352" s="40">
        <f t="shared" si="29"/>
        <v>0</v>
      </c>
    </row>
    <row r="353" spans="1:8" x14ac:dyDescent="0.25">
      <c r="A353" s="61" t="s">
        <v>467</v>
      </c>
      <c r="B353" s="70">
        <v>4.76</v>
      </c>
      <c r="C353" s="52">
        <v>5.44</v>
      </c>
      <c r="D353" s="39">
        <v>4.76</v>
      </c>
      <c r="E353" s="70">
        <v>4.76</v>
      </c>
      <c r="F353" s="39">
        <f t="shared" si="28"/>
        <v>0.14285714285714299</v>
      </c>
      <c r="G353" s="39">
        <f t="shared" si="27"/>
        <v>0</v>
      </c>
      <c r="H353" s="40">
        <f t="shared" si="29"/>
        <v>0</v>
      </c>
    </row>
    <row r="354" spans="1:8" x14ac:dyDescent="0.25">
      <c r="A354" s="61" t="s">
        <v>468</v>
      </c>
      <c r="B354" s="70">
        <v>6.16</v>
      </c>
      <c r="C354" s="52">
        <v>6.2</v>
      </c>
      <c r="D354" s="39">
        <v>6</v>
      </c>
      <c r="E354" s="70">
        <v>6</v>
      </c>
      <c r="F354" s="39">
        <f t="shared" si="28"/>
        <v>6.4935064935064991E-3</v>
      </c>
      <c r="G354" s="39">
        <f t="shared" si="27"/>
        <v>-2.5974025974025997E-2</v>
      </c>
      <c r="H354" s="40">
        <f t="shared" si="29"/>
        <v>-2.5974025974025997E-2</v>
      </c>
    </row>
    <row r="355" spans="1:8" x14ac:dyDescent="0.25">
      <c r="A355" s="61" t="s">
        <v>469</v>
      </c>
      <c r="B355" s="70">
        <v>7.48</v>
      </c>
      <c r="C355" s="52">
        <v>7.32</v>
      </c>
      <c r="D355" s="39">
        <v>7.32</v>
      </c>
      <c r="E355" s="70">
        <v>7.32</v>
      </c>
      <c r="F355" s="39">
        <f t="shared" si="28"/>
        <v>-2.1390374331550818E-2</v>
      </c>
      <c r="G355" s="39">
        <f t="shared" si="27"/>
        <v>-2.1390374331550818E-2</v>
      </c>
      <c r="H355" s="40">
        <f t="shared" si="29"/>
        <v>-2.1390374331550818E-2</v>
      </c>
    </row>
    <row r="356" spans="1:8" x14ac:dyDescent="0.25">
      <c r="A356" s="61" t="s">
        <v>470</v>
      </c>
      <c r="B356" s="70">
        <v>5.08</v>
      </c>
      <c r="C356" s="52">
        <v>5.8</v>
      </c>
      <c r="D356" s="39">
        <v>5.08</v>
      </c>
      <c r="E356" s="70">
        <v>5.08</v>
      </c>
      <c r="F356" s="39">
        <f t="shared" si="28"/>
        <v>0.14173228346456687</v>
      </c>
      <c r="G356" s="39">
        <f t="shared" si="27"/>
        <v>0</v>
      </c>
      <c r="H356" s="40">
        <f t="shared" si="29"/>
        <v>0</v>
      </c>
    </row>
    <row r="357" spans="1:8" x14ac:dyDescent="0.25">
      <c r="A357" s="61" t="s">
        <v>471</v>
      </c>
      <c r="B357" s="70">
        <v>9.52</v>
      </c>
      <c r="C357" s="52">
        <v>8.16</v>
      </c>
      <c r="D357" s="39">
        <v>8.16</v>
      </c>
      <c r="E357" s="70">
        <v>8.16</v>
      </c>
      <c r="F357" s="39">
        <f t="shared" si="28"/>
        <v>-0.14285714285714279</v>
      </c>
      <c r="G357" s="39">
        <f t="shared" si="27"/>
        <v>-0.14285714285714279</v>
      </c>
      <c r="H357" s="40">
        <f t="shared" si="29"/>
        <v>-0.14285714285714279</v>
      </c>
    </row>
    <row r="358" spans="1:8" x14ac:dyDescent="0.25">
      <c r="A358" s="61" t="s">
        <v>472</v>
      </c>
      <c r="B358" s="70">
        <v>5.32</v>
      </c>
      <c r="C358" s="52">
        <v>5.32</v>
      </c>
      <c r="D358" s="39">
        <v>5.12</v>
      </c>
      <c r="E358" s="70">
        <v>5.12</v>
      </c>
      <c r="F358" s="39">
        <f t="shared" si="28"/>
        <v>0</v>
      </c>
      <c r="G358" s="39">
        <f t="shared" si="27"/>
        <v>-3.7593984962406048E-2</v>
      </c>
      <c r="H358" s="40">
        <f t="shared" si="29"/>
        <v>-3.7593984962406048E-2</v>
      </c>
    </row>
    <row r="359" spans="1:8" x14ac:dyDescent="0.25">
      <c r="A359" s="61" t="s">
        <v>473</v>
      </c>
      <c r="B359" s="70">
        <v>9.4</v>
      </c>
      <c r="C359" s="52">
        <v>8.48</v>
      </c>
      <c r="D359" s="39">
        <v>8.36</v>
      </c>
      <c r="E359" s="70">
        <v>8.36</v>
      </c>
      <c r="F359" s="39">
        <f t="shared" si="28"/>
        <v>-9.7872340425531903E-2</v>
      </c>
      <c r="G359" s="39">
        <f t="shared" si="27"/>
        <v>-0.11063829787234052</v>
      </c>
      <c r="H359" s="40">
        <f t="shared" si="29"/>
        <v>-0.11063829787234052</v>
      </c>
    </row>
    <row r="360" spans="1:8" x14ac:dyDescent="0.25">
      <c r="A360" s="61" t="s">
        <v>474</v>
      </c>
      <c r="B360" s="70">
        <v>7.4</v>
      </c>
      <c r="C360" s="52">
        <v>7.28</v>
      </c>
      <c r="D360" s="39">
        <v>7.24</v>
      </c>
      <c r="E360" s="70">
        <v>7.24</v>
      </c>
      <c r="F360" s="39">
        <f t="shared" si="28"/>
        <v>-1.6216216216216231E-2</v>
      </c>
      <c r="G360" s="39">
        <f t="shared" si="27"/>
        <v>-2.162162162162164E-2</v>
      </c>
      <c r="H360" s="40">
        <f t="shared" si="29"/>
        <v>-2.162162162162164E-2</v>
      </c>
    </row>
    <row r="361" spans="1:8" x14ac:dyDescent="0.25">
      <c r="A361" s="61" t="s">
        <v>475</v>
      </c>
      <c r="B361" s="70">
        <v>7.52</v>
      </c>
      <c r="C361" s="52">
        <v>7.44</v>
      </c>
      <c r="D361" s="39">
        <v>6.4</v>
      </c>
      <c r="E361" s="70">
        <v>6.72</v>
      </c>
      <c r="F361" s="39">
        <f t="shared" si="28"/>
        <v>-1.0638297872340318E-2</v>
      </c>
      <c r="G361" s="39">
        <f t="shared" si="27"/>
        <v>-0.14893617021276587</v>
      </c>
      <c r="H361" s="40">
        <f t="shared" si="29"/>
        <v>-0.10638297872340424</v>
      </c>
    </row>
    <row r="362" spans="1:8" x14ac:dyDescent="0.25">
      <c r="A362" s="61" t="s">
        <v>476</v>
      </c>
      <c r="B362" s="70">
        <v>8.56</v>
      </c>
      <c r="C362" s="52">
        <v>8.32</v>
      </c>
      <c r="D362" s="39">
        <v>8.1199999999999992</v>
      </c>
      <c r="E362" s="70">
        <v>8.1199999999999992</v>
      </c>
      <c r="F362" s="39">
        <f t="shared" si="28"/>
        <v>-2.8037383177570117E-2</v>
      </c>
      <c r="G362" s="39">
        <f t="shared" si="27"/>
        <v>-5.1401869158878649E-2</v>
      </c>
      <c r="H362" s="40">
        <f t="shared" si="29"/>
        <v>-5.1401869158878649E-2</v>
      </c>
    </row>
    <row r="363" spans="1:8" x14ac:dyDescent="0.25">
      <c r="A363" s="61" t="s">
        <v>477</v>
      </c>
      <c r="B363" s="70">
        <v>7.76</v>
      </c>
      <c r="C363" s="52">
        <v>8.2799999999999994</v>
      </c>
      <c r="D363" s="39">
        <v>7.6</v>
      </c>
      <c r="E363" s="70">
        <v>7.6</v>
      </c>
      <c r="F363" s="39">
        <f t="shared" si="28"/>
        <v>6.7010309278350458E-2</v>
      </c>
      <c r="G363" s="39">
        <f t="shared" si="27"/>
        <v>-2.0618556701030948E-2</v>
      </c>
      <c r="H363" s="40">
        <f t="shared" si="29"/>
        <v>-2.0618556701030948E-2</v>
      </c>
    </row>
    <row r="364" spans="1:8" x14ac:dyDescent="0.25">
      <c r="A364" s="61" t="s">
        <v>478</v>
      </c>
      <c r="B364" s="70">
        <v>8.9600000000000009</v>
      </c>
      <c r="C364" s="52">
        <v>9.1999999999999993</v>
      </c>
      <c r="D364" s="39">
        <v>8.64</v>
      </c>
      <c r="E364" s="70">
        <v>8.64</v>
      </c>
      <c r="F364" s="39">
        <f t="shared" si="28"/>
        <v>2.6785714285714107E-2</v>
      </c>
      <c r="G364" s="39">
        <f t="shared" si="27"/>
        <v>-3.571428571428574E-2</v>
      </c>
      <c r="H364" s="40">
        <f t="shared" si="29"/>
        <v>-3.571428571428574E-2</v>
      </c>
    </row>
    <row r="365" spans="1:8" x14ac:dyDescent="0.25">
      <c r="A365" s="61" t="s">
        <v>479</v>
      </c>
      <c r="B365" s="70">
        <v>8.16</v>
      </c>
      <c r="C365" s="52">
        <v>8.16</v>
      </c>
      <c r="D365" s="39">
        <v>7.76</v>
      </c>
      <c r="E365" s="70">
        <v>7.76</v>
      </c>
      <c r="F365" s="39">
        <f t="shared" si="28"/>
        <v>0</v>
      </c>
      <c r="G365" s="39">
        <f t="shared" si="27"/>
        <v>-4.9019607843137296E-2</v>
      </c>
      <c r="H365" s="40">
        <f t="shared" si="29"/>
        <v>-4.9019607843137296E-2</v>
      </c>
    </row>
    <row r="366" spans="1:8" x14ac:dyDescent="0.25">
      <c r="A366" s="61" t="s">
        <v>480</v>
      </c>
      <c r="B366" s="70">
        <v>7.44</v>
      </c>
      <c r="C366" s="52">
        <v>7.6</v>
      </c>
      <c r="D366" s="39">
        <v>7.24</v>
      </c>
      <c r="E366" s="70">
        <v>7.24</v>
      </c>
      <c r="F366" s="39">
        <f t="shared" si="28"/>
        <v>2.1505376344085919E-2</v>
      </c>
      <c r="G366" s="39">
        <f t="shared" si="27"/>
        <v>-2.6881720430107548E-2</v>
      </c>
      <c r="H366" s="40">
        <f t="shared" si="29"/>
        <v>-2.6881720430107548E-2</v>
      </c>
    </row>
    <row r="367" spans="1:8" x14ac:dyDescent="0.25">
      <c r="A367" s="61" t="s">
        <v>481</v>
      </c>
      <c r="B367" s="70">
        <v>7.84</v>
      </c>
      <c r="C367" s="52">
        <v>8.1999999999999993</v>
      </c>
      <c r="D367" s="39">
        <v>8.16</v>
      </c>
      <c r="E367" s="70">
        <v>7.68</v>
      </c>
      <c r="F367" s="39">
        <f t="shared" si="28"/>
        <v>4.5918367346938702E-2</v>
      </c>
      <c r="G367" s="39">
        <f t="shared" si="27"/>
        <v>4.0816326530612283E-2</v>
      </c>
      <c r="H367" s="40">
        <f t="shared" si="29"/>
        <v>-2.0408163265306142E-2</v>
      </c>
    </row>
    <row r="368" spans="1:8" x14ac:dyDescent="0.25">
      <c r="A368" s="61" t="s">
        <v>482</v>
      </c>
      <c r="B368" s="70">
        <v>9.32</v>
      </c>
      <c r="C368" s="52">
        <v>8.1999999999999993</v>
      </c>
      <c r="D368" s="39">
        <v>8.1999999999999993</v>
      </c>
      <c r="E368" s="70">
        <v>8.1999999999999993</v>
      </c>
      <c r="F368" s="39">
        <f t="shared" si="28"/>
        <v>-0.12017167381974259</v>
      </c>
      <c r="G368" s="39">
        <f t="shared" si="27"/>
        <v>-0.12017167381974259</v>
      </c>
      <c r="H368" s="40">
        <f t="shared" si="29"/>
        <v>-0.12017167381974259</v>
      </c>
    </row>
    <row r="369" spans="1:8" x14ac:dyDescent="0.25">
      <c r="A369" s="61" t="s">
        <v>483</v>
      </c>
      <c r="B369" s="70">
        <v>7.68</v>
      </c>
      <c r="C369" s="52">
        <v>7.2</v>
      </c>
      <c r="D369" s="39">
        <v>7.04</v>
      </c>
      <c r="E369" s="70">
        <v>7.04</v>
      </c>
      <c r="F369" s="39">
        <f t="shared" si="28"/>
        <v>-6.2499999999999944E-2</v>
      </c>
      <c r="G369" s="39">
        <f t="shared" si="27"/>
        <v>-8.3333333333333301E-2</v>
      </c>
      <c r="H369" s="40">
        <f t="shared" si="29"/>
        <v>-8.3333333333333301E-2</v>
      </c>
    </row>
    <row r="370" spans="1:8" x14ac:dyDescent="0.25">
      <c r="A370" s="61" t="s">
        <v>484</v>
      </c>
      <c r="B370" s="70">
        <v>4.88</v>
      </c>
      <c r="C370" s="52">
        <v>4.72</v>
      </c>
      <c r="D370" s="39">
        <v>4.5599999999999996</v>
      </c>
      <c r="E370" s="70">
        <v>4.5599999999999996</v>
      </c>
      <c r="F370" s="39">
        <f t="shared" si="28"/>
        <v>-3.2786885245901669E-2</v>
      </c>
      <c r="G370" s="39">
        <f t="shared" si="27"/>
        <v>-6.5573770491803338E-2</v>
      </c>
      <c r="H370" s="40">
        <f t="shared" si="29"/>
        <v>-6.5573770491803338E-2</v>
      </c>
    </row>
    <row r="371" spans="1:8" x14ac:dyDescent="0.25">
      <c r="A371" s="61" t="s">
        <v>485</v>
      </c>
      <c r="B371" s="70">
        <v>5.96</v>
      </c>
      <c r="C371" s="52">
        <v>5.96</v>
      </c>
      <c r="D371" s="39">
        <v>5.96</v>
      </c>
      <c r="E371" s="70">
        <v>5.96</v>
      </c>
      <c r="F371" s="39">
        <f t="shared" si="28"/>
        <v>0</v>
      </c>
      <c r="G371" s="39">
        <f t="shared" si="27"/>
        <v>0</v>
      </c>
      <c r="H371" s="40">
        <f t="shared" si="29"/>
        <v>0</v>
      </c>
    </row>
    <row r="372" spans="1:8" x14ac:dyDescent="0.25">
      <c r="A372" s="61" t="s">
        <v>486</v>
      </c>
      <c r="B372" s="70">
        <v>5.72</v>
      </c>
      <c r="C372" s="52">
        <v>5.92</v>
      </c>
      <c r="D372" s="39">
        <v>5.56</v>
      </c>
      <c r="E372" s="70">
        <v>5.56</v>
      </c>
      <c r="F372" s="39">
        <f t="shared" si="28"/>
        <v>3.4965034965034995E-2</v>
      </c>
      <c r="G372" s="39">
        <f t="shared" si="27"/>
        <v>-2.7972027972028E-2</v>
      </c>
      <c r="H372" s="40">
        <f t="shared" si="29"/>
        <v>-2.7972027972028E-2</v>
      </c>
    </row>
    <row r="373" spans="1:8" x14ac:dyDescent="0.25">
      <c r="A373" s="61" t="s">
        <v>487</v>
      </c>
      <c r="B373" s="70">
        <v>7.52</v>
      </c>
      <c r="C373" s="52">
        <v>7.56</v>
      </c>
      <c r="D373" s="39">
        <v>6.88</v>
      </c>
      <c r="E373" s="70">
        <v>6.56</v>
      </c>
      <c r="F373" s="39">
        <f t="shared" si="28"/>
        <v>5.3191489361702178E-3</v>
      </c>
      <c r="G373" s="39">
        <f t="shared" si="27"/>
        <v>-8.5106382978723361E-2</v>
      </c>
      <c r="H373" s="40">
        <f t="shared" si="29"/>
        <v>-0.1276595744680851</v>
      </c>
    </row>
    <row r="374" spans="1:8" x14ac:dyDescent="0.25">
      <c r="A374" s="61" t="s">
        <v>488</v>
      </c>
      <c r="B374" s="70">
        <v>5.36</v>
      </c>
      <c r="C374" s="52">
        <v>5.36</v>
      </c>
      <c r="D374" s="39">
        <v>5.16</v>
      </c>
      <c r="E374" s="70">
        <v>5.16</v>
      </c>
      <c r="F374" s="39">
        <f t="shared" si="28"/>
        <v>0</v>
      </c>
      <c r="G374" s="39">
        <f t="shared" si="27"/>
        <v>-3.7313432835820927E-2</v>
      </c>
      <c r="H374" s="40">
        <f t="shared" si="29"/>
        <v>-3.7313432835820927E-2</v>
      </c>
    </row>
    <row r="375" spans="1:8" x14ac:dyDescent="0.25">
      <c r="A375" s="61" t="s">
        <v>489</v>
      </c>
      <c r="B375" s="70">
        <v>9.08</v>
      </c>
      <c r="C375" s="52">
        <v>8.64</v>
      </c>
      <c r="D375" s="39">
        <v>8.48</v>
      </c>
      <c r="E375" s="70">
        <v>8.44</v>
      </c>
      <c r="F375" s="39">
        <f t="shared" si="28"/>
        <v>-4.8458149779735629E-2</v>
      </c>
      <c r="G375" s="39">
        <f t="shared" si="27"/>
        <v>-6.607929515418498E-2</v>
      </c>
      <c r="H375" s="40">
        <f t="shared" si="29"/>
        <v>-7.0484581497797419E-2</v>
      </c>
    </row>
    <row r="376" spans="1:8" x14ac:dyDescent="0.25">
      <c r="A376" s="61" t="s">
        <v>490</v>
      </c>
      <c r="B376" s="70">
        <v>12.24</v>
      </c>
      <c r="C376" s="52">
        <v>11.84</v>
      </c>
      <c r="D376" s="39">
        <v>10.84</v>
      </c>
      <c r="E376" s="70">
        <v>10.84</v>
      </c>
      <c r="F376" s="39">
        <f t="shared" si="28"/>
        <v>-3.2679738562091533E-2</v>
      </c>
      <c r="G376" s="39">
        <f t="shared" si="27"/>
        <v>-0.11437908496732029</v>
      </c>
      <c r="H376" s="40">
        <f t="shared" si="29"/>
        <v>-0.11437908496732029</v>
      </c>
    </row>
    <row r="377" spans="1:8" x14ac:dyDescent="0.25">
      <c r="A377" s="61" t="s">
        <v>491</v>
      </c>
      <c r="B377" s="70">
        <v>6.08</v>
      </c>
      <c r="C377" s="52">
        <v>6.12</v>
      </c>
      <c r="D377" s="39">
        <v>5.76</v>
      </c>
      <c r="E377" s="70">
        <v>5.76</v>
      </c>
      <c r="F377" s="39">
        <f t="shared" si="28"/>
        <v>6.5789473684210583E-3</v>
      </c>
      <c r="G377" s="39">
        <f t="shared" si="27"/>
        <v>-5.2631578947368467E-2</v>
      </c>
      <c r="H377" s="40">
        <f t="shared" si="29"/>
        <v>-5.2631578947368467E-2</v>
      </c>
    </row>
    <row r="378" spans="1:8" x14ac:dyDescent="0.25">
      <c r="A378" s="61" t="s">
        <v>492</v>
      </c>
      <c r="B378" s="70">
        <v>11.92</v>
      </c>
      <c r="C378" s="52">
        <v>10.8</v>
      </c>
      <c r="D378" s="39">
        <v>10.8</v>
      </c>
      <c r="E378" s="70">
        <v>10.8</v>
      </c>
      <c r="F378" s="39">
        <f t="shared" si="28"/>
        <v>-9.3959731543624095E-2</v>
      </c>
      <c r="G378" s="39">
        <f t="shared" si="27"/>
        <v>-9.3959731543624095E-2</v>
      </c>
      <c r="H378" s="40">
        <f t="shared" si="29"/>
        <v>-9.3959731543624095E-2</v>
      </c>
    </row>
    <row r="379" spans="1:8" x14ac:dyDescent="0.25">
      <c r="A379" s="61" t="s">
        <v>493</v>
      </c>
      <c r="B379" s="70">
        <v>10.44</v>
      </c>
      <c r="C379" s="52">
        <v>10</v>
      </c>
      <c r="D379" s="39">
        <v>9.64</v>
      </c>
      <c r="E379" s="70">
        <v>9.64</v>
      </c>
      <c r="F379" s="39">
        <f t="shared" si="28"/>
        <v>-4.2145593869731754E-2</v>
      </c>
      <c r="G379" s="39">
        <f t="shared" si="27"/>
        <v>-7.6628352490421353E-2</v>
      </c>
      <c r="H379" s="40">
        <f t="shared" si="29"/>
        <v>-7.6628352490421353E-2</v>
      </c>
    </row>
    <row r="380" spans="1:8" x14ac:dyDescent="0.25">
      <c r="A380" s="61" t="s">
        <v>494</v>
      </c>
      <c r="B380" s="70">
        <v>8.08</v>
      </c>
      <c r="C380" s="52">
        <v>7.28</v>
      </c>
      <c r="D380" s="39">
        <v>7.24</v>
      </c>
      <c r="E380" s="70">
        <v>7.24</v>
      </c>
      <c r="F380" s="39">
        <f t="shared" si="28"/>
        <v>-9.9009900990098987E-2</v>
      </c>
      <c r="G380" s="39">
        <f t="shared" si="27"/>
        <v>-0.10396039603960394</v>
      </c>
      <c r="H380" s="40">
        <f t="shared" si="29"/>
        <v>-0.10396039603960394</v>
      </c>
    </row>
    <row r="381" spans="1:8" x14ac:dyDescent="0.25">
      <c r="A381" s="61" t="s">
        <v>495</v>
      </c>
      <c r="B381" s="70">
        <v>5</v>
      </c>
      <c r="C381" s="52">
        <v>5.2</v>
      </c>
      <c r="D381" s="39">
        <v>5</v>
      </c>
      <c r="E381" s="70">
        <v>5</v>
      </c>
      <c r="F381" s="39">
        <f t="shared" si="28"/>
        <v>4.0000000000000036E-2</v>
      </c>
      <c r="G381" s="39">
        <f t="shared" ref="G381:G419" si="30">(D381-B381)/B381</f>
        <v>0</v>
      </c>
      <c r="H381" s="40">
        <f t="shared" si="29"/>
        <v>0</v>
      </c>
    </row>
    <row r="382" spans="1:8" x14ac:dyDescent="0.25">
      <c r="A382" s="61" t="s">
        <v>496</v>
      </c>
      <c r="B382" s="70">
        <v>6.32</v>
      </c>
      <c r="C382" s="52">
        <v>6.2</v>
      </c>
      <c r="D382" s="39">
        <v>6.2</v>
      </c>
      <c r="E382" s="70">
        <v>6.2</v>
      </c>
      <c r="F382" s="39">
        <f t="shared" si="28"/>
        <v>-1.8987341772151913E-2</v>
      </c>
      <c r="G382" s="39">
        <f t="shared" si="30"/>
        <v>-1.8987341772151913E-2</v>
      </c>
      <c r="H382" s="40">
        <f t="shared" si="29"/>
        <v>-1.8987341772151913E-2</v>
      </c>
    </row>
    <row r="383" spans="1:8" x14ac:dyDescent="0.25">
      <c r="A383" s="61" t="s">
        <v>497</v>
      </c>
      <c r="B383" s="70">
        <v>7.12</v>
      </c>
      <c r="C383" s="52">
        <v>7.68</v>
      </c>
      <c r="D383" s="39">
        <v>6.8</v>
      </c>
      <c r="E383" s="70">
        <v>6.8</v>
      </c>
      <c r="F383" s="39">
        <f t="shared" si="28"/>
        <v>7.8651685393258369E-2</v>
      </c>
      <c r="G383" s="39">
        <f t="shared" si="30"/>
        <v>-4.4943820224719142E-2</v>
      </c>
      <c r="H383" s="40">
        <f t="shared" si="29"/>
        <v>-4.4943820224719142E-2</v>
      </c>
    </row>
    <row r="384" spans="1:8" x14ac:dyDescent="0.25">
      <c r="A384" s="61" t="s">
        <v>498</v>
      </c>
      <c r="B384" s="70">
        <v>5.52</v>
      </c>
      <c r="C384" s="52">
        <v>5.88</v>
      </c>
      <c r="D384" s="39">
        <v>5.52</v>
      </c>
      <c r="E384" s="70">
        <v>5.52</v>
      </c>
      <c r="F384" s="39">
        <f t="shared" si="28"/>
        <v>6.5217391304347894E-2</v>
      </c>
      <c r="G384" s="39">
        <f t="shared" si="30"/>
        <v>0</v>
      </c>
      <c r="H384" s="40">
        <f t="shared" si="29"/>
        <v>0</v>
      </c>
    </row>
    <row r="385" spans="1:8" x14ac:dyDescent="0.25">
      <c r="A385" s="61" t="s">
        <v>499</v>
      </c>
      <c r="B385" s="70">
        <v>7.76</v>
      </c>
      <c r="C385" s="52">
        <v>7.48</v>
      </c>
      <c r="D385" s="39">
        <v>7.28</v>
      </c>
      <c r="E385" s="70">
        <v>7.28</v>
      </c>
      <c r="F385" s="39">
        <f t="shared" si="28"/>
        <v>-3.6082474226804044E-2</v>
      </c>
      <c r="G385" s="39">
        <f t="shared" si="30"/>
        <v>-6.1855670103092723E-2</v>
      </c>
      <c r="H385" s="40">
        <f t="shared" si="29"/>
        <v>-6.1855670103092723E-2</v>
      </c>
    </row>
    <row r="386" spans="1:8" x14ac:dyDescent="0.25">
      <c r="A386" s="61" t="s">
        <v>500</v>
      </c>
      <c r="B386" s="70">
        <v>5.04</v>
      </c>
      <c r="C386" s="52">
        <v>5.24</v>
      </c>
      <c r="D386" s="39">
        <v>5.04</v>
      </c>
      <c r="E386" s="70">
        <v>5.04</v>
      </c>
      <c r="F386" s="39">
        <f t="shared" si="28"/>
        <v>3.9682539682539715E-2</v>
      </c>
      <c r="G386" s="39">
        <f t="shared" si="30"/>
        <v>0</v>
      </c>
      <c r="H386" s="40">
        <f t="shared" si="29"/>
        <v>0</v>
      </c>
    </row>
    <row r="387" spans="1:8" x14ac:dyDescent="0.25">
      <c r="A387" s="61" t="s">
        <v>501</v>
      </c>
      <c r="B387" s="70">
        <v>6.52</v>
      </c>
      <c r="C387" s="52">
        <v>7.04</v>
      </c>
      <c r="D387" s="39">
        <v>6.36</v>
      </c>
      <c r="E387" s="70">
        <v>6.36</v>
      </c>
      <c r="F387" s="39">
        <f t="shared" si="28"/>
        <v>7.9754601226993946E-2</v>
      </c>
      <c r="G387" s="39">
        <f t="shared" si="30"/>
        <v>-2.4539877300613383E-2</v>
      </c>
      <c r="H387" s="40">
        <f t="shared" si="29"/>
        <v>-2.4539877300613383E-2</v>
      </c>
    </row>
    <row r="388" spans="1:8" x14ac:dyDescent="0.25">
      <c r="A388" s="61" t="s">
        <v>502</v>
      </c>
      <c r="B388" s="70">
        <v>7</v>
      </c>
      <c r="C388" s="52">
        <v>7</v>
      </c>
      <c r="D388" s="39">
        <v>6.84</v>
      </c>
      <c r="E388" s="70">
        <v>6.84</v>
      </c>
      <c r="F388" s="39">
        <f t="shared" si="28"/>
        <v>0</v>
      </c>
      <c r="G388" s="39">
        <f t="shared" si="30"/>
        <v>-2.2857142857142878E-2</v>
      </c>
      <c r="H388" s="40">
        <f t="shared" si="29"/>
        <v>-2.2857142857142878E-2</v>
      </c>
    </row>
    <row r="389" spans="1:8" x14ac:dyDescent="0.25">
      <c r="A389" s="61" t="s">
        <v>503</v>
      </c>
      <c r="B389" s="70">
        <v>5.8</v>
      </c>
      <c r="C389" s="52">
        <v>5.84</v>
      </c>
      <c r="D389" s="39">
        <v>5.64</v>
      </c>
      <c r="E389" s="70">
        <v>5.64</v>
      </c>
      <c r="F389" s="39">
        <f t="shared" si="28"/>
        <v>6.896551724137937E-3</v>
      </c>
      <c r="G389" s="39">
        <f t="shared" si="30"/>
        <v>-2.7586206896551748E-2</v>
      </c>
      <c r="H389" s="40">
        <f t="shared" si="29"/>
        <v>-2.7586206896551748E-2</v>
      </c>
    </row>
    <row r="390" spans="1:8" x14ac:dyDescent="0.25">
      <c r="A390" s="61" t="s">
        <v>504</v>
      </c>
      <c r="B390" s="70">
        <v>7.52</v>
      </c>
      <c r="C390" s="52">
        <v>7.24</v>
      </c>
      <c r="D390" s="39">
        <v>7.24</v>
      </c>
      <c r="E390" s="70">
        <v>7.2</v>
      </c>
      <c r="F390" s="39">
        <f t="shared" si="28"/>
        <v>-3.7234042553191404E-2</v>
      </c>
      <c r="G390" s="39">
        <f t="shared" si="30"/>
        <v>-3.7234042553191404E-2</v>
      </c>
      <c r="H390" s="40">
        <f t="shared" si="29"/>
        <v>-4.2553191489361625E-2</v>
      </c>
    </row>
    <row r="391" spans="1:8" x14ac:dyDescent="0.25">
      <c r="A391" s="61" t="s">
        <v>505</v>
      </c>
      <c r="B391" s="70">
        <v>7.24</v>
      </c>
      <c r="C391" s="52">
        <v>6.76</v>
      </c>
      <c r="D391" s="39">
        <v>6.6</v>
      </c>
      <c r="E391" s="70">
        <v>6.6</v>
      </c>
      <c r="F391" s="39">
        <f t="shared" si="28"/>
        <v>-6.6298342541436517E-2</v>
      </c>
      <c r="G391" s="39">
        <f t="shared" si="30"/>
        <v>-8.8397790055248698E-2</v>
      </c>
      <c r="H391" s="40">
        <f t="shared" si="29"/>
        <v>-8.8397790055248698E-2</v>
      </c>
    </row>
    <row r="392" spans="1:8" x14ac:dyDescent="0.25">
      <c r="A392" s="61" t="s">
        <v>506</v>
      </c>
      <c r="B392" s="70">
        <v>7.44</v>
      </c>
      <c r="C392" s="52">
        <v>7.32</v>
      </c>
      <c r="D392" s="39">
        <v>7.12</v>
      </c>
      <c r="E392" s="70">
        <v>7.12</v>
      </c>
      <c r="F392" s="39">
        <f t="shared" ref="F392:F419" si="31">(C392-B392)/B392</f>
        <v>-1.612903225806453E-2</v>
      </c>
      <c r="G392" s="39">
        <f t="shared" si="30"/>
        <v>-4.3010752688172081E-2</v>
      </c>
      <c r="H392" s="40">
        <f>(E392-B392)/B392</f>
        <v>-4.3010752688172081E-2</v>
      </c>
    </row>
    <row r="393" spans="1:8" x14ac:dyDescent="0.25">
      <c r="A393" s="61" t="s">
        <v>507</v>
      </c>
      <c r="B393" s="70">
        <v>5.64</v>
      </c>
      <c r="C393" s="52">
        <v>5.68</v>
      </c>
      <c r="D393" s="39">
        <v>5.48</v>
      </c>
      <c r="E393" s="70">
        <v>5.48</v>
      </c>
      <c r="F393" s="39">
        <f t="shared" si="31"/>
        <v>7.0921985815602905E-3</v>
      </c>
      <c r="G393" s="39">
        <f t="shared" si="30"/>
        <v>-2.8368794326241006E-2</v>
      </c>
      <c r="H393" s="40">
        <f t="shared" ref="H393:H419" si="32">(E393-B393)/B393</f>
        <v>-2.8368794326241006E-2</v>
      </c>
    </row>
    <row r="394" spans="1:8" x14ac:dyDescent="0.25">
      <c r="A394" s="61" t="s">
        <v>508</v>
      </c>
      <c r="B394" s="70">
        <v>9</v>
      </c>
      <c r="C394" s="52">
        <v>8.24</v>
      </c>
      <c r="D394" s="39">
        <v>8.0399999999999991</v>
      </c>
      <c r="E394" s="70">
        <v>8.0399999999999991</v>
      </c>
      <c r="F394" s="39">
        <f t="shared" si="31"/>
        <v>-8.4444444444444419E-2</v>
      </c>
      <c r="G394" s="39">
        <f t="shared" si="30"/>
        <v>-0.10666666666666676</v>
      </c>
      <c r="H394" s="40">
        <f t="shared" si="32"/>
        <v>-0.10666666666666676</v>
      </c>
    </row>
    <row r="395" spans="1:8" x14ac:dyDescent="0.25">
      <c r="A395" s="61" t="s">
        <v>509</v>
      </c>
      <c r="B395" s="70">
        <v>7.56</v>
      </c>
      <c r="C395" s="52">
        <v>7.28</v>
      </c>
      <c r="D395" s="39">
        <v>7.08</v>
      </c>
      <c r="E395" s="70">
        <v>7.08</v>
      </c>
      <c r="F395" s="39">
        <f t="shared" si="31"/>
        <v>-3.7037037037036952E-2</v>
      </c>
      <c r="G395" s="39">
        <f t="shared" si="30"/>
        <v>-6.3492063492063433E-2</v>
      </c>
      <c r="H395" s="40">
        <f t="shared" si="32"/>
        <v>-6.3492063492063433E-2</v>
      </c>
    </row>
    <row r="396" spans="1:8" x14ac:dyDescent="0.25">
      <c r="A396" s="61" t="s">
        <v>510</v>
      </c>
      <c r="B396" s="70">
        <v>9.16</v>
      </c>
      <c r="C396" s="52">
        <v>8.1999999999999993</v>
      </c>
      <c r="D396" s="39">
        <v>8</v>
      </c>
      <c r="E396" s="70">
        <v>8.0399999999999991</v>
      </c>
      <c r="F396" s="39">
        <f t="shared" si="31"/>
        <v>-0.10480349344978175</v>
      </c>
      <c r="G396" s="39">
        <f t="shared" si="30"/>
        <v>-0.12663755458515286</v>
      </c>
      <c r="H396" s="40">
        <f t="shared" si="32"/>
        <v>-0.12227074235807871</v>
      </c>
    </row>
    <row r="397" spans="1:8" x14ac:dyDescent="0.25">
      <c r="A397" s="61" t="s">
        <v>511</v>
      </c>
      <c r="B397" s="70">
        <v>9.52</v>
      </c>
      <c r="C397" s="52">
        <v>8.7200000000000006</v>
      </c>
      <c r="D397" s="39">
        <v>8.56</v>
      </c>
      <c r="E397" s="70">
        <v>8.56</v>
      </c>
      <c r="F397" s="39">
        <f t="shared" si="31"/>
        <v>-8.4033613445378047E-2</v>
      </c>
      <c r="G397" s="39">
        <f t="shared" si="30"/>
        <v>-0.10084033613445369</v>
      </c>
      <c r="H397" s="40">
        <f t="shared" si="32"/>
        <v>-0.10084033613445369</v>
      </c>
    </row>
    <row r="398" spans="1:8" x14ac:dyDescent="0.25">
      <c r="A398" s="61" t="s">
        <v>512</v>
      </c>
      <c r="B398" s="70">
        <v>7.24</v>
      </c>
      <c r="C398" s="52">
        <v>8.1999999999999993</v>
      </c>
      <c r="D398" s="39">
        <v>7.04</v>
      </c>
      <c r="E398" s="70">
        <v>7.04</v>
      </c>
      <c r="F398" s="39">
        <f t="shared" si="31"/>
        <v>0.13259668508287278</v>
      </c>
      <c r="G398" s="39">
        <f t="shared" si="30"/>
        <v>-2.7624309392265217E-2</v>
      </c>
      <c r="H398" s="40">
        <f t="shared" si="32"/>
        <v>-2.7624309392265217E-2</v>
      </c>
    </row>
    <row r="399" spans="1:8" x14ac:dyDescent="0.25">
      <c r="A399" s="61" t="s">
        <v>513</v>
      </c>
      <c r="B399" s="70">
        <v>8.52</v>
      </c>
      <c r="C399" s="52">
        <v>8.1999999999999993</v>
      </c>
      <c r="D399" s="39">
        <v>8.52</v>
      </c>
      <c r="E399" s="70">
        <v>8.36</v>
      </c>
      <c r="F399" s="39">
        <f t="shared" si="31"/>
        <v>-3.7558685446009425E-2</v>
      </c>
      <c r="G399" s="39">
        <f t="shared" si="30"/>
        <v>0</v>
      </c>
      <c r="H399" s="40">
        <f t="shared" si="32"/>
        <v>-1.8779342723004713E-2</v>
      </c>
    </row>
    <row r="400" spans="1:8" x14ac:dyDescent="0.25">
      <c r="A400" s="61" t="s">
        <v>514</v>
      </c>
      <c r="B400" s="70">
        <v>10.84</v>
      </c>
      <c r="C400" s="52">
        <v>10.039999999999999</v>
      </c>
      <c r="D400" s="39">
        <v>10.039999999999999</v>
      </c>
      <c r="E400" s="70">
        <v>10.039999999999999</v>
      </c>
      <c r="F400" s="39">
        <f t="shared" si="31"/>
        <v>-7.3800738007380143E-2</v>
      </c>
      <c r="G400" s="39">
        <f t="shared" si="30"/>
        <v>-7.3800738007380143E-2</v>
      </c>
      <c r="H400" s="40">
        <f t="shared" si="32"/>
        <v>-7.3800738007380143E-2</v>
      </c>
    </row>
    <row r="401" spans="1:8" x14ac:dyDescent="0.25">
      <c r="A401" s="61" t="s">
        <v>515</v>
      </c>
      <c r="B401" s="70">
        <v>8.6</v>
      </c>
      <c r="C401" s="52">
        <v>9.48</v>
      </c>
      <c r="D401" s="39">
        <v>7.64</v>
      </c>
      <c r="E401" s="70">
        <v>7.48</v>
      </c>
      <c r="F401" s="39">
        <f t="shared" si="31"/>
        <v>0.10232558139534893</v>
      </c>
      <c r="G401" s="39">
        <f t="shared" si="30"/>
        <v>-0.11162790697674418</v>
      </c>
      <c r="H401" s="40">
        <f t="shared" si="32"/>
        <v>-0.1302325581395348</v>
      </c>
    </row>
    <row r="402" spans="1:8" x14ac:dyDescent="0.25">
      <c r="A402" s="61" t="s">
        <v>516</v>
      </c>
      <c r="B402" s="70">
        <v>5.4</v>
      </c>
      <c r="C402" s="52">
        <v>5.4</v>
      </c>
      <c r="D402" s="39">
        <v>5.4</v>
      </c>
      <c r="E402" s="70">
        <v>5.4</v>
      </c>
      <c r="F402" s="39">
        <f t="shared" si="31"/>
        <v>0</v>
      </c>
      <c r="G402" s="39">
        <f t="shared" si="30"/>
        <v>0</v>
      </c>
      <c r="H402" s="40">
        <f t="shared" si="32"/>
        <v>0</v>
      </c>
    </row>
    <row r="403" spans="1:8" x14ac:dyDescent="0.25">
      <c r="A403" s="61" t="s">
        <v>517</v>
      </c>
      <c r="B403" s="70">
        <v>5.2</v>
      </c>
      <c r="C403" s="52">
        <v>5.2</v>
      </c>
      <c r="D403" s="39">
        <v>5.2</v>
      </c>
      <c r="E403" s="70">
        <v>5.2</v>
      </c>
      <c r="F403" s="39">
        <f t="shared" si="31"/>
        <v>0</v>
      </c>
      <c r="G403" s="39">
        <f t="shared" si="30"/>
        <v>0</v>
      </c>
      <c r="H403" s="40">
        <f t="shared" si="32"/>
        <v>0</v>
      </c>
    </row>
    <row r="404" spans="1:8" x14ac:dyDescent="0.25">
      <c r="A404" s="61" t="s">
        <v>518</v>
      </c>
      <c r="B404" s="70">
        <v>4.8</v>
      </c>
      <c r="C404" s="52">
        <v>5</v>
      </c>
      <c r="D404" s="39">
        <v>4.8</v>
      </c>
      <c r="E404" s="70">
        <v>4.8</v>
      </c>
      <c r="F404" s="39">
        <f t="shared" si="31"/>
        <v>4.1666666666666706E-2</v>
      </c>
      <c r="G404" s="39">
        <f t="shared" si="30"/>
        <v>0</v>
      </c>
      <c r="H404" s="40">
        <f t="shared" si="32"/>
        <v>0</v>
      </c>
    </row>
    <row r="405" spans="1:8" x14ac:dyDescent="0.25">
      <c r="A405" s="61" t="s">
        <v>519</v>
      </c>
      <c r="B405" s="70">
        <v>5.2</v>
      </c>
      <c r="C405" s="52">
        <v>5.36</v>
      </c>
      <c r="D405" s="39">
        <v>5</v>
      </c>
      <c r="E405" s="70">
        <v>5</v>
      </c>
      <c r="F405" s="39">
        <f t="shared" si="31"/>
        <v>3.0769230769230795E-2</v>
      </c>
      <c r="G405" s="39">
        <f t="shared" si="30"/>
        <v>-3.8461538461538491E-2</v>
      </c>
      <c r="H405" s="40">
        <f t="shared" si="32"/>
        <v>-3.8461538461538491E-2</v>
      </c>
    </row>
    <row r="406" spans="1:8" x14ac:dyDescent="0.25">
      <c r="A406" s="61" t="s">
        <v>520</v>
      </c>
      <c r="B406" s="70">
        <v>5</v>
      </c>
      <c r="C406" s="52">
        <v>5.2</v>
      </c>
      <c r="D406" s="39">
        <v>5</v>
      </c>
      <c r="E406" s="70">
        <v>5</v>
      </c>
      <c r="F406" s="39">
        <f t="shared" si="31"/>
        <v>4.0000000000000036E-2</v>
      </c>
      <c r="G406" s="39">
        <f t="shared" si="30"/>
        <v>0</v>
      </c>
      <c r="H406" s="40">
        <f t="shared" si="32"/>
        <v>0</v>
      </c>
    </row>
    <row r="407" spans="1:8" x14ac:dyDescent="0.25">
      <c r="A407" s="61" t="s">
        <v>521</v>
      </c>
      <c r="B407" s="70">
        <v>9.1199999999999992</v>
      </c>
      <c r="C407" s="52">
        <v>7.56</v>
      </c>
      <c r="D407" s="39">
        <v>7.52</v>
      </c>
      <c r="E407" s="70">
        <v>7.52</v>
      </c>
      <c r="F407" s="39">
        <f t="shared" si="31"/>
        <v>-0.17105263157894735</v>
      </c>
      <c r="G407" s="39">
        <f t="shared" si="30"/>
        <v>-0.17543859649122803</v>
      </c>
      <c r="H407" s="40">
        <f>(E407-B407)/B407</f>
        <v>-0.17543859649122803</v>
      </c>
    </row>
    <row r="408" spans="1:8" x14ac:dyDescent="0.25">
      <c r="A408" s="61" t="s">
        <v>522</v>
      </c>
      <c r="B408" s="70">
        <v>5.48</v>
      </c>
      <c r="C408" s="52">
        <v>5.52</v>
      </c>
      <c r="D408" s="39">
        <v>5.32</v>
      </c>
      <c r="E408" s="70">
        <v>5.32</v>
      </c>
      <c r="F408" s="39">
        <f t="shared" si="31"/>
        <v>7.2992700729925444E-3</v>
      </c>
      <c r="G408" s="39">
        <f t="shared" si="30"/>
        <v>-2.9197080291970826E-2</v>
      </c>
      <c r="H408" s="40">
        <f t="shared" si="32"/>
        <v>-2.9197080291970826E-2</v>
      </c>
    </row>
    <row r="409" spans="1:8" x14ac:dyDescent="0.25">
      <c r="A409" s="61" t="s">
        <v>523</v>
      </c>
      <c r="B409" s="70">
        <v>4.3600000000000003</v>
      </c>
      <c r="C409" s="52">
        <v>4.5599999999999996</v>
      </c>
      <c r="D409" s="39">
        <v>4.3600000000000003</v>
      </c>
      <c r="E409" s="70">
        <v>4.3600000000000003</v>
      </c>
      <c r="F409" s="39">
        <f t="shared" si="31"/>
        <v>4.5871559633027359E-2</v>
      </c>
      <c r="G409" s="39">
        <f t="shared" si="30"/>
        <v>0</v>
      </c>
      <c r="H409" s="40">
        <f t="shared" si="32"/>
        <v>0</v>
      </c>
    </row>
    <row r="410" spans="1:8" x14ac:dyDescent="0.25">
      <c r="A410" s="61" t="s">
        <v>524</v>
      </c>
      <c r="B410" s="70">
        <v>6.04</v>
      </c>
      <c r="C410" s="52">
        <v>5.56</v>
      </c>
      <c r="D410" s="39">
        <v>5.56</v>
      </c>
      <c r="E410" s="70">
        <v>5.56</v>
      </c>
      <c r="F410" s="39">
        <f t="shared" si="31"/>
        <v>-7.9470198675496762E-2</v>
      </c>
      <c r="G410" s="39">
        <f t="shared" si="30"/>
        <v>-7.9470198675496762E-2</v>
      </c>
      <c r="H410" s="40">
        <f t="shared" si="32"/>
        <v>-7.9470198675496762E-2</v>
      </c>
    </row>
    <row r="411" spans="1:8" x14ac:dyDescent="0.25">
      <c r="A411" s="61" t="s">
        <v>525</v>
      </c>
      <c r="B411" s="70">
        <v>8.0399999999999991</v>
      </c>
      <c r="C411" s="52">
        <v>7.28</v>
      </c>
      <c r="D411" s="39">
        <v>7.08</v>
      </c>
      <c r="E411" s="70">
        <v>7.08</v>
      </c>
      <c r="F411" s="39">
        <f t="shared" si="31"/>
        <v>-9.4527363184079477E-2</v>
      </c>
      <c r="G411" s="39">
        <f t="shared" si="30"/>
        <v>-0.11940298507462677</v>
      </c>
      <c r="H411" s="40">
        <f t="shared" si="32"/>
        <v>-0.11940298507462677</v>
      </c>
    </row>
    <row r="412" spans="1:8" x14ac:dyDescent="0.25">
      <c r="A412" s="61" t="s">
        <v>526</v>
      </c>
      <c r="B412" s="70">
        <v>6.2</v>
      </c>
      <c r="C412" s="52">
        <v>6.08</v>
      </c>
      <c r="D412" s="39">
        <v>5.88</v>
      </c>
      <c r="E412" s="70">
        <v>5.88</v>
      </c>
      <c r="F412" s="39">
        <f t="shared" si="31"/>
        <v>-1.9354838709677438E-2</v>
      </c>
      <c r="G412" s="39">
        <f t="shared" si="30"/>
        <v>-5.1612903225806493E-2</v>
      </c>
      <c r="H412" s="40">
        <f t="shared" si="32"/>
        <v>-5.1612903225806493E-2</v>
      </c>
    </row>
    <row r="413" spans="1:8" x14ac:dyDescent="0.25">
      <c r="A413" s="61" t="s">
        <v>527</v>
      </c>
      <c r="B413" s="70">
        <v>10.36</v>
      </c>
      <c r="C413" s="52">
        <v>9.92</v>
      </c>
      <c r="D413" s="39">
        <v>9.92</v>
      </c>
      <c r="E413" s="70">
        <v>9.92</v>
      </c>
      <c r="F413" s="39">
        <f t="shared" si="31"/>
        <v>-4.2471042471042428E-2</v>
      </c>
      <c r="G413" s="39">
        <f t="shared" si="30"/>
        <v>-4.2471042471042428E-2</v>
      </c>
      <c r="H413" s="40">
        <f t="shared" si="32"/>
        <v>-4.2471042471042428E-2</v>
      </c>
    </row>
    <row r="414" spans="1:8" x14ac:dyDescent="0.25">
      <c r="A414" s="61" t="s">
        <v>528</v>
      </c>
      <c r="B414" s="70">
        <v>10.6</v>
      </c>
      <c r="C414" s="52">
        <v>10.28</v>
      </c>
      <c r="D414" s="39">
        <v>10.28</v>
      </c>
      <c r="E414" s="70">
        <v>10.28</v>
      </c>
      <c r="F414" s="39">
        <f t="shared" si="31"/>
        <v>-3.0188679245283047E-2</v>
      </c>
      <c r="G414" s="39">
        <f t="shared" si="30"/>
        <v>-3.0188679245283047E-2</v>
      </c>
      <c r="H414" s="40">
        <f t="shared" si="32"/>
        <v>-3.0188679245283047E-2</v>
      </c>
    </row>
    <row r="415" spans="1:8" x14ac:dyDescent="0.25">
      <c r="A415" s="61" t="s">
        <v>529</v>
      </c>
      <c r="B415" s="70">
        <v>7.32</v>
      </c>
      <c r="C415" s="52">
        <v>6.72</v>
      </c>
      <c r="D415" s="39">
        <v>6.52</v>
      </c>
      <c r="E415" s="70">
        <v>6.52</v>
      </c>
      <c r="F415" s="39">
        <f t="shared" si="31"/>
        <v>-8.1967213114754162E-2</v>
      </c>
      <c r="G415" s="39">
        <f t="shared" si="30"/>
        <v>-0.10928961748633889</v>
      </c>
      <c r="H415" s="40">
        <f t="shared" si="32"/>
        <v>-0.10928961748633889</v>
      </c>
    </row>
    <row r="416" spans="1:8" x14ac:dyDescent="0.25">
      <c r="A416" s="61" t="s">
        <v>530</v>
      </c>
      <c r="B416" s="70">
        <v>5.52</v>
      </c>
      <c r="C416" s="52">
        <v>5.56</v>
      </c>
      <c r="D416" s="39">
        <v>5.2</v>
      </c>
      <c r="E416" s="70">
        <v>5.2</v>
      </c>
      <c r="F416" s="39">
        <f t="shared" si="31"/>
        <v>7.2463768115942099E-3</v>
      </c>
      <c r="G416" s="39">
        <f t="shared" si="30"/>
        <v>-5.797101449275352E-2</v>
      </c>
      <c r="H416" s="40">
        <f t="shared" si="32"/>
        <v>-5.797101449275352E-2</v>
      </c>
    </row>
    <row r="417" spans="1:8" x14ac:dyDescent="0.25">
      <c r="A417" s="61" t="s">
        <v>531</v>
      </c>
      <c r="B417" s="70">
        <v>5.24</v>
      </c>
      <c r="C417" s="52">
        <v>5.92</v>
      </c>
      <c r="D417" s="39">
        <v>4.92</v>
      </c>
      <c r="E417" s="70">
        <v>4.92</v>
      </c>
      <c r="F417" s="39">
        <f t="shared" si="31"/>
        <v>0.12977099236641215</v>
      </c>
      <c r="G417" s="39">
        <f t="shared" si="30"/>
        <v>-6.1068702290076389E-2</v>
      </c>
      <c r="H417" s="40">
        <f t="shared" si="32"/>
        <v>-6.1068702290076389E-2</v>
      </c>
    </row>
    <row r="418" spans="1:8" x14ac:dyDescent="0.25">
      <c r="A418" s="61" t="s">
        <v>532</v>
      </c>
      <c r="B418" s="70">
        <v>4.68</v>
      </c>
      <c r="C418" s="52">
        <v>4.68</v>
      </c>
      <c r="D418" s="39">
        <v>4.68</v>
      </c>
      <c r="E418" s="70">
        <v>4.68</v>
      </c>
      <c r="F418" s="39">
        <f t="shared" si="31"/>
        <v>0</v>
      </c>
      <c r="G418" s="39">
        <f t="shared" si="30"/>
        <v>0</v>
      </c>
      <c r="H418" s="40">
        <f t="shared" si="32"/>
        <v>0</v>
      </c>
    </row>
    <row r="419" spans="1:8" ht="15.75" thickBot="1" x14ac:dyDescent="0.3">
      <c r="A419" s="62" t="s">
        <v>533</v>
      </c>
      <c r="B419" s="71">
        <v>7.16</v>
      </c>
      <c r="C419" s="53">
        <v>6.4</v>
      </c>
      <c r="D419" s="43">
        <v>6.84</v>
      </c>
      <c r="E419" s="71">
        <v>6.52</v>
      </c>
      <c r="F419" s="43">
        <f t="shared" si="31"/>
        <v>-0.10614525139664802</v>
      </c>
      <c r="G419" s="39">
        <f t="shared" si="30"/>
        <v>-4.4692737430167634E-2</v>
      </c>
      <c r="H419" s="44">
        <f t="shared" si="32"/>
        <v>-8.9385474860335268E-2</v>
      </c>
    </row>
    <row r="420" spans="1:8" x14ac:dyDescent="0.25">
      <c r="G420" s="64"/>
    </row>
    <row r="421" spans="1:8" x14ac:dyDescent="0.25">
      <c r="F421" s="50"/>
      <c r="G421" s="50"/>
      <c r="H421" s="39"/>
    </row>
  </sheetData>
  <mergeCells count="14">
    <mergeCell ref="K39:M39"/>
    <mergeCell ref="K53:M53"/>
    <mergeCell ref="J4:N4"/>
    <mergeCell ref="P4:T4"/>
    <mergeCell ref="P5:T5"/>
    <mergeCell ref="K20:M20"/>
    <mergeCell ref="N20:P20"/>
    <mergeCell ref="Q20:S20"/>
    <mergeCell ref="K18:S18"/>
    <mergeCell ref="K32:S32"/>
    <mergeCell ref="K34:M34"/>
    <mergeCell ref="N34:P34"/>
    <mergeCell ref="Q34:S34"/>
    <mergeCell ref="J5:N5"/>
  </mergeCells>
  <conditionalFormatting sqref="E7:E419">
    <cfRule type="expression" dxfId="3" priority="1">
      <formula>$E7 &lt; $B7</formula>
    </cfRule>
    <cfRule type="expression" dxfId="2" priority="3">
      <formula>$E7 = $B7</formula>
    </cfRule>
    <cfRule type="expression" dxfId="1" priority="4">
      <formula>$E7 &gt; $B7</formula>
    </cfRule>
  </conditionalFormatting>
  <conditionalFormatting sqref="H5">
    <cfRule type="expression" dxfId="0" priority="2">
      <formula>$E5 &lt; $B5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HEU</vt:lpstr>
      <vt:lpstr>LNS</vt:lpstr>
      <vt:lpstr>SVC</vt:lpstr>
      <vt:lpstr>SVC VND</vt:lpstr>
      <vt:lpstr>S&amp;F</vt:lpstr>
      <vt:lpstr>B&amp;P</vt:lpstr>
      <vt:lpstr>RESULTS - SMALL</vt:lpstr>
      <vt:lpstr>RESULTS - LARGE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Gustavo Rolim</cp:lastModifiedBy>
  <dcterms:created xsi:type="dcterms:W3CDTF">2025-11-14T14:37:13Z</dcterms:created>
  <dcterms:modified xsi:type="dcterms:W3CDTF">2025-11-26T00:52:32Z</dcterms:modified>
</cp:coreProperties>
</file>